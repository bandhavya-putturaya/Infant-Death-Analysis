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drawings/drawing3.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drawings/drawing4.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5.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6.xml" ContentType="application/vnd.openxmlformats-officedocument.drawing+xml"/>
  <Override PartName="/xl/slicers/slicer1.xml" ContentType="application/vnd.ms-excel.slicer+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7.xml" ContentType="application/vnd.openxmlformats-officedocument.drawing+xml"/>
  <Override PartName="/xl/slicers/slicer2.xml" ContentType="application/vnd.ms-excel.slicer+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drawings/drawing8.xml" ContentType="application/vnd.openxmlformats-officedocument.drawing+xml"/>
  <Override PartName="/xl/slicers/slicer3.xml" ContentType="application/vnd.ms-excel.slicer+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drawings/drawing9.xml" ContentType="application/vnd.openxmlformats-officedocument.drawing+xml"/>
  <Override PartName="/xl/tables/table4.xml" ContentType="application/vnd.openxmlformats-officedocument.spreadsheetml.table+xml"/>
  <Override PartName="/xl/slicers/slicer4.xml" ContentType="application/vnd.ms-excel.slicer+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codeName="ThisWorkbook" hidePivotFieldList="1" defaultThemeVersion="124226"/>
  <xr:revisionPtr revIDLastSave="0" documentId="13_ncr:1_{4F9E68FD-5446-47E5-8080-34F4A502E184}" xr6:coauthVersionLast="47" xr6:coauthVersionMax="47" xr10:uidLastSave="{00000000-0000-0000-0000-000000000000}"/>
  <bookViews>
    <workbookView xWindow="-108" yWindow="-108" windowWidth="23256" windowHeight="12456" firstSheet="10" activeTab="10" xr2:uid="{00000000-000D-0000-FFFF-FFFF00000000}"/>
  </bookViews>
  <sheets>
    <sheet name="2023-24" sheetId="1" state="hidden" r:id="rId1"/>
    <sheet name="2024-25" sheetId="2" state="hidden" r:id="rId2"/>
    <sheet name="Sheet1" sheetId="4" state="hidden" r:id="rId3"/>
    <sheet name="2024-25 report" sheetId="5" state="hidden" r:id="rId4"/>
    <sheet name="Sheet3" sheetId="3" state="hidden" r:id="rId5"/>
    <sheet name="Categorized Data" sheetId="12" state="hidden" r:id="rId6"/>
    <sheet name="karkal_pivot" sheetId="15" state="hidden" r:id="rId7"/>
    <sheet name="Kundapura_pivot" sheetId="18" state="hidden" r:id="rId8"/>
    <sheet name="Udupi_pivot" sheetId="19" state="hidden" r:id="rId9"/>
    <sheet name="District pivot" sheetId="20" state="hidden" r:id="rId10"/>
    <sheet name="District Dashboard" sheetId="21" r:id="rId11"/>
    <sheet name="Karkal Taluk" sheetId="14" r:id="rId12"/>
    <sheet name="Kundapura Taluk" sheetId="16" r:id="rId13"/>
    <sheet name="Udupi Taluk" sheetId="17" r:id="rId14"/>
    <sheet name="Sheet4" sheetId="23" r:id="rId15"/>
    <sheet name="Infant dataset" sheetId="6" r:id="rId16"/>
  </sheets>
  <definedNames>
    <definedName name="_xlnm._FilterDatabase" localSheetId="0" hidden="1">'2023-24'!$A$3:$AJ$97</definedName>
    <definedName name="_xlnm._FilterDatabase" localSheetId="3" hidden="1">'2024-25 report'!$A$4:$BM$63</definedName>
    <definedName name="_xlnm._FilterDatabase" localSheetId="15" hidden="1">'Infant dataset'!$A$3:$BR$76</definedName>
    <definedName name="_xlnm._FilterDatabase" localSheetId="2" hidden="1">Sheet1!$A$4:$BH$87</definedName>
    <definedName name="_xlnm.Print_Titles" localSheetId="3">'2024-25 report'!$A:$B,'2024-25 report'!$2:$4</definedName>
    <definedName name="_xlnm.Print_Titles" localSheetId="2">Sheet1!$A:$B,Sheet1!$2:$4</definedName>
    <definedName name="Slicer_Column1">#N/A</definedName>
    <definedName name="Slicer_Community">#N/A</definedName>
    <definedName name="Slicer_Community1">#N/A</definedName>
    <definedName name="Slicer_Community2">#N/A</definedName>
    <definedName name="Slicer_PHC">#N/A</definedName>
    <definedName name="Slicer_PHC1">#N/A</definedName>
    <definedName name="Slicer_PHC2">#N/A</definedName>
    <definedName name="Slicer_Religion">#N/A</definedName>
    <definedName name="Slicer_Religion1">#N/A</definedName>
    <definedName name="Slicer_Religion2">#N/A</definedName>
  </definedNames>
  <calcPr calcId="191029"/>
  <pivotCaches>
    <pivotCache cacheId="0" r:id="rId17"/>
    <pivotCache cacheId="1" r:id="rId18"/>
    <pivotCache cacheId="2" r:id="rId19"/>
    <pivotCache cacheId="3"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23" l="1"/>
  <c r="H3" i="23"/>
  <c r="H4" i="23"/>
  <c r="H5" i="23"/>
  <c r="H6" i="23"/>
  <c r="H7" i="23"/>
  <c r="H8" i="23"/>
  <c r="H9" i="23"/>
  <c r="H10" i="23"/>
  <c r="H11" i="23"/>
  <c r="H12" i="23"/>
  <c r="H13" i="23"/>
  <c r="H14" i="23"/>
  <c r="H15" i="23"/>
  <c r="AG4" i="6"/>
  <c r="AJ4" i="6" s="1"/>
  <c r="AK4" i="6" s="1"/>
  <c r="AG5" i="6"/>
  <c r="AJ5" i="6" s="1"/>
  <c r="AK5" i="6" s="1"/>
  <c r="AG6" i="6"/>
  <c r="AJ6" i="6" s="1"/>
  <c r="AK6" i="6" s="1"/>
  <c r="AG7" i="6"/>
  <c r="AJ7" i="6" s="1"/>
  <c r="AK7" i="6" s="1"/>
  <c r="AG8" i="6"/>
  <c r="AJ8" i="6" s="1"/>
  <c r="AK8" i="6" s="1"/>
  <c r="AG9" i="6"/>
  <c r="AJ9" i="6" s="1"/>
  <c r="AK9" i="6" s="1"/>
  <c r="AG10" i="6"/>
  <c r="AJ10" i="6" s="1"/>
  <c r="AK10" i="6" s="1"/>
  <c r="AG11" i="6"/>
  <c r="AJ11" i="6" s="1"/>
  <c r="AK11" i="6" s="1"/>
  <c r="AG12" i="6"/>
  <c r="AJ12" i="6" s="1"/>
  <c r="AK12" i="6" s="1"/>
  <c r="AG13" i="6"/>
  <c r="AJ13" i="6" s="1"/>
  <c r="AK13" i="6" s="1"/>
  <c r="AG14" i="6"/>
  <c r="AJ14" i="6" s="1"/>
  <c r="AK14" i="6" s="1"/>
  <c r="AG15" i="6"/>
  <c r="AJ15" i="6" s="1"/>
  <c r="AK15" i="6" s="1"/>
  <c r="AG16" i="6"/>
  <c r="AJ16" i="6" s="1"/>
  <c r="AK16" i="6" s="1"/>
  <c r="AG17" i="6"/>
  <c r="AJ17" i="6" s="1"/>
  <c r="AK17" i="6" s="1"/>
  <c r="AG18" i="6"/>
  <c r="AJ18" i="6" s="1"/>
  <c r="AK18" i="6" s="1"/>
  <c r="AG19" i="6"/>
  <c r="AJ19" i="6" s="1"/>
  <c r="AK19" i="6" s="1"/>
  <c r="AG20" i="6"/>
  <c r="AJ20" i="6" s="1"/>
  <c r="AK20" i="6" s="1"/>
  <c r="AG21" i="6"/>
  <c r="AJ21" i="6" s="1"/>
  <c r="AK21" i="6" s="1"/>
  <c r="AG22" i="6"/>
  <c r="AJ22" i="6" s="1"/>
  <c r="AK22" i="6" s="1"/>
  <c r="AG23" i="6"/>
  <c r="AJ23" i="6" s="1"/>
  <c r="AK23" i="6" s="1"/>
  <c r="AG24" i="6"/>
  <c r="AJ24" i="6" s="1"/>
  <c r="AK24" i="6" s="1"/>
  <c r="AG25" i="6"/>
  <c r="AJ25" i="6" s="1"/>
  <c r="AK25" i="6" s="1"/>
  <c r="AG26" i="6"/>
  <c r="AJ26" i="6" s="1"/>
  <c r="AK26" i="6" s="1"/>
  <c r="AG27" i="6"/>
  <c r="AJ27" i="6" s="1"/>
  <c r="AK27" i="6" s="1"/>
  <c r="AG28" i="6"/>
  <c r="AJ28" i="6" s="1"/>
  <c r="AK28" i="6" s="1"/>
  <c r="AG29" i="6"/>
  <c r="AJ29" i="6" s="1"/>
  <c r="AK29" i="6" s="1"/>
  <c r="AG30" i="6"/>
  <c r="AJ30" i="6" s="1"/>
  <c r="AK30" i="6" s="1"/>
  <c r="AG31" i="6"/>
  <c r="AJ31" i="6" s="1"/>
  <c r="AK31" i="6" s="1"/>
  <c r="AG32" i="6"/>
  <c r="AJ32" i="6" s="1"/>
  <c r="AK32" i="6" s="1"/>
  <c r="AG33" i="6"/>
  <c r="AJ33" i="6" s="1"/>
  <c r="AK33" i="6" s="1"/>
  <c r="AG34" i="6"/>
  <c r="AJ34" i="6" s="1"/>
  <c r="AK34" i="6" s="1"/>
  <c r="AG35" i="6"/>
  <c r="AJ35" i="6" s="1"/>
  <c r="AK35" i="6" s="1"/>
  <c r="AG36" i="6"/>
  <c r="AJ36" i="6" s="1"/>
  <c r="AK36" i="6" s="1"/>
  <c r="AG37" i="6"/>
  <c r="AJ37" i="6" s="1"/>
  <c r="AK37" i="6" s="1"/>
  <c r="AG38" i="6"/>
  <c r="AJ38" i="6" s="1"/>
  <c r="AK38" i="6" s="1"/>
  <c r="AG39" i="6"/>
  <c r="AJ39" i="6" s="1"/>
  <c r="AK39" i="6" s="1"/>
  <c r="AG40" i="6"/>
  <c r="AJ40" i="6" s="1"/>
  <c r="AK40" i="6" s="1"/>
  <c r="AG41" i="6"/>
  <c r="AJ41" i="6" s="1"/>
  <c r="AK41" i="6" s="1"/>
  <c r="AG42" i="6"/>
  <c r="AJ42" i="6" s="1"/>
  <c r="AK42" i="6" s="1"/>
  <c r="AG43" i="6"/>
  <c r="AJ43" i="6" s="1"/>
  <c r="AK43" i="6" s="1"/>
  <c r="AG44" i="6"/>
  <c r="AJ44" i="6" s="1"/>
  <c r="AK44" i="6" s="1"/>
  <c r="AG45" i="6"/>
  <c r="AJ45" i="6" s="1"/>
  <c r="AK45" i="6" s="1"/>
  <c r="AG46" i="6"/>
  <c r="AJ46" i="6" s="1"/>
  <c r="AK46" i="6" s="1"/>
  <c r="AG47" i="6"/>
  <c r="AJ47" i="6" s="1"/>
  <c r="AK47" i="6" s="1"/>
  <c r="AG48" i="6"/>
  <c r="AJ48" i="6" s="1"/>
  <c r="AK48" i="6" s="1"/>
  <c r="AG49" i="6"/>
  <c r="AJ49" i="6" s="1"/>
  <c r="AK49" i="6" s="1"/>
  <c r="AG50" i="6"/>
  <c r="AJ50" i="6" s="1"/>
  <c r="AK50" i="6" s="1"/>
  <c r="AG51" i="6"/>
  <c r="AJ51" i="6" s="1"/>
  <c r="AK51" i="6" s="1"/>
  <c r="AG52" i="6"/>
  <c r="AJ52" i="6" s="1"/>
  <c r="AK52" i="6" s="1"/>
  <c r="AG53" i="6"/>
  <c r="AJ53" i="6" s="1"/>
  <c r="AK53" i="6" s="1"/>
  <c r="AG54" i="6"/>
  <c r="AJ54" i="6" s="1"/>
  <c r="AK54" i="6" s="1"/>
  <c r="AG55" i="6"/>
  <c r="AJ55" i="6" s="1"/>
  <c r="AK55" i="6" s="1"/>
  <c r="AG56" i="6"/>
  <c r="AJ56" i="6" s="1"/>
  <c r="AK56" i="6" s="1"/>
  <c r="AG57" i="6"/>
  <c r="AJ57" i="6" s="1"/>
  <c r="AK57" i="6" s="1"/>
  <c r="AG58" i="6"/>
  <c r="AJ58" i="6" s="1"/>
  <c r="AK58" i="6" s="1"/>
  <c r="AG59" i="6"/>
  <c r="AJ59" i="6" s="1"/>
  <c r="AK59" i="6" s="1"/>
  <c r="AG60" i="6"/>
  <c r="AJ60" i="6" s="1"/>
  <c r="AK60" i="6" s="1"/>
  <c r="AG61" i="6"/>
  <c r="AJ61" i="6" s="1"/>
  <c r="AK61" i="6" s="1"/>
  <c r="AG62" i="6"/>
  <c r="AJ62" i="6" s="1"/>
  <c r="AK62" i="6" s="1"/>
  <c r="AG63" i="6"/>
  <c r="AJ63" i="6" s="1"/>
  <c r="AK63" i="6" s="1"/>
  <c r="AG64" i="6"/>
  <c r="AJ64" i="6" s="1"/>
  <c r="AK64" i="6" s="1"/>
  <c r="AG65" i="6"/>
  <c r="AJ65" i="6" s="1"/>
  <c r="AK65" i="6" s="1"/>
  <c r="AG66" i="6"/>
  <c r="AJ66" i="6" s="1"/>
  <c r="AK66" i="6" s="1"/>
  <c r="AG67" i="6"/>
  <c r="AJ67" i="6" s="1"/>
  <c r="AK67" i="6" s="1"/>
  <c r="AG68" i="6"/>
  <c r="AJ68" i="6" s="1"/>
  <c r="AK68" i="6" s="1"/>
  <c r="AG69" i="6"/>
  <c r="AJ69" i="6" s="1"/>
  <c r="AK69" i="6" s="1"/>
  <c r="AG70" i="6"/>
  <c r="AJ70" i="6" s="1"/>
  <c r="AK70" i="6" s="1"/>
  <c r="AG71" i="6"/>
  <c r="AJ71" i="6" s="1"/>
  <c r="AK71" i="6" s="1"/>
  <c r="AG72" i="6"/>
  <c r="AJ72" i="6" s="1"/>
  <c r="AK72" i="6" s="1"/>
  <c r="AG73" i="6"/>
  <c r="AJ73" i="6" s="1"/>
  <c r="AK73" i="6" s="1"/>
  <c r="AG74" i="6"/>
  <c r="AJ74" i="6" s="1"/>
  <c r="AK74" i="6" s="1"/>
  <c r="AG75" i="6"/>
  <c r="AJ75" i="6" s="1"/>
  <c r="AK75" i="6" s="1"/>
  <c r="AG76" i="6"/>
  <c r="AJ76" i="6" s="1"/>
  <c r="AK76" i="6" s="1"/>
  <c r="A9" i="20" l="1"/>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F57" i="21" s="1" a="1"/>
  <c r="F57" i="21" s="1"/>
  <c r="G9" i="20"/>
  <c r="R9" i="20"/>
  <c r="F9" i="20"/>
  <c r="B9" i="20"/>
  <c r="L9" i="20"/>
  <c r="Q9" i="20"/>
  <c r="M9" i="20"/>
  <c r="F146" i="21" l="1" a="1"/>
  <c r="F146" i="21" s="1"/>
  <c r="H57" i="21" a="1"/>
  <c r="H57" i="21" s="1"/>
  <c r="H146" i="21" a="1"/>
  <c r="H146" i="21" s="1"/>
  <c r="H108" i="17" a="1"/>
  <c r="H108" i="17" s="1"/>
  <c r="H96" i="17" a="1"/>
  <c r="H96" i="17" s="1"/>
  <c r="F108" i="17" a="1"/>
  <c r="F108" i="17" s="1"/>
  <c r="F96" i="17" a="1"/>
  <c r="F96" i="17" s="1"/>
  <c r="H104" i="16" a="1"/>
  <c r="H104" i="16" s="1"/>
  <c r="F104" i="16" a="1"/>
  <c r="F104" i="16" s="1"/>
  <c r="H95" i="16" a="1"/>
  <c r="H95" i="16" s="1"/>
  <c r="F95" i="16" a="1"/>
  <c r="F95" i="16" s="1"/>
  <c r="G94" i="18"/>
  <c r="H89" i="18"/>
  <c r="H99" i="18"/>
  <c r="G89" i="18"/>
  <c r="G84" i="18"/>
  <c r="H94" i="18"/>
  <c r="G99" i="18"/>
  <c r="G100" i="15"/>
  <c r="F100" i="15"/>
  <c r="H100" i="19"/>
  <c r="G90" i="19"/>
  <c r="G100" i="19"/>
  <c r="G95" i="19"/>
  <c r="H105" i="19"/>
  <c r="H90" i="19"/>
  <c r="G105" i="19"/>
  <c r="H95" i="19"/>
  <c r="H108" i="14" l="1" a="1"/>
  <c r="H108" i="14" s="1"/>
  <c r="F108" i="14" a="1"/>
  <c r="F108" i="14" s="1"/>
  <c r="H100" i="14" a="1"/>
  <c r="H100" i="14" s="1"/>
  <c r="F100" i="14" a="1"/>
  <c r="F100" i="14" s="1"/>
  <c r="G94" i="15"/>
  <c r="F88" i="15"/>
  <c r="F106" i="15"/>
  <c r="F94" i="15"/>
  <c r="G106" i="15"/>
  <c r="AB63" i="5" l="1"/>
  <c r="AJ87" i="4" l="1"/>
  <c r="AK87" i="4"/>
  <c r="AL87" i="4"/>
  <c r="AM87" i="4"/>
  <c r="AN87" i="4"/>
  <c r="AO87" i="4"/>
  <c r="AP87" i="4"/>
  <c r="AQ87" i="4"/>
  <c r="AR87" i="4"/>
  <c r="AS87" i="4"/>
  <c r="AT87" i="4"/>
  <c r="AU87" i="4"/>
  <c r="AV87" i="4"/>
  <c r="AW87" i="4"/>
  <c r="AX87" i="4"/>
  <c r="AY87" i="4"/>
  <c r="AZ87" i="4"/>
  <c r="BA87" i="4"/>
  <c r="BB87" i="4"/>
  <c r="BC87" i="4"/>
  <c r="BD87" i="4"/>
  <c r="AI87" i="4"/>
  <c r="J87" i="4"/>
  <c r="K87" i="4"/>
  <c r="L87" i="4"/>
  <c r="M87" i="4"/>
  <c r="N87" i="4"/>
  <c r="O87" i="4"/>
  <c r="P87" i="4"/>
  <c r="Q87" i="4"/>
  <c r="R87" i="4"/>
  <c r="S87" i="4"/>
  <c r="T87" i="4"/>
  <c r="U87" i="4"/>
  <c r="V87" i="4"/>
  <c r="W87" i="4"/>
  <c r="X87" i="4"/>
  <c r="Y87" i="4"/>
  <c r="Z87" i="4"/>
  <c r="AA87" i="4"/>
  <c r="I8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<sst xmlns="http://schemas.openxmlformats.org/spreadsheetml/2006/main" count="16073" uniqueCount="1509">
  <si>
    <t xml:space="preserve">                                              Infant death register  -   2023 -2024</t>
  </si>
  <si>
    <t>Sl.NO</t>
  </si>
  <si>
    <t xml:space="preserve">PHC name </t>
  </si>
  <si>
    <t>Name of Infant, parents and address</t>
  </si>
  <si>
    <t>Age of the mother</t>
  </si>
  <si>
    <t>Thayi Card No</t>
  </si>
  <si>
    <t>Sex</t>
  </si>
  <si>
    <t>Community</t>
  </si>
  <si>
    <t>Religion</t>
  </si>
  <si>
    <t>Date of Birth</t>
  </si>
  <si>
    <t>Place of Birth</t>
  </si>
  <si>
    <t>Date of death</t>
  </si>
  <si>
    <t>Place of death</t>
  </si>
  <si>
    <t>Birth weight in gms</t>
  </si>
  <si>
    <t>Most probbable cause of death.</t>
  </si>
  <si>
    <t xml:space="preserve">Age at death </t>
  </si>
  <si>
    <t>Normal/ LSCS</t>
  </si>
  <si>
    <t>LMP</t>
  </si>
  <si>
    <t>EDD</t>
  </si>
  <si>
    <t>Para</t>
  </si>
  <si>
    <t>APL/BPL</t>
  </si>
  <si>
    <t>Education</t>
  </si>
  <si>
    <t>TT given</t>
  </si>
  <si>
    <t>IFA Given</t>
  </si>
  <si>
    <t>HB%</t>
  </si>
  <si>
    <t>BP</t>
  </si>
  <si>
    <t>Late Registration reason</t>
  </si>
  <si>
    <t>HRP with reason</t>
  </si>
  <si>
    <t>BMI&lt;18 (Please Write)</t>
  </si>
  <si>
    <t>Gestation</t>
  </si>
  <si>
    <t>Mathru poorna Yojane benificiaries</t>
  </si>
  <si>
    <t>1st Dose</t>
  </si>
  <si>
    <t>II Dose</t>
  </si>
  <si>
    <t>Booster</t>
  </si>
  <si>
    <t>1st round(last dose 180)</t>
  </si>
  <si>
    <t>II round(last dose 360)</t>
  </si>
  <si>
    <t>III round</t>
  </si>
  <si>
    <t>Gangolli</t>
  </si>
  <si>
    <t>B/o Nismah Aabirah Moulana W/o Abdul Nafi Moulana Gudde House      J M Road Gangolli</t>
  </si>
  <si>
    <t>Female</t>
  </si>
  <si>
    <t>Muslim</t>
  </si>
  <si>
    <t>17.3.23</t>
  </si>
  <si>
    <t>Yenepoya Hospital M'lore</t>
  </si>
  <si>
    <t>24.3.23</t>
  </si>
  <si>
    <t>Falnir Mangalore</t>
  </si>
  <si>
    <t>2100gms</t>
  </si>
  <si>
    <t>Preterm 33weeks Syndromic Baby Congenital Haemolytic Anaemia Neonatal Hyperbillirubinemia</t>
  </si>
  <si>
    <t>8days</t>
  </si>
  <si>
    <t>LSCS</t>
  </si>
  <si>
    <t>26.7.22</t>
  </si>
  <si>
    <t>3.5.23</t>
  </si>
  <si>
    <t>G3P2L2</t>
  </si>
  <si>
    <t>APL</t>
  </si>
  <si>
    <t>Puc&amp;Degree</t>
  </si>
  <si>
    <t>6.2.23</t>
  </si>
  <si>
    <t>6.3.23</t>
  </si>
  <si>
    <t>-</t>
  </si>
  <si>
    <t>7.3.23</t>
  </si>
  <si>
    <t>10gms</t>
  </si>
  <si>
    <t>110/70</t>
  </si>
  <si>
    <t>No</t>
  </si>
  <si>
    <t>NO</t>
  </si>
  <si>
    <t>33weeks4days</t>
  </si>
  <si>
    <t>UPHC Manipal</t>
  </si>
  <si>
    <t>B/o Grithi       Harshitha W/o Manjunath  Raghvendra Nilaya Near Kadiyali Temple</t>
  </si>
  <si>
    <t>Devadiga</t>
  </si>
  <si>
    <t>Hindu</t>
  </si>
  <si>
    <t>9.9.22</t>
  </si>
  <si>
    <t>Adarsh Hospital Puttur</t>
  </si>
  <si>
    <t>29.3.23</t>
  </si>
  <si>
    <t>KMC Manipal</t>
  </si>
  <si>
    <t>2800gms</t>
  </si>
  <si>
    <t>Myocarditis with Inotrope Resistant Shock Sepsis with Multiorgan Dysfunction Primary Immunodeficiency with Pyogenic Meningitis</t>
  </si>
  <si>
    <t>6 m 28 days</t>
  </si>
  <si>
    <t>Normal</t>
  </si>
  <si>
    <t>30.11.21</t>
  </si>
  <si>
    <t>6.9.22</t>
  </si>
  <si>
    <t>Primi</t>
  </si>
  <si>
    <t xml:space="preserve">APL </t>
  </si>
  <si>
    <t>PUC</t>
  </si>
  <si>
    <t>21.2.22</t>
  </si>
  <si>
    <t>22.4.22</t>
  </si>
  <si>
    <t>1.3.22</t>
  </si>
  <si>
    <t>2.4.22</t>
  </si>
  <si>
    <t>30.5.22</t>
  </si>
  <si>
    <t>120/70.</t>
  </si>
  <si>
    <t>Kaup</t>
  </si>
  <si>
    <t>Moodabettu</t>
  </si>
  <si>
    <t>B/o Hensita Roshni Mendonca     Vinesh nithin rodrigues   dreams shankarpura   kurkalu</t>
  </si>
  <si>
    <t>Male</t>
  </si>
  <si>
    <t xml:space="preserve">Chrischian </t>
  </si>
  <si>
    <t>Christain</t>
  </si>
  <si>
    <t>10.03.2023</t>
  </si>
  <si>
    <t>C.S.I hospital udupi</t>
  </si>
  <si>
    <t>30.3.23</t>
  </si>
  <si>
    <t>kmc manipal</t>
  </si>
  <si>
    <t>Complex congenital heart disease   Interrupted aortic arch/Pda/Aorto pulmonary window    Severe pulmonary artery HTN/AGA/Infant of diabetic mother.</t>
  </si>
  <si>
    <t>20 days</t>
  </si>
  <si>
    <t>17.6.22</t>
  </si>
  <si>
    <t>G2ab1</t>
  </si>
  <si>
    <t>Degree</t>
  </si>
  <si>
    <t>14.9.22</t>
  </si>
  <si>
    <t>14.10.22</t>
  </si>
  <si>
    <t>13.9.22</t>
  </si>
  <si>
    <t>10.10.22</t>
  </si>
  <si>
    <t>9.11.22</t>
  </si>
  <si>
    <t>120\80</t>
  </si>
  <si>
    <t>Yes</t>
  </si>
  <si>
    <t>FPAI</t>
  </si>
  <si>
    <t>B/o Meena devi W/o Nikilesh Kumar, Rent House, Horangrapady Near C J Church Padu bailoor 76 Badagabettu</t>
  </si>
  <si>
    <t>30.4.23</t>
  </si>
  <si>
    <t>MCH Udupi</t>
  </si>
  <si>
    <t>Wenlock Hospital M'lore</t>
  </si>
  <si>
    <t>800gms</t>
  </si>
  <si>
    <t>Premature with respiratory distress</t>
  </si>
  <si>
    <t>1day</t>
  </si>
  <si>
    <t>29.10.22</t>
  </si>
  <si>
    <t>5.8.23</t>
  </si>
  <si>
    <t>G4P3L3</t>
  </si>
  <si>
    <t>No ration card</t>
  </si>
  <si>
    <t>No education</t>
  </si>
  <si>
    <t>2.2.23</t>
  </si>
  <si>
    <t>4.3.23</t>
  </si>
  <si>
    <t>6.4.23</t>
  </si>
  <si>
    <t>Padubidri</t>
  </si>
  <si>
    <t>B/o Divya G W/o Santhosh Guthigethota Hejamady Padubidri Udupi</t>
  </si>
  <si>
    <t>21.3.23</t>
  </si>
  <si>
    <t>KMC Attavara</t>
  </si>
  <si>
    <t>10.5.23</t>
  </si>
  <si>
    <t>2690gms</t>
  </si>
  <si>
    <t>Term AGA/Neonatal sepsis meconium aspiration syndrome</t>
  </si>
  <si>
    <t>49days</t>
  </si>
  <si>
    <t>1.7.22</t>
  </si>
  <si>
    <t>8.4.23</t>
  </si>
  <si>
    <t>primi</t>
  </si>
  <si>
    <t>BPL</t>
  </si>
  <si>
    <t>BA</t>
  </si>
  <si>
    <t>23.9.22</t>
  </si>
  <si>
    <t>10.11.22</t>
  </si>
  <si>
    <t>9.10.22</t>
  </si>
  <si>
    <t>120/80</t>
  </si>
  <si>
    <t>yes</t>
  </si>
  <si>
    <t>Byndoor</t>
  </si>
  <si>
    <t>Kollur</t>
  </si>
  <si>
    <t xml:space="preserve">B/o Jayanthi Raghavana, Hegdebettu, Kolluru </t>
  </si>
  <si>
    <t>18.4.23</t>
  </si>
  <si>
    <t>28.4.23</t>
  </si>
  <si>
    <t>850gms</t>
  </si>
  <si>
    <t>EARLY ONSET NEONETAL SEPSIS/SEPTIC SHOCK MODERATE PAH VERY PRETERM (31+3)/EXTREMELY LOW BIRTH WEIGHT/SGA</t>
  </si>
  <si>
    <t>10days</t>
  </si>
  <si>
    <t>10.9.22</t>
  </si>
  <si>
    <t>17.6.23</t>
  </si>
  <si>
    <t>G3</t>
  </si>
  <si>
    <t>10th</t>
  </si>
  <si>
    <t>10.12.22</t>
  </si>
  <si>
    <t>Preeclampsia</t>
  </si>
  <si>
    <t>31weeks</t>
  </si>
  <si>
    <t>Ajekar</t>
  </si>
  <si>
    <t>B/o Kushala W/o Prakasha Gowda ST colony, Mangala Nivasa Paithala, Andaru</t>
  </si>
  <si>
    <t>ST</t>
  </si>
  <si>
    <t>G H Karkala</t>
  </si>
  <si>
    <t>18.5.23</t>
  </si>
  <si>
    <t>Home</t>
  </si>
  <si>
    <t>1815gms</t>
  </si>
  <si>
    <t>Sudden Infant death syndrome</t>
  </si>
  <si>
    <t>1m1day</t>
  </si>
  <si>
    <t>normal</t>
  </si>
  <si>
    <t>3.8.22</t>
  </si>
  <si>
    <t>5th&amp;7th</t>
  </si>
  <si>
    <t>1.12.22</t>
  </si>
  <si>
    <t>9.1.23</t>
  </si>
  <si>
    <t>9.3.23</t>
  </si>
  <si>
    <t>110/80</t>
  </si>
  <si>
    <t>36weeks</t>
  </si>
  <si>
    <t>Kemmannu</t>
  </si>
  <si>
    <t>B/o Joshna Swain W/o Santhosh Kumar Swain Gujjarbettu Kemmannu</t>
  </si>
  <si>
    <t>14.6.23</t>
  </si>
  <si>
    <t>On the way to Hospital (108)</t>
  </si>
  <si>
    <t>2600gms</t>
  </si>
  <si>
    <t>Severe birth asphyxia</t>
  </si>
  <si>
    <t>8.9.22</t>
  </si>
  <si>
    <t>15.6.23</t>
  </si>
  <si>
    <t>G1</t>
  </si>
  <si>
    <t>25.2.23</t>
  </si>
  <si>
    <t>4.1.23</t>
  </si>
  <si>
    <t>110/60</t>
  </si>
  <si>
    <t>Dakshayini K C C/o Suresh 3rd cross Rajivnagara Nejar</t>
  </si>
  <si>
    <t>17.5.23</t>
  </si>
  <si>
    <t>4.6.23</t>
  </si>
  <si>
    <t>1150gms</t>
  </si>
  <si>
    <t>Preterm delivery necrotising enterocolitis late onset acinobacter  sepsis with meningitis</t>
  </si>
  <si>
    <t>19days</t>
  </si>
  <si>
    <t>23.10.22</t>
  </si>
  <si>
    <t>30.7.23</t>
  </si>
  <si>
    <t>D-Ed</t>
  </si>
  <si>
    <t>21.2.23</t>
  </si>
  <si>
    <t>16.2.23</t>
  </si>
  <si>
    <t>15.3.23</t>
  </si>
  <si>
    <t>13.4.23</t>
  </si>
  <si>
    <t>180/110</t>
  </si>
  <si>
    <t xml:space="preserve">B/o Mumtaz W/o Shamshuddin Global residency Katpady </t>
  </si>
  <si>
    <t>23.5.23</t>
  </si>
  <si>
    <t>Moodabidri</t>
  </si>
  <si>
    <t>24.5.23</t>
  </si>
  <si>
    <t>A J Hospital M'lore</t>
  </si>
  <si>
    <t>2900gms</t>
  </si>
  <si>
    <t>Refractory cardiac arrest/Severe Meconium aspiration syndrome</t>
  </si>
  <si>
    <t>29.8.22</t>
  </si>
  <si>
    <t>5.6.23</t>
  </si>
  <si>
    <t>12th</t>
  </si>
  <si>
    <t>4.11.22</t>
  </si>
  <si>
    <t>14.2.23</t>
  </si>
  <si>
    <t>21.10.22</t>
  </si>
  <si>
    <t>15.11.22</t>
  </si>
  <si>
    <t>7.12.22</t>
  </si>
  <si>
    <t>35weeks</t>
  </si>
  <si>
    <t>Shankaranarayana</t>
  </si>
  <si>
    <t>B/o Supreetha W/o Sandeep Kumar Shetty Hanbinagadde Gudibettu Ampar</t>
  </si>
  <si>
    <t>Shetty</t>
  </si>
  <si>
    <t>27.5.23</t>
  </si>
  <si>
    <t>885gms</t>
  </si>
  <si>
    <t>Severe Chronic Lung disease sever pneumonia extreme Prematurity</t>
  </si>
  <si>
    <t>2month19days</t>
  </si>
  <si>
    <t>13.6.23</t>
  </si>
  <si>
    <t>B.P.T</t>
  </si>
  <si>
    <t>13.1.23</t>
  </si>
  <si>
    <t>_</t>
  </si>
  <si>
    <t>9.2.23</t>
  </si>
  <si>
    <t>140/80</t>
  </si>
  <si>
    <t>26weeks</t>
  </si>
  <si>
    <t>B/o Nethravathi W/o Nagaraja Poojary Chodra Angadimane Golihole</t>
  </si>
  <si>
    <t>Poojary</t>
  </si>
  <si>
    <t>21.5.23</t>
  </si>
  <si>
    <t>30.5.23</t>
  </si>
  <si>
    <t>750gms</t>
  </si>
  <si>
    <t>Necrotizing enterocololitis stage II respiratory distress syndrome extreme prematurity</t>
  </si>
  <si>
    <t>9days</t>
  </si>
  <si>
    <t>21.11.22</t>
  </si>
  <si>
    <t>28.8.23</t>
  </si>
  <si>
    <t>G2</t>
  </si>
  <si>
    <t>8.3.23</t>
  </si>
  <si>
    <t>12.4.23</t>
  </si>
  <si>
    <t>22.4.23</t>
  </si>
  <si>
    <t>100/70</t>
  </si>
  <si>
    <t>25weeks6days</t>
  </si>
  <si>
    <t>795gms</t>
  </si>
  <si>
    <t>Pulmonary Hemorrhage left tension pnemothorax extreme PT/ELBWAGA/Severe RDS/DCDA twin2</t>
  </si>
  <si>
    <t>3days</t>
  </si>
  <si>
    <t>Audited DC</t>
  </si>
  <si>
    <t>Kumbhashi</t>
  </si>
  <si>
    <t>B/o Priya W/o Babu, Kamthyarbettu Beejadi Kumbhashi</t>
  </si>
  <si>
    <t>16.4.23</t>
  </si>
  <si>
    <t>G H Kundapura</t>
  </si>
  <si>
    <t>12.7.23</t>
  </si>
  <si>
    <t>1820gms</t>
  </si>
  <si>
    <t>Severe pulmonary artery Hypertension Bronchopneumonia failure to thrive, Lactic Acidosis</t>
  </si>
  <si>
    <t>2m26days</t>
  </si>
  <si>
    <t>7.8.22</t>
  </si>
  <si>
    <t>14.5.23</t>
  </si>
  <si>
    <t>20.9.22</t>
  </si>
  <si>
    <t>27.10.22</t>
  </si>
  <si>
    <t>27.3.23</t>
  </si>
  <si>
    <t>12.8gms</t>
  </si>
  <si>
    <t>32weeks</t>
  </si>
  <si>
    <t>Vandse</t>
  </si>
  <si>
    <t>Suveeksha B/o Vinoda W/o Surendra Poojary Kullamballi Keradi</t>
  </si>
  <si>
    <t>Adarsh Hospital Kundapura</t>
  </si>
  <si>
    <t>17.7.23</t>
  </si>
  <si>
    <t>Home(Kullamballi)</t>
  </si>
  <si>
    <t>2700gms</t>
  </si>
  <si>
    <t>Wolmans Disease secondary Hemophagocytic Lymphohistiocytosis acute on chronic liver disease</t>
  </si>
  <si>
    <t>3m11days</t>
  </si>
  <si>
    <t>7.7.22</t>
  </si>
  <si>
    <t>14.4.23</t>
  </si>
  <si>
    <t>BA/Bcom</t>
  </si>
  <si>
    <t>3.10.22</t>
  </si>
  <si>
    <t>11.11.22</t>
  </si>
  <si>
    <t>23.3.23</t>
  </si>
  <si>
    <t>11gms</t>
  </si>
  <si>
    <t>39weeks</t>
  </si>
  <si>
    <t>Maravanthe</t>
  </si>
  <si>
    <t>B/o Sabiyabanu W/o Usman Bairy W/o Abdul, Ganesha Nagara Navunda</t>
  </si>
  <si>
    <t>5.7.23</t>
  </si>
  <si>
    <t>G H Goa</t>
  </si>
  <si>
    <t>7.7.23</t>
  </si>
  <si>
    <t>Medical College Goa</t>
  </si>
  <si>
    <t>1100gms</t>
  </si>
  <si>
    <t>Pneumothorax extreme prematurity extreme low birth weight</t>
  </si>
  <si>
    <t>26.12.22</t>
  </si>
  <si>
    <t>3.10.23</t>
  </si>
  <si>
    <t xml:space="preserve"> G3P2L2</t>
  </si>
  <si>
    <t>8th</t>
  </si>
  <si>
    <t>12.3.23</t>
  </si>
  <si>
    <t>1.7.23</t>
  </si>
  <si>
    <t>12.7gms</t>
  </si>
  <si>
    <t>27weeks</t>
  </si>
  <si>
    <t>Np</t>
  </si>
  <si>
    <t>Hebri</t>
  </si>
  <si>
    <t>B/o Radhika W/o Dinesh Naik Hebri</t>
  </si>
  <si>
    <t>Kudubi</t>
  </si>
  <si>
    <t>19.7.23</t>
  </si>
  <si>
    <t>20.7.23</t>
  </si>
  <si>
    <t>2300gms</t>
  </si>
  <si>
    <t>Hypoxic Ischemic Encephalopathy stage 3rd Dysmorphic facies/perinal asphyxia/shock/severe anaemia/coagulopathy, Late preterm(35+4weeks) AGA/LBW</t>
  </si>
  <si>
    <t>4hours36minutes</t>
  </si>
  <si>
    <t>12.11.22</t>
  </si>
  <si>
    <t>19.8.23</t>
  </si>
  <si>
    <t>Puc&amp;PUC</t>
  </si>
  <si>
    <t>22.12.22</t>
  </si>
  <si>
    <t>9.4.23</t>
  </si>
  <si>
    <t>9.4gms</t>
  </si>
  <si>
    <t>35+4weeks</t>
  </si>
  <si>
    <t>B/o Ozala Anjum 1-152/2 Iqbal Manzil , Kote, Near Koppalangadi Mallar</t>
  </si>
  <si>
    <t>2.7.23</t>
  </si>
  <si>
    <t>Lady Goschen Hosptial M'lore</t>
  </si>
  <si>
    <t>6.7.23</t>
  </si>
  <si>
    <t>640gms</t>
  </si>
  <si>
    <t>Extreme prematurity extreme low birth weight</t>
  </si>
  <si>
    <t>4days</t>
  </si>
  <si>
    <t>24.12.22</t>
  </si>
  <si>
    <t>1.10.23</t>
  </si>
  <si>
    <t>G3P2L3</t>
  </si>
  <si>
    <t>23.4.23</t>
  </si>
  <si>
    <t>11.5gms</t>
  </si>
  <si>
    <t>130/70</t>
  </si>
  <si>
    <t>Malpe</t>
  </si>
  <si>
    <t>Thanusha B/o Savithri Harish Kola Malpe</t>
  </si>
  <si>
    <t>Mogaveer</t>
  </si>
  <si>
    <t>11.3.23</t>
  </si>
  <si>
    <t>8.7.23</t>
  </si>
  <si>
    <t>1020gms</t>
  </si>
  <si>
    <t>Intra Cerebral Haemorrhage, severe Encephalopathy Severe anaemia coagulopathy</t>
  </si>
  <si>
    <t>3 1/2 months</t>
  </si>
  <si>
    <t>degree</t>
  </si>
  <si>
    <t>13.12.22</t>
  </si>
  <si>
    <t>24.11.23</t>
  </si>
  <si>
    <t>23.12.23</t>
  </si>
  <si>
    <t>23.1.23</t>
  </si>
  <si>
    <t>12gms</t>
  </si>
  <si>
    <t>29weeks</t>
  </si>
  <si>
    <t>Avarse</t>
  </si>
  <si>
    <t>Samraksha B/o Bharathi W/o Santhosh Kelachakkerbettu Vandaru Avarse</t>
  </si>
  <si>
    <t>3420gms</t>
  </si>
  <si>
    <t>Milk Aspiration</t>
  </si>
  <si>
    <t>56days</t>
  </si>
  <si>
    <t>27.8.22</t>
  </si>
  <si>
    <t>3.6.23</t>
  </si>
  <si>
    <t>G2P1L1</t>
  </si>
  <si>
    <t>10th&amp;10th</t>
  </si>
  <si>
    <t>31.10.22</t>
  </si>
  <si>
    <t>18.12.22</t>
  </si>
  <si>
    <t>30.11.22</t>
  </si>
  <si>
    <t>30.12.22</t>
  </si>
  <si>
    <t>28.1.23</t>
  </si>
  <si>
    <t>10.8gms</t>
  </si>
  <si>
    <t>33weeks</t>
  </si>
  <si>
    <t>Basrur</t>
  </si>
  <si>
    <t>B/o Shridevi W/o Prasad Kumar Kandavara Basrur</t>
  </si>
  <si>
    <t>129024250991</t>
  </si>
  <si>
    <t>6.6.23</t>
  </si>
  <si>
    <t>A J hospiral M'lore</t>
  </si>
  <si>
    <t>23.8.23</t>
  </si>
  <si>
    <t>Home(Basrur)</t>
  </si>
  <si>
    <t>Cardiorespiratory failure with septicemia with sacro Coccygeak Teratoma operated transient abnormal Amyelopoisis AML/Megakaryocytic Downs Syndrome moderate ASD with small PDA</t>
  </si>
  <si>
    <t>2m17days</t>
  </si>
  <si>
    <t xml:space="preserve"> LSCS</t>
  </si>
  <si>
    <t>19.9.22</t>
  </si>
  <si>
    <t>26.6.23</t>
  </si>
  <si>
    <t>B.A</t>
  </si>
  <si>
    <t>27.2.23</t>
  </si>
  <si>
    <t>Previous LSCS</t>
  </si>
  <si>
    <t>Kirimanjeshwara</t>
  </si>
  <si>
    <t>B/o Mallika, S/o Sathish Shetty Aparna Nilaya Kalthodu</t>
  </si>
  <si>
    <t>129027265170</t>
  </si>
  <si>
    <t>3.4.23</t>
  </si>
  <si>
    <t>6.8.23</t>
  </si>
  <si>
    <t>905gms</t>
  </si>
  <si>
    <t>Chronic Lung Disease, Chronic Pulmonary Artery Hypertension, Respiratory Distress Syndrome</t>
  </si>
  <si>
    <t>4 Month(125days)</t>
  </si>
  <si>
    <t>7.9.22</t>
  </si>
  <si>
    <t>II</t>
  </si>
  <si>
    <t>20.12.22</t>
  </si>
  <si>
    <t>13gms</t>
  </si>
  <si>
    <t>144/90</t>
  </si>
  <si>
    <t>29weeks4days</t>
  </si>
  <si>
    <t>B/o Nethra W/o Husein Uroof, Prasanna Vesadari, Tent House Mullikatte Hosadu</t>
  </si>
  <si>
    <t>129016388225</t>
  </si>
  <si>
    <t>14.8.23</t>
  </si>
  <si>
    <t>18.8.23</t>
  </si>
  <si>
    <t>Triplets Prematurity Low birth weight</t>
  </si>
  <si>
    <t>5days</t>
  </si>
  <si>
    <t>14.1.23</t>
  </si>
  <si>
    <t>21.10.23</t>
  </si>
  <si>
    <t>G3P1L1A1</t>
  </si>
  <si>
    <t>4th</t>
  </si>
  <si>
    <t>16.3.23</t>
  </si>
  <si>
    <t>20.4.23</t>
  </si>
  <si>
    <t>31.7.23</t>
  </si>
  <si>
    <t>Previous LSCS &amp; Triplets</t>
  </si>
  <si>
    <t>28weeks</t>
  </si>
  <si>
    <t>Palli</t>
  </si>
  <si>
    <t>B/o Jyothi W/o Ramesh Adapadi Durgadevi Sannidi House Palli</t>
  </si>
  <si>
    <t>129018103624</t>
  </si>
  <si>
    <t>24.7.23</t>
  </si>
  <si>
    <t>4.8.23</t>
  </si>
  <si>
    <t>3300gms</t>
  </si>
  <si>
    <t>Pulmonary Haemorrhage early onset sepsis(SGA)</t>
  </si>
  <si>
    <t>11days15hours</t>
  </si>
  <si>
    <t>28.10.22</t>
  </si>
  <si>
    <t>10th&amp;4th</t>
  </si>
  <si>
    <t>11.1.23</t>
  </si>
  <si>
    <t>30.1.23</t>
  </si>
  <si>
    <t>2.3.23</t>
  </si>
  <si>
    <t>5.4.23</t>
  </si>
  <si>
    <t>11.9gms</t>
  </si>
  <si>
    <t>Elderly Primi</t>
  </si>
  <si>
    <t>38weeks</t>
  </si>
  <si>
    <t>B/o Nalini W/o Shekara, Thandava Kunja, Ninjoor Palli</t>
  </si>
  <si>
    <t>129027169513</t>
  </si>
  <si>
    <t>ST(Koraga)</t>
  </si>
  <si>
    <t>26.4.23</t>
  </si>
  <si>
    <t>G H Thirthalli</t>
  </si>
  <si>
    <t>8.8.23</t>
  </si>
  <si>
    <t>2500gms</t>
  </si>
  <si>
    <t>Sudden death with excessive cry</t>
  </si>
  <si>
    <t>3m13days</t>
  </si>
  <si>
    <t>FTND</t>
  </si>
  <si>
    <t>15.4.23</t>
  </si>
  <si>
    <t>6th&amp;9th</t>
  </si>
  <si>
    <t>10.1.23</t>
  </si>
  <si>
    <t>11.7gms</t>
  </si>
  <si>
    <t>34weeks</t>
  </si>
  <si>
    <t>B/o Asha Naik W/o Naveen Naik Ananthanagara Manipal</t>
  </si>
  <si>
    <t>129027535378</t>
  </si>
  <si>
    <t>ST(Naik)</t>
  </si>
  <si>
    <t>27.7.23</t>
  </si>
  <si>
    <t>Sri devi Multi Speciality Hospital Honnavara</t>
  </si>
  <si>
    <t>28.7.23</t>
  </si>
  <si>
    <t>845gms</t>
  </si>
  <si>
    <t>Extreme Preterm 24weeks 5days LBW Perinal Asphyxia Severe Respiratory distress syndrome Right sided Phnuemothorax Garde 2 IUH pulmonary Haemorrhage</t>
  </si>
  <si>
    <t>4.2.23</t>
  </si>
  <si>
    <t>11.11.23</t>
  </si>
  <si>
    <t>15.5.23</t>
  </si>
  <si>
    <t>27.6.23</t>
  </si>
  <si>
    <t>24weeks</t>
  </si>
  <si>
    <t>Brahmavara</t>
  </si>
  <si>
    <t>Kokkarne</t>
  </si>
  <si>
    <t xml:space="preserve"> Rishika B/o Vani W/o Late Chandra Naik Thadagal Nenchar Village Kokkarne</t>
  </si>
  <si>
    <t>129018452179</t>
  </si>
  <si>
    <t>CHC Brahmavara</t>
  </si>
  <si>
    <t>13.8.23</t>
  </si>
  <si>
    <t>2550gms</t>
  </si>
  <si>
    <t>PM report awaited (KMC Manipal)</t>
  </si>
  <si>
    <t>2m27days</t>
  </si>
  <si>
    <t>28.8.22</t>
  </si>
  <si>
    <t>G2P3L2</t>
  </si>
  <si>
    <t>7th</t>
  </si>
  <si>
    <t>4.10.22</t>
  </si>
  <si>
    <t>3.11.22</t>
  </si>
  <si>
    <t>29.12.22</t>
  </si>
  <si>
    <t>12.6gms</t>
  </si>
  <si>
    <t>B/o Jyothi W/o Deekshith Near Mata, Kanchinadka Padubidri</t>
  </si>
  <si>
    <t>SC</t>
  </si>
  <si>
    <t>685gms</t>
  </si>
  <si>
    <t>Extreme Preterm Appropriate for gestational age/ELBW Severe respiratory distress syndrome/pulmonary hemorrhage/acute kidney injury</t>
  </si>
  <si>
    <t>6days</t>
  </si>
  <si>
    <t>22.2.23</t>
  </si>
  <si>
    <t>29.11.23</t>
  </si>
  <si>
    <t>11.5.23</t>
  </si>
  <si>
    <t>25.5.23</t>
  </si>
  <si>
    <t>22.6.23</t>
  </si>
  <si>
    <t>9.6gms</t>
  </si>
  <si>
    <t>Anaemic</t>
  </si>
  <si>
    <t>24weeks4days</t>
  </si>
  <si>
    <t>Bailoor</t>
  </si>
  <si>
    <t>B/o Vinoda Kadirapalke Yerlapadi Bailoor</t>
  </si>
  <si>
    <t>129021505073</t>
  </si>
  <si>
    <t>Lady Goschen Hospital M'lore</t>
  </si>
  <si>
    <t>13.9.23</t>
  </si>
  <si>
    <t>1465gms</t>
  </si>
  <si>
    <t>Aspiration?</t>
  </si>
  <si>
    <t>59days</t>
  </si>
  <si>
    <t>10.8.23</t>
  </si>
  <si>
    <t>23.2.23</t>
  </si>
  <si>
    <t>27.4.23</t>
  </si>
  <si>
    <t>8.6.23</t>
  </si>
  <si>
    <t>119/67</t>
  </si>
  <si>
    <t>35weeks+5days</t>
  </si>
  <si>
    <t>B/o Vanitha Devadiga W/o Dinesh Devadiga Kamil Darkas Jarkala Yerlapady</t>
  </si>
  <si>
    <t>129025411854</t>
  </si>
  <si>
    <t>20.8.23</t>
  </si>
  <si>
    <t>KMC manipal</t>
  </si>
  <si>
    <t>6.9.23</t>
  </si>
  <si>
    <t>725gms</t>
  </si>
  <si>
    <t xml:space="preserve">Septic shock culture positive sepsis Ecoli, Extreme Preterm 27+weeks AGA </t>
  </si>
  <si>
    <t>17days</t>
  </si>
  <si>
    <t>7.2.23</t>
  </si>
  <si>
    <t>14.11.23</t>
  </si>
  <si>
    <t>G6P1L1A4</t>
  </si>
  <si>
    <t>5th&amp;6th</t>
  </si>
  <si>
    <t>7.5.23</t>
  </si>
  <si>
    <t>1.6.23</t>
  </si>
  <si>
    <t>113/92</t>
  </si>
  <si>
    <t>Previous LSCS/HTN/</t>
  </si>
  <si>
    <t>B/o Padmavathi W/o Ravi Guddakibettu Yennehole</t>
  </si>
  <si>
    <t>129027523725</t>
  </si>
  <si>
    <t>21.8.23</t>
  </si>
  <si>
    <t>23.9.23</t>
  </si>
  <si>
    <t>1460gms</t>
  </si>
  <si>
    <t>Prematurity LBW Respiratory Distress</t>
  </si>
  <si>
    <t>1m3days</t>
  </si>
  <si>
    <t>20.10.23</t>
  </si>
  <si>
    <t>4.5.23</t>
  </si>
  <si>
    <t>Mala</t>
  </si>
  <si>
    <t>B/o Soni W/o Sandeep Peradka Mala</t>
  </si>
  <si>
    <t>129027773565</t>
  </si>
  <si>
    <t>20.9.23</t>
  </si>
  <si>
    <t>26.9.23</t>
  </si>
  <si>
    <t>1065gms</t>
  </si>
  <si>
    <t>Awaiting PM report</t>
  </si>
  <si>
    <t>4.12.23</t>
  </si>
  <si>
    <t>21.6.23</t>
  </si>
  <si>
    <t>25.7.23</t>
  </si>
  <si>
    <t>24.8.23</t>
  </si>
  <si>
    <t>131/96</t>
  </si>
  <si>
    <t>twin gestation</t>
  </si>
  <si>
    <t>Kandlur</t>
  </si>
  <si>
    <t>Mohammed Nuhu Alisha W/o Mohammed Nadim, Near Julpa store Kandlur</t>
  </si>
  <si>
    <t>129027265298</t>
  </si>
  <si>
    <t>2.5.23</t>
  </si>
  <si>
    <t>Father Mullers Hospital M'lore</t>
  </si>
  <si>
    <t>21.7.23</t>
  </si>
  <si>
    <t>2850gms</t>
  </si>
  <si>
    <t xml:space="preserve">Cardio Pulmonary arrest , Carpenter syndrome2, Hypoxic ischemic encephalopathy with sepsis </t>
  </si>
  <si>
    <t>2m19days</t>
  </si>
  <si>
    <t>8.8.22</t>
  </si>
  <si>
    <t>puc&amp;10th</t>
  </si>
  <si>
    <t>25.10.22</t>
  </si>
  <si>
    <t>8.12.22</t>
  </si>
  <si>
    <t>B/o Mubeen Kausar W/o Mohammed Sanavulla, Kabrady Kandlur</t>
  </si>
  <si>
    <t>129027771648</t>
  </si>
  <si>
    <t>30.8.23</t>
  </si>
  <si>
    <t>555gms</t>
  </si>
  <si>
    <t>Severe respiratory distress syndrome Extreme preterm AGA LBW</t>
  </si>
  <si>
    <t>7days</t>
  </si>
  <si>
    <t>24.12.23</t>
  </si>
  <si>
    <t>G4P1L1A2</t>
  </si>
  <si>
    <t>10th&amp;12th</t>
  </si>
  <si>
    <t>10.7.23</t>
  </si>
  <si>
    <t>150/90</t>
  </si>
  <si>
    <t>Hypertension diabetic, previous abortion</t>
  </si>
  <si>
    <t>23weeks</t>
  </si>
  <si>
    <t>B/o Rameeza W/o Navaz Ahamed Main Road Moodugopadi</t>
  </si>
  <si>
    <t>129027417131</t>
  </si>
  <si>
    <t>CHC Kota</t>
  </si>
  <si>
    <t>14.9.23</t>
  </si>
  <si>
    <t>Tamilnadu</t>
  </si>
  <si>
    <t>2200gms</t>
  </si>
  <si>
    <t>Transient taechypnea of newborn single umbalical artery and correction of Aorta with PDA moderate pulmonary hypertension</t>
  </si>
  <si>
    <t>1m6days</t>
  </si>
  <si>
    <t>11.8.23</t>
  </si>
  <si>
    <t>G2P0L0A1</t>
  </si>
  <si>
    <t>2nd puc</t>
  </si>
  <si>
    <t>3.2.23</t>
  </si>
  <si>
    <t>5.3.23</t>
  </si>
  <si>
    <t>26.7.23</t>
  </si>
  <si>
    <t>G1 Abortion</t>
  </si>
  <si>
    <t>40weeks</t>
  </si>
  <si>
    <t>Vandse(Hattiangadi)</t>
  </si>
  <si>
    <t>B/o Deepa W/o Mahabala Malagadde Mane Kenchanur</t>
  </si>
  <si>
    <t>129027313067</t>
  </si>
  <si>
    <t>30.6.23</t>
  </si>
  <si>
    <t>12.9.23</t>
  </si>
  <si>
    <t xml:space="preserve">On the way to Hospital </t>
  </si>
  <si>
    <t>2m12days</t>
  </si>
  <si>
    <t>22.9.22</t>
  </si>
  <si>
    <t>10th&amp;7th</t>
  </si>
  <si>
    <t>Sastana</t>
  </si>
  <si>
    <t>Girish B/o Geetha W/o Mahadeva Irody Sastana</t>
  </si>
  <si>
    <t>12904843</t>
  </si>
  <si>
    <t>12.5.23</t>
  </si>
  <si>
    <t>Adarsh Hospital Udupi</t>
  </si>
  <si>
    <t>11.9.23</t>
  </si>
  <si>
    <t>Hypertonia &amp; Microcephaly(MMR)</t>
  </si>
  <si>
    <t>3m29days</t>
  </si>
  <si>
    <t>26.8.22</t>
  </si>
  <si>
    <t>2.6.23</t>
  </si>
  <si>
    <t>G3P2L1Ab1</t>
  </si>
  <si>
    <t>Mcom&amp;BA</t>
  </si>
  <si>
    <t>22.11.22</t>
  </si>
  <si>
    <t>17.01.23</t>
  </si>
  <si>
    <t>Hirebettu</t>
  </si>
  <si>
    <t>B/o Archana Bhat W/o Shrinidhi, Mahalingeshwara Temple Road Parkala Udupi</t>
  </si>
  <si>
    <t>129027864818</t>
  </si>
  <si>
    <t>Brahmin</t>
  </si>
  <si>
    <t>22.9.23</t>
  </si>
  <si>
    <t>25.9.23</t>
  </si>
  <si>
    <t>715gms</t>
  </si>
  <si>
    <t>Extreme preterm 24+3weeks appropriate gestational age, extreme LBW PPROM/Severe respiratory distress syndrome</t>
  </si>
  <si>
    <t>4.4.23</t>
  </si>
  <si>
    <t>11.1.24</t>
  </si>
  <si>
    <t>G2P1L1A0</t>
  </si>
  <si>
    <t>Post Garduation</t>
  </si>
  <si>
    <t>22.7.23</t>
  </si>
  <si>
    <t>9.9.23</t>
  </si>
  <si>
    <t>7.8.23</t>
  </si>
  <si>
    <t>7.9.23</t>
  </si>
  <si>
    <t>20weeks</t>
  </si>
  <si>
    <t>B/o Saraswathi W/o Chandrashekar, C/o Shankar Shetty Slum Kasturbanagar</t>
  </si>
  <si>
    <t>129027460071</t>
  </si>
  <si>
    <t>15.9.23</t>
  </si>
  <si>
    <t>1570gms</t>
  </si>
  <si>
    <t>Resistant Septic shock due to neonatal sepsis, Restal ileal intensimal perforation ,  Moderate preterm 32+3weeks AGA</t>
  </si>
  <si>
    <t>25days</t>
  </si>
  <si>
    <t>5.1.23</t>
  </si>
  <si>
    <t>12.10.23</t>
  </si>
  <si>
    <t>G1P0L0</t>
  </si>
  <si>
    <t>6.5.23</t>
  </si>
  <si>
    <t>B/o  Umaibanu W/o Zakir Husein  Banu Complex Kombagudde, Mallur Kaup</t>
  </si>
  <si>
    <t>129027185486</t>
  </si>
  <si>
    <t>13.3.23</t>
  </si>
  <si>
    <t>Kulasa Hospital M'lore</t>
  </si>
  <si>
    <t>2.9.23</t>
  </si>
  <si>
    <t>Home(Majoor)</t>
  </si>
  <si>
    <t>1280gms</t>
  </si>
  <si>
    <t>IUGR 3rd Periventricular Leukomalacia</t>
  </si>
  <si>
    <t>5m22days</t>
  </si>
  <si>
    <t>10.7.22</t>
  </si>
  <si>
    <t>17.4.23</t>
  </si>
  <si>
    <t>6th&amp;degree</t>
  </si>
  <si>
    <t>17.10.22</t>
  </si>
  <si>
    <t>18.10.22</t>
  </si>
  <si>
    <t>17.11.22</t>
  </si>
  <si>
    <t>10.5gms</t>
  </si>
  <si>
    <t>Shiva</t>
  </si>
  <si>
    <t>B/o Mohammed Unas Razi Rameeza W/o Amarulla Darga Road Belapu</t>
  </si>
  <si>
    <t>1290213045890</t>
  </si>
  <si>
    <t>A J hospital M'lore</t>
  </si>
  <si>
    <t>Complex cardiac anamoly</t>
  </si>
  <si>
    <t>2m5days</t>
  </si>
  <si>
    <t>15.9.22</t>
  </si>
  <si>
    <t>9th</t>
  </si>
  <si>
    <t>13.01.23</t>
  </si>
  <si>
    <t>13.2.23</t>
  </si>
  <si>
    <t>B/o Shyamala W/o Sudarshana Rajiva Nagara Bangaragudde Hebri</t>
  </si>
  <si>
    <t>129027312437</t>
  </si>
  <si>
    <t>SDM Uduyavara</t>
  </si>
  <si>
    <t>29.9.23</t>
  </si>
  <si>
    <t>Pulmonary Haemorrhage severe pulmonary hypertension with severe respiratory distress</t>
  </si>
  <si>
    <t>4m4days</t>
  </si>
  <si>
    <t>G2P1L0Ab1</t>
  </si>
  <si>
    <t>9th&amp;10th</t>
  </si>
  <si>
    <t>15.2.23</t>
  </si>
  <si>
    <t>19.5.23</t>
  </si>
  <si>
    <t>12.3gms</t>
  </si>
  <si>
    <t>132/80</t>
  </si>
  <si>
    <t>HRP BOH</t>
  </si>
  <si>
    <t>Muniyal</t>
  </si>
  <si>
    <t>B/o Suguna W/o Nagaraj SC, Shaleguddemane, Padukuru, YellareMuniyal</t>
  </si>
  <si>
    <t>129011339651</t>
  </si>
  <si>
    <t>4.10.23</t>
  </si>
  <si>
    <t>9.10.23</t>
  </si>
  <si>
    <t>1470gms</t>
  </si>
  <si>
    <t>Disseminated intravascular coagulation prematurity low birth weight</t>
  </si>
  <si>
    <t>13.11.23</t>
  </si>
  <si>
    <t>5th</t>
  </si>
  <si>
    <t>5.9.23</t>
  </si>
  <si>
    <t>118/81</t>
  </si>
  <si>
    <t>Previous delivery PIH with LSCS</t>
  </si>
  <si>
    <t>Shamantha B/o Susheela W/o Sathish Mullihithlu Taggarse</t>
  </si>
  <si>
    <t>129026466200</t>
  </si>
  <si>
    <t>12.7.22</t>
  </si>
  <si>
    <t>25.10.23</t>
  </si>
  <si>
    <t>4180gms</t>
  </si>
  <si>
    <t xml:space="preserve">Disseminated Intravascular Coagulation  Multi Organ dysfunction syndrome septic shock Acute Respiratory Distress Syndrome,  suspected primary Immunodeficiency </t>
  </si>
  <si>
    <t>10m18days</t>
  </si>
  <si>
    <t>11.3.22</t>
  </si>
  <si>
    <t>8.10.22</t>
  </si>
  <si>
    <t>16.11.22</t>
  </si>
  <si>
    <t>13.8gms</t>
  </si>
  <si>
    <t>B/o Usha Krishna Shetty W/o Ashok Shetty Mooruru Kalthodu</t>
  </si>
  <si>
    <t>129027663641</t>
  </si>
  <si>
    <t>Koumundi Nursing Home Sirsi</t>
  </si>
  <si>
    <t>10.12.23</t>
  </si>
  <si>
    <t>Mahalaxmi Memorial Hospital Sirsi</t>
  </si>
  <si>
    <t>ELBW with RDS with sepsis</t>
  </si>
  <si>
    <t>13days</t>
  </si>
  <si>
    <t>28.3.23</t>
  </si>
  <si>
    <t>5.1.24</t>
  </si>
  <si>
    <t>puc</t>
  </si>
  <si>
    <t>Gestatinal Diabeticmellitus</t>
  </si>
  <si>
    <t>Punarvi B/o Geetha W/o Prakash Hunchani Golihole Kollur</t>
  </si>
  <si>
    <t>129027364122</t>
  </si>
  <si>
    <t>31.07.23</t>
  </si>
  <si>
    <t>21.9.23</t>
  </si>
  <si>
    <t>on the way to Kmc manipal</t>
  </si>
  <si>
    <t>Pulmonary Artery Hypertension</t>
  </si>
  <si>
    <t>51days</t>
  </si>
  <si>
    <t>8.5.23</t>
  </si>
  <si>
    <t>12.12.22</t>
  </si>
  <si>
    <t>7.1.23</t>
  </si>
  <si>
    <t>B/o Sunitha W/o Girish 4-529 th cross Tenkanidiyoor Kemmannu</t>
  </si>
  <si>
    <t>129027605548</t>
  </si>
  <si>
    <t>Madivala</t>
  </si>
  <si>
    <t>1.11.23</t>
  </si>
  <si>
    <t>9.11.23</t>
  </si>
  <si>
    <t>3160gms</t>
  </si>
  <si>
    <t>Term(39weeks3days) Hypoxio ischemic encephalopathy stage3/Birth Asphyxia</t>
  </si>
  <si>
    <t>4.11.23</t>
  </si>
  <si>
    <t>29.5.23</t>
  </si>
  <si>
    <t>11.7.23</t>
  </si>
  <si>
    <t>Hiriadka</t>
  </si>
  <si>
    <t>B/o Soumya D Nayak W/o Shrikanth Muttur cross Bommarabettu Hiriadka</t>
  </si>
  <si>
    <t>129027694167</t>
  </si>
  <si>
    <t>26.10.23</t>
  </si>
  <si>
    <t>29.10.23</t>
  </si>
  <si>
    <t>Hyper Echoic Mass 7.6*7.7cms in fetal liver Cardiogenic Shoock ARF, Severe Pulmonary Hypertension hepatic Hemargio high output syndrome failure</t>
  </si>
  <si>
    <t>24.2.23</t>
  </si>
  <si>
    <t>31.11.23</t>
  </si>
  <si>
    <t>26.5.23</t>
  </si>
  <si>
    <t>18.7.23</t>
  </si>
  <si>
    <t>11.2gms</t>
  </si>
  <si>
    <t>B/o Jyothi Aphrin Rodrigues W/o Rohan Kevin Rodrigues Nayakara Thota Heroor Brahmavara</t>
  </si>
  <si>
    <t>1290274494382</t>
  </si>
  <si>
    <t>Mahesh Hospital Brahmavara</t>
  </si>
  <si>
    <t>31.10.23</t>
  </si>
  <si>
    <t>Severe persistent pulmonary hypertension refractory metabolic acidosis suspected inborn error of metabolism</t>
  </si>
  <si>
    <t>22.11.23</t>
  </si>
  <si>
    <t>G4P2L1Ab2</t>
  </si>
  <si>
    <t>BA/Diploma</t>
  </si>
  <si>
    <t>19.6.23</t>
  </si>
  <si>
    <t>10.6gms</t>
  </si>
  <si>
    <t>Barkur</t>
  </si>
  <si>
    <t xml:space="preserve">Jasmi B/o Margarate W/o John Kotha Kuradi Holebadi Hanehalli  </t>
  </si>
  <si>
    <t>12901161380</t>
  </si>
  <si>
    <t>2.11.23</t>
  </si>
  <si>
    <t>On the way to Hospital  (Gandhinagara)</t>
  </si>
  <si>
    <t>3320gms</t>
  </si>
  <si>
    <t>Extra hepatic billiary atresia(Type IIB) post Kasai's portoenterostomy done(25.4.23) died due to repeated fever sepsis developed Ascites</t>
  </si>
  <si>
    <t>8m25days</t>
  </si>
  <si>
    <t>13.5.22</t>
  </si>
  <si>
    <t>20.2.23</t>
  </si>
  <si>
    <t>G3P1L1Ab1</t>
  </si>
  <si>
    <t>12th&amp;10th</t>
  </si>
  <si>
    <t>16.10.22</t>
  </si>
  <si>
    <t>13.11.22</t>
  </si>
  <si>
    <t>120/70</t>
  </si>
  <si>
    <t>Aloor</t>
  </si>
  <si>
    <t>B/o Yashoda W/o Prakash Poojary Brahmeri Aloor</t>
  </si>
  <si>
    <t>129027689947</t>
  </si>
  <si>
    <t>16.11.23</t>
  </si>
  <si>
    <t>KMC Mangalore</t>
  </si>
  <si>
    <t>17.11.23</t>
  </si>
  <si>
    <t>1900gms</t>
  </si>
  <si>
    <t>Septic shock with DIC Totala nomalous pulmonary venous connection with pulmonary hemorrhage , Late preterm infant of diabetic mother.</t>
  </si>
  <si>
    <t>30.12.23</t>
  </si>
  <si>
    <t>9.6.23</t>
  </si>
  <si>
    <t>22.8.23</t>
  </si>
  <si>
    <t>10.4gms</t>
  </si>
  <si>
    <t>Kukkehalli</t>
  </si>
  <si>
    <t>B/o Mamatha W/o Sudheera , H.No 2-202, 5cents Bellampalli</t>
  </si>
  <si>
    <t>129023022328</t>
  </si>
  <si>
    <t>19.11.23</t>
  </si>
  <si>
    <t>1110gms</t>
  </si>
  <si>
    <t>Severe respiratory distress syndrome, prematurity, Very low birth weight pulmonary arterial hypertension shock early onset neonatal sepsis</t>
  </si>
  <si>
    <t>3.2.24</t>
  </si>
  <si>
    <t>13.7.23</t>
  </si>
  <si>
    <t>17.8.23</t>
  </si>
  <si>
    <t>26.8.23</t>
  </si>
  <si>
    <t>Tanvi B/o Raksha W/o Prashanth Poojary Nergi Kodavoor Vadobandeshwara</t>
  </si>
  <si>
    <t>129027162182</t>
  </si>
  <si>
    <t>TMA Pai Udupi</t>
  </si>
  <si>
    <t>2675gms</t>
  </si>
  <si>
    <t>Status Epilepticus severe metabolic acidosis</t>
  </si>
  <si>
    <t>8months</t>
  </si>
  <si>
    <t>13.7.22</t>
  </si>
  <si>
    <t>MBA</t>
  </si>
  <si>
    <t>20.11.22</t>
  </si>
  <si>
    <t>np</t>
  </si>
  <si>
    <t>UPHC Udupi</t>
  </si>
  <si>
    <t xml:space="preserve">Smarth B/o Geetha W/o Chidananda, Mooduthota, Moodabettu </t>
  </si>
  <si>
    <t>129027542710</t>
  </si>
  <si>
    <t>15.7.23</t>
  </si>
  <si>
    <t>PHC Chamala Shahapura Yadgir</t>
  </si>
  <si>
    <t>DH Kalburgi</t>
  </si>
  <si>
    <t>3500gms</t>
  </si>
  <si>
    <t>Bronchopneumonia with severe sepsis and DIC due to IEM</t>
  </si>
  <si>
    <t>3m5days</t>
  </si>
  <si>
    <t>SSLC</t>
  </si>
  <si>
    <t>2.4.23</t>
  </si>
  <si>
    <t>20.1.23</t>
  </si>
  <si>
    <t>19.2.23</t>
  </si>
  <si>
    <t>20.3.23</t>
  </si>
  <si>
    <t>d</t>
  </si>
  <si>
    <t>Kota</t>
  </si>
  <si>
    <t>Niyathi B/o Asha W/o Chandra Scents Moodugiliyaru</t>
  </si>
  <si>
    <t>129027166475</t>
  </si>
  <si>
    <t>Manish Hospital Kundapura</t>
  </si>
  <si>
    <t>12.12.23</t>
  </si>
  <si>
    <t>Home   (Moodugiliyaru</t>
  </si>
  <si>
    <t>2m3days</t>
  </si>
  <si>
    <t>3.1.23</t>
  </si>
  <si>
    <t>10.10.23</t>
  </si>
  <si>
    <t>puc&amp;8th</t>
  </si>
  <si>
    <t>20.5.23</t>
  </si>
  <si>
    <t>37weeks</t>
  </si>
  <si>
    <t xml:space="preserve">Muniyal </t>
  </si>
  <si>
    <t>B/o Vasanthi W/o Ravi Harijana Padukudura Shakegudde Yellare Muniyal</t>
  </si>
  <si>
    <t>129022727875</t>
  </si>
  <si>
    <t>2.12.23</t>
  </si>
  <si>
    <t>940gms</t>
  </si>
  <si>
    <t>Pulmonary Haemorrhage Extreme Low birth weight</t>
  </si>
  <si>
    <t>01.6.23</t>
  </si>
  <si>
    <t>9gms</t>
  </si>
  <si>
    <t>Haladi</t>
  </si>
  <si>
    <t>B/o Jalaja W/o Balakrishna Hegde Horlijaddu Kullunje Haladi</t>
  </si>
  <si>
    <t>129027749081</t>
  </si>
  <si>
    <t>28.12.23</t>
  </si>
  <si>
    <t>17.1.24</t>
  </si>
  <si>
    <t>870gms</t>
  </si>
  <si>
    <t>Early Preterm29+weeks extremely low birth weight small for gestational age/nectrotising enterocolitis stage3/late onset neonatal sepsis escherichia coli/refractory septic shock multi organ dysfunction</t>
  </si>
  <si>
    <t>20days</t>
  </si>
  <si>
    <t>24.3.24</t>
  </si>
  <si>
    <t>G2P0A1</t>
  </si>
  <si>
    <t>25.11.23</t>
  </si>
  <si>
    <t>19.12.23</t>
  </si>
  <si>
    <t>Triplet IVF</t>
  </si>
  <si>
    <t>29+weeks</t>
  </si>
  <si>
    <t>B/o Poornima W/o Vinayaka Bhandari Udooru Yedthare B Byndoor</t>
  </si>
  <si>
    <t>129027721596</t>
  </si>
  <si>
    <t>Bhandari</t>
  </si>
  <si>
    <t>09.12.23</t>
  </si>
  <si>
    <t>08.1.24</t>
  </si>
  <si>
    <t>1380gms</t>
  </si>
  <si>
    <t>Neonatal Sepsis prematurity with LBW</t>
  </si>
  <si>
    <t>30days</t>
  </si>
  <si>
    <t>22.1.24</t>
  </si>
  <si>
    <t>PUC/BA</t>
  </si>
  <si>
    <t>31.8.23</t>
  </si>
  <si>
    <t>Blood group O-ve</t>
  </si>
  <si>
    <t>B/o Akshatha K Marati, W/o Vijay Marati Kalmata Kalthodu Byndoor</t>
  </si>
  <si>
    <t>129025145116</t>
  </si>
  <si>
    <t>26.12.23</t>
  </si>
  <si>
    <t>31.12.23</t>
  </si>
  <si>
    <t>920gms</t>
  </si>
  <si>
    <t>Extreme Prematurity &amp; Low Birth weight</t>
  </si>
  <si>
    <t>20.6.23</t>
  </si>
  <si>
    <t>27.3.24</t>
  </si>
  <si>
    <t>G3P0A2</t>
  </si>
  <si>
    <t>22.12.23</t>
  </si>
  <si>
    <t>Cirvicle stich previous 2 abortion</t>
  </si>
  <si>
    <t>B/o Shekavva W/o Umesh Baradur C/o Saraswathi Devdas Sampath Complex Shrinagara Tenkanidiyoor</t>
  </si>
  <si>
    <t>129027746753</t>
  </si>
  <si>
    <t>Kuruba(ST)</t>
  </si>
  <si>
    <t>10.1.24</t>
  </si>
  <si>
    <t>1360gms</t>
  </si>
  <si>
    <t>Esophageal Atresia</t>
  </si>
  <si>
    <t>1.5.23</t>
  </si>
  <si>
    <t>8.2.24</t>
  </si>
  <si>
    <t>G3Ab1MTP1</t>
  </si>
  <si>
    <t>8th&amp;10th</t>
  </si>
  <si>
    <t>6.10.23</t>
  </si>
  <si>
    <t>B/o Kavisha W/o Sonal Bangera H.No5 1008, Near Kidiyoor post</t>
  </si>
  <si>
    <t>129027964974</t>
  </si>
  <si>
    <t>3100gms</t>
  </si>
  <si>
    <t>Term(37weeks+5days) Appropriate for gestational age/refractory cardiogenic shock/congenital dilated cardiomyopathy (Genetic)</t>
  </si>
  <si>
    <t>12days</t>
  </si>
  <si>
    <t>29.4.23</t>
  </si>
  <si>
    <t>6.1.24</t>
  </si>
  <si>
    <t>27.10.23</t>
  </si>
  <si>
    <t>13.3gms</t>
  </si>
  <si>
    <t>B/o Surekha W/o Prashanth1-21 Kripa Nilaya Near Mata, Kanchnadka</t>
  </si>
  <si>
    <t>129014446287</t>
  </si>
  <si>
    <t>5.2.23</t>
  </si>
  <si>
    <t>On the way to Hospital</t>
  </si>
  <si>
    <t>3200gms</t>
  </si>
  <si>
    <t>Billary Atresia with chronic liver disease</t>
  </si>
  <si>
    <t>10m26days</t>
  </si>
  <si>
    <t>12.5.22</t>
  </si>
  <si>
    <t>16.8.23</t>
  </si>
  <si>
    <t>18.9.23</t>
  </si>
  <si>
    <t>38+5weeks</t>
  </si>
  <si>
    <t>Shirva</t>
  </si>
  <si>
    <t>Sony W/o Ganesh Moodumattar Shirva</t>
  </si>
  <si>
    <t>129019834132</t>
  </si>
  <si>
    <t>11.12.23</t>
  </si>
  <si>
    <t>3.1.24</t>
  </si>
  <si>
    <t>On the way to Hospital(108)</t>
  </si>
  <si>
    <t>1700gms</t>
  </si>
  <si>
    <t>Hypoglycemia sepsis small gestation.LBW</t>
  </si>
  <si>
    <t>22days</t>
  </si>
  <si>
    <t>Mudarangadi</t>
  </si>
  <si>
    <t>B/o Ramlath W/o Mansoor Ahmed Elluru Paniyoor Mudarangadi</t>
  </si>
  <si>
    <t>129011525080</t>
  </si>
  <si>
    <t>K S Hegde Hospital M'lore</t>
  </si>
  <si>
    <t>K/C/O Pierre Robinson syndrome cleft palate(Soft palate)S/p Glossopexy Failure to thrive/severe acute malnutrition/GERD/congenital laryngomalacia/   anemia</t>
  </si>
  <si>
    <t>2m23days</t>
  </si>
  <si>
    <t>24.1.23</t>
  </si>
  <si>
    <t>No card</t>
  </si>
  <si>
    <t>12.6.23</t>
  </si>
  <si>
    <t>Adithya S/o Bharathi W/o Suresh Moodu palimaru Mudarangadi</t>
  </si>
  <si>
    <t>129024062236</t>
  </si>
  <si>
    <t>8.2.23</t>
  </si>
  <si>
    <t>West syndrome global developmental delay Siezures dyskinesia and movement disorder</t>
  </si>
  <si>
    <t>11m2days</t>
  </si>
  <si>
    <t>11.5.22</t>
  </si>
  <si>
    <t>18.2.23</t>
  </si>
  <si>
    <t>10.9.23</t>
  </si>
  <si>
    <t>11.10.23</t>
  </si>
  <si>
    <t>B/o Pramoda W/o Ravi Poojary matathota Pandeshwara</t>
  </si>
  <si>
    <t>129027651915</t>
  </si>
  <si>
    <t>12.1.24</t>
  </si>
  <si>
    <t>Mild degree oligominous mild assymetrical IUGR severe PE Cardio Respiratory Arrest due to Aspiration</t>
  </si>
  <si>
    <t>3hours</t>
  </si>
  <si>
    <t>13.1.24</t>
  </si>
  <si>
    <t>G1P1L0</t>
  </si>
  <si>
    <t>10tg&amp;10th</t>
  </si>
  <si>
    <t>06.7.23</t>
  </si>
  <si>
    <t>04.9.23</t>
  </si>
  <si>
    <t>12.2gms</t>
  </si>
  <si>
    <t>Idu</t>
  </si>
  <si>
    <t>Shifabanu B/o Hasina Sabhir, Shakil Manzil Karimbail, Idu</t>
  </si>
  <si>
    <t>129027495150</t>
  </si>
  <si>
    <t>30.9.23</t>
  </si>
  <si>
    <t>19.1.24</t>
  </si>
  <si>
    <t>Obstructive Jaundice Biliary Atresia Downs Phenotype</t>
  </si>
  <si>
    <t>3m19days</t>
  </si>
  <si>
    <t>1.1.23</t>
  </si>
  <si>
    <t>8.10.23</t>
  </si>
  <si>
    <t>Peimi</t>
  </si>
  <si>
    <t>38wee+6days</t>
  </si>
  <si>
    <t>B/o Maithri W/o Dayananda Muvathmudi Hemmadi Gangolli</t>
  </si>
  <si>
    <t>129024664016</t>
  </si>
  <si>
    <t>22.2.24</t>
  </si>
  <si>
    <t>590gms</t>
  </si>
  <si>
    <t>Viral Pneumonia Chronic Lung Disease Extreme Prematurity</t>
  </si>
  <si>
    <t>7m2days</t>
  </si>
  <si>
    <t>Bed/PUC</t>
  </si>
  <si>
    <t>24.4.23</t>
  </si>
  <si>
    <t>Low lying placnenta mild Degree short cervix</t>
  </si>
  <si>
    <t>Sanketh B/o Anitha W/o Janardhana Poojary Alandoor Yadthare Byndoor</t>
  </si>
  <si>
    <t>129027721292</t>
  </si>
  <si>
    <t>12.2.24</t>
  </si>
  <si>
    <t>2760gms</t>
  </si>
  <si>
    <t>IEM CHD PPHN Awaiting Autopsy report</t>
  </si>
  <si>
    <t>45days</t>
  </si>
  <si>
    <t>7.4.23</t>
  </si>
  <si>
    <t>14.1.24</t>
  </si>
  <si>
    <t>3.7.23</t>
  </si>
  <si>
    <t>3.8.23</t>
  </si>
  <si>
    <t>13.4gms</t>
  </si>
  <si>
    <t>38+Weeks</t>
  </si>
  <si>
    <t>B/o Naima W/o Asif Bharathnagar Uliyaragoli Kaup</t>
  </si>
  <si>
    <t>129020737117</t>
  </si>
  <si>
    <t>11.2.24</t>
  </si>
  <si>
    <t>13.2.24</t>
  </si>
  <si>
    <t>720gms</t>
  </si>
  <si>
    <t>Pulmonary Hemorrhage grade 3 intraventricular Hemorrhage refactory shock severe RDS birth Asphyxia extreme preterm low birth weight</t>
  </si>
  <si>
    <t>2days</t>
  </si>
  <si>
    <t>29.8.23</t>
  </si>
  <si>
    <t>4.6.24</t>
  </si>
  <si>
    <t>2nd</t>
  </si>
  <si>
    <t>23.1.24</t>
  </si>
  <si>
    <t>24.1.24</t>
  </si>
  <si>
    <t>B/o Tejaswini W/o Prashanth Kamala Nivas, D.No 523, Koralagudde    S S Road Hejamady</t>
  </si>
  <si>
    <t>129027800087</t>
  </si>
  <si>
    <t>26.1.24</t>
  </si>
  <si>
    <t>2450gms</t>
  </si>
  <si>
    <t>Late Preterm(34+2) AGA/LBW/Severe RDS/Massive Pulmonary Hemorrhage/Severe PPHN</t>
  </si>
  <si>
    <t>22.5.23</t>
  </si>
  <si>
    <t>29.2.24</t>
  </si>
  <si>
    <t>B.com</t>
  </si>
  <si>
    <t>30.10.23</t>
  </si>
  <si>
    <t>09.8.23</t>
  </si>
  <si>
    <t>09.10.23</t>
  </si>
  <si>
    <t>Mohammed Rafan B/o Ashmath K S W/o Mansoor Abhubakkar Ajekar</t>
  </si>
  <si>
    <t>129011399625</t>
  </si>
  <si>
    <t>G H Koppa</t>
  </si>
  <si>
    <t>18.2.24</t>
  </si>
  <si>
    <t>SCS Hospital M'lore</t>
  </si>
  <si>
    <t>Respiratory failure Global developmental delay Progressive neurological dysfunction</t>
  </si>
  <si>
    <t>22.6.22</t>
  </si>
  <si>
    <t>SSlc&amp;SSLC</t>
  </si>
  <si>
    <t>24.11.22</t>
  </si>
  <si>
    <t>16.1.23</t>
  </si>
  <si>
    <t>B/o Jyothi W/o Shivarama Near School Palli</t>
  </si>
  <si>
    <t>129028009577</t>
  </si>
  <si>
    <t>9.2.24</t>
  </si>
  <si>
    <t>700gms</t>
  </si>
  <si>
    <t>Extreme Preterm &amp; LBW 25weeks+5days (Hyaline Membrance Disease)</t>
  </si>
  <si>
    <t>Spontaneous</t>
  </si>
  <si>
    <t>12.8.23</t>
  </si>
  <si>
    <t>18.5.24</t>
  </si>
  <si>
    <t>G4P2L1A2</t>
  </si>
  <si>
    <t>16.12.23</t>
  </si>
  <si>
    <t>15.12.23</t>
  </si>
  <si>
    <t>15.1.24</t>
  </si>
  <si>
    <t>98/64</t>
  </si>
  <si>
    <t>25weeks5day</t>
  </si>
  <si>
    <t>Fathima Farhana w/o Abdul Hameed  1-14c-15     Baithul  Mabhashir Nadsal, Padubidri</t>
  </si>
  <si>
    <t>6.2.24</t>
  </si>
  <si>
    <t>Tara clinic</t>
  </si>
  <si>
    <t>19.2.24</t>
  </si>
  <si>
    <t>On the way</t>
  </si>
  <si>
    <t>Congenital Heart disease</t>
  </si>
  <si>
    <t>13 days</t>
  </si>
  <si>
    <t>4.2.24</t>
  </si>
  <si>
    <t>4.9.23</t>
  </si>
  <si>
    <t>Deeksha Rao W/o Divyanshu    Shanubhogara mane    Opp Govt College Mallar, Kaup</t>
  </si>
  <si>
    <t>others</t>
  </si>
  <si>
    <t>20.3.24</t>
  </si>
  <si>
    <t>K.M.C Manipal</t>
  </si>
  <si>
    <t>1510gms</t>
  </si>
  <si>
    <t>GR IV Intracranial Hemorrhage  Right cerebral Hemisphere  Enterobacter Cloacaf Sepsis   Moderate preterm   LBW    Small EDR Gestational age</t>
  </si>
  <si>
    <t>7 days</t>
  </si>
  <si>
    <t>Lscs</t>
  </si>
  <si>
    <t>2.5.24</t>
  </si>
  <si>
    <t>BE</t>
  </si>
  <si>
    <t>6.11.23</t>
  </si>
  <si>
    <t>5.12.23</t>
  </si>
  <si>
    <t xml:space="preserve">B/o Amitha W/o Vasanth  Ganga Nivas  Padumane, Kaup </t>
  </si>
  <si>
    <t>31.3.24</t>
  </si>
  <si>
    <t>1800gms</t>
  </si>
  <si>
    <t>Late preterm(34 wks)  low birth weight 1.8kg Appropriate for gestational age  Prenatal asphyxia Hypotonia with contracture arithrocryprosis/Arthogryposis/Underscended testis/Severe hypoxic ischaemic encephalopathy/Antenatal suspected fetal akinesia deformation sequence/sespected neuromuscular disease.</t>
  </si>
  <si>
    <t>5 days</t>
  </si>
  <si>
    <t>2.8.23</t>
  </si>
  <si>
    <t>G2p1l1iud1</t>
  </si>
  <si>
    <t>B COM</t>
  </si>
  <si>
    <t>9.12.23</t>
  </si>
  <si>
    <t>01.01.24</t>
  </si>
  <si>
    <t>13.9gms</t>
  </si>
  <si>
    <t>130/80</t>
  </si>
  <si>
    <t>Brahmavra</t>
  </si>
  <si>
    <t xml:space="preserve">B/o Ayesha Shafana W/o Sufaid Abdul Khader Jailani 2-61/1A Matapady Brahmavara Taluk Udupi </t>
  </si>
  <si>
    <t>4.3.24</t>
  </si>
  <si>
    <t>City Hospital Udupi</t>
  </si>
  <si>
    <t>19.3.24</t>
  </si>
  <si>
    <t>3520gms</t>
  </si>
  <si>
    <t>Severe PPHN with congenital heart disease (ASD,PDA) with culture nagative sepsis with DIC with suspected inborn error of metabolism</t>
  </si>
  <si>
    <t>15days</t>
  </si>
  <si>
    <t>10.6.23</t>
  </si>
  <si>
    <t>16.3.24</t>
  </si>
  <si>
    <t>Mcom</t>
  </si>
  <si>
    <t>14.2.24</t>
  </si>
  <si>
    <t>2.10.23</t>
  </si>
  <si>
    <t>3.11.23</t>
  </si>
  <si>
    <t>B/o Vimala Bai W/o Prakash Naik Halli Padu Kotambailu 34th Kudi Village Kokkarne</t>
  </si>
  <si>
    <t xml:space="preserve">ST </t>
  </si>
  <si>
    <t>5.3.24</t>
  </si>
  <si>
    <t>990gms</t>
  </si>
  <si>
    <t>phuemo mediastinum causing mediastinum pneumothorax low birth weight sepsis</t>
  </si>
  <si>
    <t>24.6.23</t>
  </si>
  <si>
    <t>30.3.24</t>
  </si>
  <si>
    <t>MA</t>
  </si>
  <si>
    <t>130/90</t>
  </si>
  <si>
    <t>Siddapura</t>
  </si>
  <si>
    <t xml:space="preserve">B/o Jaya W/o Sudhakar Bhoovi , Kalakuradi, Yadamoge, Siddapura </t>
  </si>
  <si>
    <t>Bhoovi</t>
  </si>
  <si>
    <t>Yenopoya Hospital M'lore</t>
  </si>
  <si>
    <t>13.3.24</t>
  </si>
  <si>
    <t>Early preterm31 weeks+2days ) MCDA Twin1 Catecholamaine Resistant shock respiratory failure refractory seizure</t>
  </si>
  <si>
    <t>38days</t>
  </si>
  <si>
    <t>7.4.24</t>
  </si>
  <si>
    <t>G2P2L1</t>
  </si>
  <si>
    <t>5th &amp;6th</t>
  </si>
  <si>
    <t>27.9.23</t>
  </si>
  <si>
    <t>13.5gms</t>
  </si>
  <si>
    <t>31weeks +2days</t>
  </si>
  <si>
    <t>Donderangadi</t>
  </si>
  <si>
    <t>B/o Nireeksha W/o Suresh Paljaddu Yellare Donderangadi</t>
  </si>
  <si>
    <t>PHC Donderangadi</t>
  </si>
  <si>
    <t>12.3.24</t>
  </si>
  <si>
    <t>Padukuduru Near Primary School</t>
  </si>
  <si>
    <t>2750gms</t>
  </si>
  <si>
    <t>Sudden infant death syndrome</t>
  </si>
  <si>
    <t>16.2.24</t>
  </si>
  <si>
    <t>4th&amp;4th</t>
  </si>
  <si>
    <t>18.10.23</t>
  </si>
  <si>
    <t>16.10.23</t>
  </si>
  <si>
    <t>15.11.23</t>
  </si>
  <si>
    <t>9gm</t>
  </si>
  <si>
    <t>B/o Poornima W/o Ramachandra Janatha Colony Uppunda</t>
  </si>
  <si>
    <t>Kharvi</t>
  </si>
  <si>
    <t>4.4.24</t>
  </si>
  <si>
    <t>17.4.24</t>
  </si>
  <si>
    <t>925gms</t>
  </si>
  <si>
    <t>Early Preterm(31weeks+5day) Extremly low birth weight , Small for gestational age/Birth Asphyxia/Severe respiratory Distress Syndrome Early rescue Surfactant /severe pulmonary Arterial Hypertension Acute Kidney Injury /Hyponatremia/Hypoglycemia/Candida sepsis/Coagulopathy/Pulmonary Haemorrhage</t>
  </si>
  <si>
    <t>2.6.24</t>
  </si>
  <si>
    <t>1.1.24</t>
  </si>
  <si>
    <t>1.4.24</t>
  </si>
  <si>
    <t>10.9gms</t>
  </si>
  <si>
    <t>31weeks5days</t>
  </si>
  <si>
    <t>B/o M Anusha Kumari W/o Shanthiraj Jain Kelagina Karimbyalu Idu</t>
  </si>
  <si>
    <t>Jain</t>
  </si>
  <si>
    <t>12.4.24</t>
  </si>
  <si>
    <t>16.4.24</t>
  </si>
  <si>
    <t>2950gms</t>
  </si>
  <si>
    <t>Multiple Fetal Anomalies Absent Cavum Pellucudum With Septo-Optic Dysplasia? Severe Persistent Pulmonary Hypertension</t>
  </si>
  <si>
    <t>3day15hours12m</t>
  </si>
  <si>
    <t>15.5.24</t>
  </si>
  <si>
    <t>M.com PUC</t>
  </si>
  <si>
    <t>27.12.23</t>
  </si>
  <si>
    <t>Korgi</t>
  </si>
  <si>
    <t>Divani Kumari B/o Pinkidevi Kumari W/o Hareram Paswan , Girija Cashew Factory Asodu Korgi</t>
  </si>
  <si>
    <t>9.3.24</t>
  </si>
  <si>
    <t>17.5.24</t>
  </si>
  <si>
    <t>2006gms</t>
  </si>
  <si>
    <t>SIDs</t>
  </si>
  <si>
    <t>2m8days</t>
  </si>
  <si>
    <t>25.6.23</t>
  </si>
  <si>
    <t>G5P2L2</t>
  </si>
  <si>
    <t>Uneducated</t>
  </si>
  <si>
    <t>Rh nagative</t>
  </si>
  <si>
    <t>B/o Bhavya  W/o Vinoda Uppinakote Uppunda</t>
  </si>
  <si>
    <t>10.5.24</t>
  </si>
  <si>
    <t>980gms</t>
  </si>
  <si>
    <t>Sepsis Prematurity With VLBW</t>
  </si>
  <si>
    <t>29.7.24</t>
  </si>
  <si>
    <t>BA/Bed</t>
  </si>
  <si>
    <t>30.11.23</t>
  </si>
  <si>
    <t>4.1.24</t>
  </si>
  <si>
    <t>9.4.24</t>
  </si>
  <si>
    <t>Hypothyrodism</t>
  </si>
  <si>
    <t>Shiroor</t>
  </si>
  <si>
    <t xml:space="preserve">B/o Shriraksha W/o Prlash, Subbumane, Tarapathi Paduvary </t>
  </si>
  <si>
    <t>22.4.24</t>
  </si>
  <si>
    <t>25.4.24</t>
  </si>
  <si>
    <t>1990gms</t>
  </si>
  <si>
    <t>Extreme Preterm Congenital Pneumonia</t>
  </si>
  <si>
    <t>11.7.24</t>
  </si>
  <si>
    <t>G2P1L0A1</t>
  </si>
  <si>
    <t>Degree/PUC</t>
  </si>
  <si>
    <t xml:space="preserve">B/o Abeeda Mohammed, Brahmavara </t>
  </si>
  <si>
    <t>Gandhi Hospital Udupi</t>
  </si>
  <si>
    <t>11.5.24</t>
  </si>
  <si>
    <t>Fallots Tetrology Cyanotic Spell</t>
  </si>
  <si>
    <t>2months</t>
  </si>
  <si>
    <t>G5</t>
  </si>
  <si>
    <t>Puc&amp;7th</t>
  </si>
  <si>
    <t>15.10.23</t>
  </si>
  <si>
    <t>100/60</t>
  </si>
  <si>
    <t>39weeks4days</t>
  </si>
  <si>
    <t>Inna</t>
  </si>
  <si>
    <t xml:space="preserve">B/o Swathi W/o Yogish Acharya, Darkas House Kanjarkatte, Inna Santhoor Post </t>
  </si>
  <si>
    <t>Acharya</t>
  </si>
  <si>
    <t>A J Hospital Mangalore</t>
  </si>
  <si>
    <t>12.5.24</t>
  </si>
  <si>
    <t>Multi Organ Dysfuction syndrome septic shock bilateral grade 3 intra ventricular hemorrhage with moderate Hydrocephalus neonatal seizures acute kidney injury stage 1 anemia of prematurity moderate respiratory distress syndrome very preterm very low birth weight.</t>
  </si>
  <si>
    <t>16days</t>
  </si>
  <si>
    <t>28.9.23</t>
  </si>
  <si>
    <t>5.7.24</t>
  </si>
  <si>
    <t>Bcom</t>
  </si>
  <si>
    <t>25.1.24</t>
  </si>
  <si>
    <t>24.2.24</t>
  </si>
  <si>
    <t>26.3.24</t>
  </si>
  <si>
    <t>34weeks4days</t>
  </si>
  <si>
    <t>G1P0L1</t>
  </si>
  <si>
    <t>Sanvith B/o Leelavathi W/o Gopala Daivanugraha House, Ballottu, Idu</t>
  </si>
  <si>
    <t>22.3.24</t>
  </si>
  <si>
    <t>7.5.24</t>
  </si>
  <si>
    <t>Refractory Decompensated Shock Biventricular Failure severe PAH</t>
  </si>
  <si>
    <t>1month 15days</t>
  </si>
  <si>
    <t>6.7.24</t>
  </si>
  <si>
    <t>10th&amp;6th</t>
  </si>
  <si>
    <t>17.3.24</t>
  </si>
  <si>
    <t>29.1.24</t>
  </si>
  <si>
    <t>25weeks</t>
  </si>
  <si>
    <t>High Risk (Yes / No)</t>
  </si>
  <si>
    <t>Type of High Risk</t>
  </si>
  <si>
    <t>Delivery Type (LSCS / Norma / Induced)</t>
  </si>
  <si>
    <t>Gender</t>
  </si>
  <si>
    <t>Taluk</t>
  </si>
  <si>
    <t>PHC</t>
  </si>
  <si>
    <t>Place of Death</t>
  </si>
  <si>
    <t>Severe Hypertension</t>
  </si>
  <si>
    <t>Sevre Aneamia</t>
  </si>
  <si>
    <t>Heigh &lt;145 cms</t>
  </si>
  <si>
    <t>Twins / Triplets etc</t>
  </si>
  <si>
    <t>IUGR</t>
  </si>
  <si>
    <t>Transverse lie of featus</t>
  </si>
  <si>
    <t>Fetal developmental abnormalaitis</t>
  </si>
  <si>
    <t>Tyroid Disease</t>
  </si>
  <si>
    <t>4 / More Pregnancies</t>
  </si>
  <si>
    <t>Epilpsy / Asthama / Any other Disease</t>
  </si>
  <si>
    <t>Infectitons like HIV, Sypholiis</t>
  </si>
  <si>
    <t>Months</t>
  </si>
  <si>
    <t>Days</t>
  </si>
  <si>
    <t>Hours</t>
  </si>
  <si>
    <t>Kundapura</t>
  </si>
  <si>
    <t>Udupi</t>
  </si>
  <si>
    <t>Karkala</t>
  </si>
  <si>
    <t>Age of Child at the time of death</t>
  </si>
  <si>
    <t>Pvt. Hospital</t>
  </si>
  <si>
    <t>Govt. Hospital</t>
  </si>
  <si>
    <t>Transit</t>
  </si>
  <si>
    <t>LBW</t>
  </si>
  <si>
    <t>Pneumonia</t>
  </si>
  <si>
    <t>Sepsis</t>
  </si>
  <si>
    <t>Morderate Premature (&lt;32-33 weeks)</t>
  </si>
  <si>
    <t>Late Pre-term (34-36 weeks)</t>
  </si>
  <si>
    <t>Extreme preterm &lt;28 weeks)</t>
  </si>
  <si>
    <t>Early Premature (28-31 weeks)</t>
  </si>
  <si>
    <t>Neonatal Asphyxia</t>
  </si>
  <si>
    <t>Pvt. Medical College</t>
  </si>
  <si>
    <t xml:space="preserve">Pvt. Medical College </t>
  </si>
  <si>
    <t>Cardiac</t>
  </si>
  <si>
    <t>Others</t>
  </si>
  <si>
    <t>Reason for Others</t>
  </si>
  <si>
    <t>Myocarditis</t>
  </si>
  <si>
    <t>Cause of Death</t>
  </si>
  <si>
    <t>Respiratory Distress</t>
  </si>
  <si>
    <t xml:space="preserve">Status Epilepticus </t>
  </si>
  <si>
    <t>Meconium Aspiration Syndrome</t>
  </si>
  <si>
    <t>Necrotinsing Enterocolitis</t>
  </si>
  <si>
    <t>Pneumothorax</t>
  </si>
  <si>
    <t>SIDS</t>
  </si>
  <si>
    <t>CHD</t>
  </si>
  <si>
    <t>Cardiac Anomoly</t>
  </si>
  <si>
    <t>Hepatic Cause</t>
  </si>
  <si>
    <t>LBW , Morderate Prematurity</t>
  </si>
  <si>
    <t>Balkis banu</t>
  </si>
  <si>
    <t>sids</t>
  </si>
  <si>
    <t xml:space="preserve">MORDERATE PRETERM, </t>
  </si>
  <si>
    <t>LBW, EXTREME PREMATURITY, SEPSIS</t>
  </si>
  <si>
    <t>LBW,TWIN,OTHERS</t>
  </si>
  <si>
    <t xml:space="preserve">Hemophagocytic </t>
  </si>
  <si>
    <t>Wolmans Disease</t>
  </si>
  <si>
    <t>AML/Megakaryocytic Downs Syndrome moderate ASD with small PDA</t>
  </si>
  <si>
    <t xml:space="preserve">Chronic Lung Disease, Chronic Pulmonary Artery Hypertension, </t>
  </si>
  <si>
    <t>intensimal perforation</t>
  </si>
  <si>
    <t>Pulmonary Haemorrhage severe pulmonary hypertension</t>
  </si>
  <si>
    <t>Hyper Echoic Mass 7.6*7.7cms in fetal liver Cardiogenic Shoock ARF,</t>
  </si>
  <si>
    <t>Cronic Liver Disease</t>
  </si>
  <si>
    <t>Billary Atresia</t>
  </si>
  <si>
    <t>Pulmonary Hemorrhage</t>
  </si>
  <si>
    <t>B/o Balkis Banu W/o Musthak Ahamed, Gujjarbettu</t>
  </si>
  <si>
    <t>Trisomy 21, VSD, Acute Failure Severe, PAH ASD 7mm</t>
  </si>
  <si>
    <t>Preventable Yes / No</t>
  </si>
  <si>
    <t>Sl. No</t>
  </si>
  <si>
    <t>Kulal</t>
  </si>
  <si>
    <t>Nayak</t>
  </si>
  <si>
    <t>Kuruba</t>
  </si>
  <si>
    <t>Polai</t>
  </si>
  <si>
    <t>Lambani</t>
  </si>
  <si>
    <t>Pregnancy induced Hypertension</t>
  </si>
  <si>
    <t>Preventable 
(Yes / No)</t>
  </si>
  <si>
    <t>Christian</t>
  </si>
  <si>
    <t>Achari</t>
  </si>
  <si>
    <t>Diabetes mellitus</t>
  </si>
  <si>
    <t>RH '- ve'</t>
  </si>
  <si>
    <t>Twins / Multiple etc</t>
  </si>
  <si>
    <t>Age</t>
  </si>
  <si>
    <t>Pvt. Clinic</t>
  </si>
  <si>
    <t>fsadf</t>
  </si>
  <si>
    <t xml:space="preserve"> Aneamia</t>
  </si>
  <si>
    <t>Sevre Aneamia (Hb&lt;7)</t>
  </si>
  <si>
    <t xml:space="preserve"> Previous Abortion</t>
  </si>
  <si>
    <t>Bad Obstetrics History</t>
  </si>
  <si>
    <t>Low Lying Placenta</t>
  </si>
  <si>
    <t>Sl. No.</t>
  </si>
  <si>
    <t>Low Birth Weight</t>
  </si>
  <si>
    <t>B/o Nismah Aabirah Moulana W/o Abdul Nafi Moulana Gudde House J M Road Gangolli</t>
  </si>
  <si>
    <t>Congenital Haemolytic Aneamia, Neonatal Hyper Bilirubilnemia</t>
  </si>
  <si>
    <t>Detailed Infant Death Report for the year 
2023-24  
(April 23 to March 24)</t>
  </si>
  <si>
    <t>Malpe PHC</t>
  </si>
  <si>
    <t>Idu PHC</t>
  </si>
  <si>
    <t>Kemmannu PHC</t>
  </si>
  <si>
    <t>2075 gms</t>
  </si>
  <si>
    <t>Multi Para</t>
  </si>
  <si>
    <t>Hypertensive Diorders</t>
  </si>
  <si>
    <t>Mild</t>
  </si>
  <si>
    <t>Morderate</t>
  </si>
  <si>
    <t>Geethika W/o Sharath Kumar D.No.11-66Q Anantha Krishna Nagara Kuthpady</t>
  </si>
  <si>
    <t>Ashwitha
W/o Sharath S Anchan
H.No: 9-96
Vanitha Nilaya 
Kidiyoor padukere</t>
  </si>
  <si>
    <t>B/o Reshma R P W/o Abhishek N S DevuBailu Chantharu Brahmavara 9731660899</t>
  </si>
  <si>
    <t>B/o Shobha W/o Prasanna Acharya Nandavana Kergal Kirimanjeshwara</t>
  </si>
  <si>
    <t>Shanya B/o Nethravathi W/o Suresh Dyava, Mogaveera Manki Gujjadi A</t>
  </si>
  <si>
    <t>B/o Girija W/o Raghavendra Jolalu Nenchar Kokkarne</t>
  </si>
  <si>
    <t>Alia Fathima B/o Rubina W/o Ayub, A R Mansion Nethravathi Hegde Road Kabettu G H Karkala</t>
  </si>
  <si>
    <t>B/o Sarojini W/o Achyutha , Shettybettu, Kervashe Mala</t>
  </si>
  <si>
    <t>B/o Kavitha Adiga, W/o Sandeep Jain, Adhikari Nilaya Jyothi Nagara Ajekar</t>
  </si>
  <si>
    <t>B/o Shrudha Kotian W/o Sunil Kundar, Annajigoli Inna</t>
  </si>
  <si>
    <t>B/o Nazrath Bhanu W/o Sameer B, Kalmanja House, Manipura</t>
  </si>
  <si>
    <t>B/o Nagarathna Hosala Barkur</t>
  </si>
  <si>
    <t>B/o Anusha W/o Vikesh Kallambadi Padavu Nitte Om Shankara Nilaya</t>
  </si>
  <si>
    <t>B/o Geetha W/o Shankar, Darkas House Malebettu Durga</t>
  </si>
  <si>
    <t>B/o Akshaya Chandra W/o Raghavendra Duganabettu Kundeshwara Hirgana</t>
  </si>
  <si>
    <t>B/o Shilpa K L W/o Narayana Venkatesh Poojary Varahi Road Siddapura</t>
  </si>
  <si>
    <t>Pradya B/o Asha, W/o Surendra Devadiga Rahuthanakatte Yadthare, Byndoor</t>
  </si>
  <si>
    <t>B/o Shahina W/o Mohammed Husain, Mullahouse Chathanakere Navunda</t>
  </si>
  <si>
    <t>B/o Saroja W/o Ashok Koraga Udayanagara Mudoor</t>
  </si>
  <si>
    <t>Arna B/o Vidya H W/o Shree Shila Gowda Hunsemakki Yeljith</t>
  </si>
  <si>
    <t>B/o Wasifa Shireen Moulana W/o Faiza Hameed, VT Raod Muslim Keri Shiroor</t>
  </si>
  <si>
    <t>B/o Anusha W/o Vikesh Kallambadi Padavu Nitte OmShankara Nilaya</t>
  </si>
  <si>
    <t>B/o Vidya W/o Sukesh, Vasu Nivasa Kalambadi Padavu Nitte Karkala</t>
  </si>
  <si>
    <t>B/o Bharathi W/o Udaya Devadiga Huligudde Kadikekodlu Kondalli Shankaranarayana</t>
  </si>
  <si>
    <t>B/o Vimala W/o Ganesh Kulal Mettinhole Kalthod Kirimanjeshwara</t>
  </si>
  <si>
    <t>Nikshitha B/o Sumithra W/o Anil Kulal Padumane Bairampalli Kukkehalli</t>
  </si>
  <si>
    <t xml:space="preserve">B/o Kushi Magar W/o Prakash, A3 Flat Malpe </t>
  </si>
  <si>
    <t>B/o Hemalatha W/o Virupaksha Devalkunda Gangolli</t>
  </si>
  <si>
    <t>B/o Vibha Vinaya Vaidya Kroda Bailoore Shankaranarayana</t>
  </si>
  <si>
    <t>B/o Lalitha D W/o Jayaram Mogaveer, Doddanajaddu Hennabailu Hosangadi</t>
  </si>
  <si>
    <t>B/o Samrin Fazil Ahamed Moulana W/o Moulana Fazil Ahamed 1-45G Nagoor Kirimanjeshwara</t>
  </si>
  <si>
    <t>Shaivi B/o Shanthala W/o Ashok Naik, Murathagudde Bommarbettu Hiriadka</t>
  </si>
  <si>
    <t>Thanmay B/o Sushma W/o Santhosh Golibettu Irody Sasthana</t>
  </si>
  <si>
    <t>B/o Akhila W/o Pratheek Shetty Gudde, Nandikur</t>
  </si>
  <si>
    <t>B/o Ranjitha W/o Prakash Acharya Mavinakatte Yellare</t>
  </si>
  <si>
    <t>Ishani B/o Shraddha S Kotian W/o Sunil Kumar, Mathruchaya, Annajigoli Inna</t>
  </si>
  <si>
    <t>B/o Anitha W/o Shashidhar, Hapankatte, Ninjoor, Palli</t>
  </si>
  <si>
    <t>B/o Afeefa W/o K H Musthaf, Muslimkeri, Beach Road, Kodi B</t>
  </si>
  <si>
    <t>Ahan B/o Sneha W/o Sathish , Parthikatte Hattiangadi</t>
  </si>
  <si>
    <t>Harshith Marathi B/o Sadhu W/o Somayya Nagaramakki Byndoor</t>
  </si>
  <si>
    <t xml:space="preserve">Nuh Yaseen Nannu B/o Umma Salma W/o Mohammed Yaseen Nannu Noor Mohalla Hadavinakone Shiroor </t>
  </si>
  <si>
    <t>Mohammed Basith B/o Rehena Begaum W/o Badruddin Rajiv Nagara Heroor Brahmavara</t>
  </si>
  <si>
    <t>Mohammed Sawaz B/o Fathimath Razeena W/o Shavuddin , Big House Kombagudde Mallar Kaup</t>
  </si>
  <si>
    <t>Ayansh B/o Shrilatha W/o Ganesh Acharya, Sannidhi House" Vajpayee Badavane Balapu Village</t>
  </si>
  <si>
    <t>Manipura</t>
  </si>
  <si>
    <t>Nitte</t>
  </si>
  <si>
    <t>Durga</t>
  </si>
  <si>
    <t>Hirgana</t>
  </si>
  <si>
    <t>Kodi</t>
  </si>
  <si>
    <t>Hattiangadi</t>
  </si>
  <si>
    <t>Achary</t>
  </si>
  <si>
    <t>Mogaveera</t>
  </si>
  <si>
    <t>Koraga</t>
  </si>
  <si>
    <t>Gowda</t>
  </si>
  <si>
    <t>Nepalian</t>
  </si>
  <si>
    <t>ST(Marati)</t>
  </si>
  <si>
    <t>Reason for Others / Others</t>
  </si>
  <si>
    <t>Early Neonatal Sepsis, Septic shock, multiorgan dysfunction Meningitis</t>
  </si>
  <si>
    <t>Birth weight 780 gms</t>
  </si>
  <si>
    <t>severe persistant pulmonary hypertension</t>
  </si>
  <si>
    <t>pvt Hospital</t>
  </si>
  <si>
    <t>PM Reports confirmed</t>
  </si>
  <si>
    <t>Pulmonary Hypertension</t>
  </si>
  <si>
    <t>? Thyosinemia</t>
  </si>
  <si>
    <t>Multi Gravida</t>
  </si>
  <si>
    <t>Previous Abortion</t>
  </si>
  <si>
    <t>G4</t>
  </si>
  <si>
    <t>Spinal Muscular Atrophy lower respiratory infection</t>
  </si>
  <si>
    <t>Psychiatric Illness</t>
  </si>
  <si>
    <t>Skeletal Dysplasia</t>
  </si>
  <si>
    <t>BMI &lt; 18</t>
  </si>
  <si>
    <t>Acute Broncholities secondary to Hypotonic Syndrome</t>
  </si>
  <si>
    <t>Duodenal Obstruction status post exploratory Laparotomy with Ladds procedure with Duodenostomy downs syndrome</t>
  </si>
  <si>
    <t>Aspiration Pnuemonia in Floppy Infant</t>
  </si>
  <si>
    <t>Gross Hydrocephalus with Diffuse Puntate Periventricular Calcification</t>
  </si>
  <si>
    <t>Open Neural tube defect, Obstructive Hydrocephalus, Craniosynostosis with Macrocephaly</t>
  </si>
  <si>
    <t>Aspitation Pneumonia</t>
  </si>
  <si>
    <t>Aspitartion</t>
  </si>
  <si>
    <t>Govt Medical College</t>
  </si>
  <si>
    <t>Broncho</t>
  </si>
  <si>
    <t>Resistant Hypoglycemia, respiratory failure pulmonary Haemorrhage Bronchopneumonia with respiratory failure, sepsis Large VSD with Hyperkinetic PAH &amp;PDA in congestive cardiac.</t>
  </si>
  <si>
    <t>Acute on Chronic Liver Disease(Bileary Atresia) Sepsis</t>
  </si>
  <si>
    <t>Sudden Infant death known case of status post congenital hypertrophic pyloric stenosis</t>
  </si>
  <si>
    <t>Hepatic  Encepalopathy with acute Liver Failure with severe, metabolic acidosis Klebsiella pnuemonia postive sepsis with multi  organ dysfunction failure to thrive with sescepted Glycogen storage disorder</t>
  </si>
  <si>
    <t>Primary Immunio Deficiency</t>
  </si>
  <si>
    <t xml:space="preserve">Congenitall </t>
  </si>
  <si>
    <t>Detailed Infant Death Report for the year 2024-25  (April 24 to November 24)</t>
  </si>
  <si>
    <t>Extreme preterm 
(&lt;28 weeks)</t>
  </si>
  <si>
    <t>Early Premature 
(28-31 weeks)</t>
  </si>
  <si>
    <t>Morderate Premature 
(&lt;32-33 weeks)</t>
  </si>
  <si>
    <t>Late Pre-term 
(34-36 weeks)</t>
  </si>
  <si>
    <t>B/o Jalaja W/o Manjunatha Shalimane Maranakatte Chittur Aloor</t>
  </si>
  <si>
    <t xml:space="preserve">B/o Shalini W/o Srinivas Kharvi, Bhagathnagar, Kanchagodu Hosadu Maravanthe </t>
  </si>
  <si>
    <t>B/o Fathima Hyrah D/o Shabana Abdul Samad, Near Railway Bridge, Mullagudde Bada Padubidri</t>
  </si>
  <si>
    <t>B/o Sushma Nayak W/o Sandesh Nayak Parampalli Saligrama Gendekere</t>
  </si>
  <si>
    <t>Saligrama</t>
  </si>
  <si>
    <t>Govt Hopital</t>
  </si>
  <si>
    <t>Acute Kidney infection</t>
  </si>
  <si>
    <t>Broncholites</t>
  </si>
  <si>
    <t>IUGR2</t>
  </si>
  <si>
    <t>Milk Aspiration3</t>
  </si>
  <si>
    <t>UPHC-Manipal</t>
  </si>
  <si>
    <t>NULL</t>
  </si>
  <si>
    <t>Kolacko Hospital,Mangalore</t>
  </si>
  <si>
    <t>SCS Hospital Mangalore</t>
  </si>
  <si>
    <t>venlock</t>
  </si>
  <si>
    <t>Moodubettu</t>
  </si>
  <si>
    <t>LGH Mangalore</t>
  </si>
  <si>
    <t>Bikkalkatte</t>
  </si>
  <si>
    <t>Belve</t>
  </si>
  <si>
    <t>Sc</t>
  </si>
  <si>
    <t>GH Kundapura</t>
  </si>
  <si>
    <t>Sridevi Nursing Home, Kumdapura</t>
  </si>
  <si>
    <t>Saibrakatte</t>
  </si>
  <si>
    <t>female</t>
  </si>
  <si>
    <t>Potters Sequence</t>
  </si>
  <si>
    <t>hallihole</t>
  </si>
  <si>
    <t>Sachar</t>
  </si>
  <si>
    <t>Unity Hospital, Mangalore</t>
  </si>
  <si>
    <t>congenital diaphragmatic Hernia with pulmonary hypoplasia</t>
  </si>
  <si>
    <t>Kukknduru</t>
  </si>
  <si>
    <t>GH Karkala</t>
  </si>
  <si>
    <t>Puttur, City Hospital</t>
  </si>
  <si>
    <t>FMH Mangalore</t>
  </si>
  <si>
    <t xml:space="preserve">Mother's Health Complications </t>
  </si>
  <si>
    <t>Infant Health Complications</t>
  </si>
  <si>
    <t>YES</t>
  </si>
  <si>
    <t>Trisomy 2YES, VSD, Acute Failure Severe, PAH ASD 7mm</t>
  </si>
  <si>
    <t>Multi Organ Dysfuction syndrome septic shock bilateral grade 3 intra ventricular hemorrhage with moderate Hydrocephalus neonatal seizures acute kidney injury stage YES anemia of prematurity moderate respiratory distress syndrome very preterm very low birth weight.</t>
  </si>
  <si>
    <t>Multiple Fetal ANOmalies Absent Cavum Pellucudum With Septo-Optic Dysplasia? Severe Persistent Pulmonary Hypertension</t>
  </si>
  <si>
    <t>Birth weight 78NO gms</t>
  </si>
  <si>
    <t>Duodenal Obstruction status post exploratory Laparotomy with Ladds procedure with DuodeNOstomy downs syndrome</t>
  </si>
  <si>
    <t>Open Neural tube defect, Obstructive Hydrocephalus, CraniosyNOstosis with Macrocephaly</t>
  </si>
  <si>
    <t>Months to days</t>
  </si>
  <si>
    <t>Total days</t>
  </si>
  <si>
    <t>Death category</t>
  </si>
  <si>
    <t>Delivery Type (LSCS / Norma)</t>
  </si>
  <si>
    <t>Thyosinemia</t>
  </si>
  <si>
    <t>Sudden Infant death known case of status post congenital hypertrophic pyloric steosis</t>
  </si>
  <si>
    <t>Row Labels</t>
  </si>
  <si>
    <t>Grand Total</t>
  </si>
  <si>
    <t>Column Labels</t>
  </si>
  <si>
    <t>Count of Delivery Type (LSCS / Norma)</t>
  </si>
  <si>
    <t>Infant Death</t>
  </si>
  <si>
    <t>Neonatal Death</t>
  </si>
  <si>
    <t>Count of Death category</t>
  </si>
  <si>
    <t>Mother's Health Complications</t>
  </si>
  <si>
    <t>Mothers Health Complications</t>
  </si>
  <si>
    <t>Child Health Complications</t>
  </si>
  <si>
    <t>Mother's Health complications</t>
  </si>
  <si>
    <t>Child health complications</t>
  </si>
  <si>
    <t>PREVENTABLE</t>
  </si>
  <si>
    <t>MOTHER'S HEALTH COMPLICATIONS</t>
  </si>
  <si>
    <t>INFANT HEALTH COMPLICATIONS</t>
  </si>
  <si>
    <t>OTHER REASONS FOR INFANT DEATH</t>
  </si>
  <si>
    <t>DEATH CATEGORY</t>
  </si>
  <si>
    <t>Grand total Values</t>
  </si>
  <si>
    <t xml:space="preserve">High Risk </t>
  </si>
  <si>
    <t>Count of Preventable 
(Yes / No)</t>
  </si>
  <si>
    <t>PREMATURE DEATH RECORDS</t>
  </si>
  <si>
    <t>Infant death</t>
  </si>
  <si>
    <t>COUNT</t>
  </si>
  <si>
    <t>Mild Aneamia</t>
  </si>
  <si>
    <t>Morderate Aneamia</t>
  </si>
  <si>
    <t>Preventable</t>
  </si>
  <si>
    <t>Without High Risk Pregnancy</t>
  </si>
  <si>
    <t>With High Risk Pregnancy</t>
  </si>
  <si>
    <t>With Hypertensive Disorder</t>
  </si>
  <si>
    <t>Without hypertensive Disorder</t>
  </si>
  <si>
    <t>LBW: NO</t>
  </si>
  <si>
    <t>LBW: YES</t>
  </si>
  <si>
    <t>Count of Extreme preterm (&lt;28 weeks)</t>
  </si>
  <si>
    <t>Extreme preterm (&lt;28 weeks) : NO</t>
  </si>
  <si>
    <t>Extreme preterm (&lt;28 weeks): YES</t>
  </si>
  <si>
    <t>Count of Early Premature (28-31 weeks)</t>
  </si>
  <si>
    <t>Early Premature (28-31 weeks): NO</t>
  </si>
  <si>
    <t>Early Premature (28-31 weeks): YES</t>
  </si>
  <si>
    <t>Count of Morderate Premature (&lt;32-33 weeks)</t>
  </si>
  <si>
    <t>Morderate Premature (&lt;32-33 weeks): NO</t>
  </si>
  <si>
    <t>Morderate Premature (&lt;32-33 weeks): YES</t>
  </si>
  <si>
    <t>Count of Late Pre-term (34-36 weeks)</t>
  </si>
  <si>
    <t>Late Pre-term (34-36 weeks): NO</t>
  </si>
  <si>
    <t>With Hig Risk Pregnancy</t>
  </si>
  <si>
    <t>Without High Risk pregnancy</t>
  </si>
  <si>
    <t>Non-Preventable</t>
  </si>
  <si>
    <t>With hypertensive Disorder</t>
  </si>
  <si>
    <t>Premature Death Records</t>
  </si>
  <si>
    <t>Count of LBW</t>
  </si>
  <si>
    <t>Count of Extreme preterm 
(&lt;28 weeks)</t>
  </si>
  <si>
    <t xml:space="preserve"> Extreme preterm (&lt;28 weeks): NO</t>
  </si>
  <si>
    <t xml:space="preserve"> Extreme preterm (&lt;28 weeks): YES</t>
  </si>
  <si>
    <t>Count of Early Premature 
(28-31 weeks)</t>
  </si>
  <si>
    <t xml:space="preserve"> Early Premature (28-31 weeks): NO</t>
  </si>
  <si>
    <t xml:space="preserve"> Early Premature (28-31 weeks): YES</t>
  </si>
  <si>
    <t>Count of Morderate Premature 
(&lt;32-33 weeks)</t>
  </si>
  <si>
    <t>Count of Late Pre-term 
(34-36 weeks)</t>
  </si>
  <si>
    <t>Count of High Risk (Yes / No)</t>
  </si>
  <si>
    <t>With High Risk</t>
  </si>
  <si>
    <t>LSCS Delivary</t>
  </si>
  <si>
    <t>Normal Delivary</t>
  </si>
  <si>
    <t>Late Pre-term (34-36 weeks): YES</t>
  </si>
  <si>
    <t>HRP</t>
  </si>
  <si>
    <t>Delivary</t>
  </si>
  <si>
    <t>Gender~Death</t>
  </si>
  <si>
    <t>Preventable~Death</t>
  </si>
  <si>
    <t>HRP~Death</t>
  </si>
  <si>
    <t>Hypertension~Death</t>
  </si>
  <si>
    <t>Premature Deaths</t>
  </si>
  <si>
    <t>Grand Total Values</t>
  </si>
  <si>
    <t>Delivary Type</t>
  </si>
  <si>
    <t>Death Category</t>
  </si>
  <si>
    <t>Infant</t>
  </si>
  <si>
    <t>Neonatal</t>
  </si>
  <si>
    <t>Extreme preterm (&lt;28 weeks): NO</t>
  </si>
  <si>
    <t>Mild  Aneamia</t>
  </si>
  <si>
    <t>Morderate  Aneamia</t>
  </si>
  <si>
    <t>Delivery Type (LSCS / Norma)2</t>
  </si>
  <si>
    <t>Gender2</t>
  </si>
  <si>
    <t>Death category2</t>
  </si>
  <si>
    <t>Aspitartion Pneumonia</t>
  </si>
  <si>
    <t>Broncho Pneumonia</t>
  </si>
  <si>
    <t>Congenitall Pneumonia</t>
  </si>
  <si>
    <t>GENDER</t>
  </si>
  <si>
    <t>Neonatal death</t>
  </si>
  <si>
    <t>Non preventable</t>
  </si>
  <si>
    <t>Premature Death Analysis</t>
  </si>
  <si>
    <t>Without Hypertensive disorder</t>
  </si>
  <si>
    <t>With Hypertensive disorder</t>
  </si>
  <si>
    <t>Without Highrisk Pregnancy</t>
  </si>
  <si>
    <t>With Highrisk Pregnancy</t>
  </si>
  <si>
    <t>Weight (gms)</t>
  </si>
  <si>
    <t>Diabetes Mellitus</t>
  </si>
  <si>
    <t>Rh -ve</t>
  </si>
  <si>
    <t>Count</t>
  </si>
  <si>
    <t>Percentage</t>
  </si>
  <si>
    <t>Column1</t>
  </si>
  <si>
    <t>Weight_Category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</si>
</sst>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0"/>
  </numFmts>
  <fonts count="37" x14ac:knownFonts="1">
    <font>
      <sz val="11"/>
      <color theme="1"/>
      <name val="Calibri"/>
      <family val="2"/>
      <scheme val="minor"/>
    </font>
    <font>
      <sz val="11"/>
      <color theme="1"/>
      <name val="Calibri"/>
      <family val="2"/>
      <scheme val="minor"/>
    </font>
    <font>
      <i/>
      <sz val="12"/>
      <name val="Arial"/>
      <family val="2"/>
    </font>
    <font>
      <i/>
      <sz val="10"/>
      <name val="Arial"/>
      <family val="2"/>
    </font>
    <font>
      <i/>
      <sz val="12"/>
      <color theme="1"/>
      <name val="Calibri"/>
      <family val="2"/>
      <scheme val="minor"/>
    </font>
    <font>
      <sz val="12"/>
      <name val="Arial"/>
      <family val="2"/>
    </font>
    <font>
      <sz val="10"/>
      <name val="Arial"/>
      <family val="2"/>
    </font>
    <font>
      <i/>
      <sz val="12"/>
      <name val="Calibri"/>
      <family val="2"/>
      <scheme val="minor"/>
    </font>
    <font>
      <i/>
      <sz val="10"/>
      <color theme="1"/>
      <name val="Calibri"/>
      <family val="2"/>
      <scheme val="minor"/>
    </font>
    <font>
      <i/>
      <sz val="12"/>
      <name val="Times New Roman"/>
      <family val="1"/>
    </font>
    <font>
      <i/>
      <sz val="10"/>
      <name val="Times New Roman"/>
      <family val="1"/>
    </font>
    <font>
      <sz val="24"/>
      <color theme="1"/>
      <name val="Calibri"/>
      <family val="2"/>
      <scheme val="minor"/>
    </font>
    <font>
      <sz val="11"/>
      <color theme="1"/>
      <name val="Arial Narrow"/>
      <family val="2"/>
    </font>
    <font>
      <i/>
      <sz val="12"/>
      <name val="Arial Narrow"/>
      <family val="2"/>
    </font>
    <font>
      <b/>
      <i/>
      <sz val="12"/>
      <name val="Arial Narrow"/>
      <family val="2"/>
    </font>
    <font>
      <b/>
      <sz val="10"/>
      <name val="Arial Narrow"/>
      <family val="2"/>
    </font>
    <font>
      <i/>
      <sz val="12"/>
      <color theme="1"/>
      <name val="Arial Narrow"/>
      <family val="2"/>
    </font>
    <font>
      <i/>
      <sz val="10"/>
      <color theme="1"/>
      <name val="Arial Narrow"/>
      <family val="2"/>
    </font>
    <font>
      <sz val="10"/>
      <name val="Arial Narrow"/>
      <family val="2"/>
    </font>
    <font>
      <b/>
      <sz val="16"/>
      <color theme="1"/>
      <name val="Arial Narrow"/>
      <family val="2"/>
    </font>
    <font>
      <i/>
      <sz val="11"/>
      <name val="Arial Narrow"/>
      <family val="2"/>
    </font>
    <font>
      <sz val="11"/>
      <name val="Arial Narrow"/>
      <family val="2"/>
    </font>
    <font>
      <b/>
      <sz val="11"/>
      <color theme="1"/>
      <name val="Arial Narrow"/>
      <family val="2"/>
    </font>
    <font>
      <sz val="8"/>
      <name val="Arial Narrow"/>
      <family val="2"/>
    </font>
    <font>
      <sz val="48"/>
      <color theme="1"/>
      <name val="Calibri"/>
      <family val="2"/>
      <scheme val="minor"/>
    </font>
    <font>
      <b/>
      <sz val="22"/>
      <color theme="1"/>
      <name val="Calibri"/>
      <family val="2"/>
      <scheme val="minor"/>
    </font>
    <font>
      <b/>
      <sz val="16"/>
      <color theme="1"/>
      <name val="Calibri"/>
      <family val="2"/>
      <scheme val="minor"/>
    </font>
    <font>
      <b/>
      <sz val="14"/>
      <color theme="1"/>
      <name val="Arial Narrow"/>
      <family val="2"/>
    </font>
    <font>
      <sz val="13"/>
      <color theme="1"/>
      <name val="Arial Narrow"/>
      <family val="2"/>
    </font>
    <font>
      <sz val="13"/>
      <name val="Arial Narrow"/>
      <family val="2"/>
    </font>
    <font>
      <b/>
      <sz val="13"/>
      <color theme="1"/>
      <name val="Arial Narrow"/>
      <family val="2"/>
    </font>
    <font>
      <b/>
      <i/>
      <sz val="13"/>
      <name val="Arial Narrow"/>
      <family val="2"/>
    </font>
    <font>
      <i/>
      <sz val="11"/>
      <name val="Calibri"/>
      <family val="2"/>
    </font>
    <font>
      <sz val="8"/>
      <name val="Calibri"/>
      <family val="2"/>
      <scheme val="minor"/>
    </font>
    <font>
      <b/>
      <sz val="14"/>
      <name val="Lato Black"/>
      <family val="2"/>
    </font>
    <font>
      <sz val="11"/>
      <color theme="1"/>
      <name val="Lato Black"/>
      <family val="2"/>
    </font>
    <font>
      <b/>
      <sz val="11"/>
      <color theme="0"/>
      <name val="Calibri"/>
      <family val="2"/>
      <scheme val="minor"/>
    </font>
  </fonts>
  <fills count="17">
    <fill>
      <patternFill patternType="none"/>
    </fill>
    <fill>
      <patternFill patternType="gray125"/>
    </fill>
    <fill>
      <patternFill patternType="solid">
        <fgColor theme="0"/>
        <bgColor indexed="64"/>
      </patternFill>
    </fill>
    <fill>
      <patternFill patternType="solid">
        <fgColor theme="0"/>
        <bgColor theme="4" tint="0.59999389629810485"/>
      </patternFill>
    </fill>
    <fill>
      <patternFill patternType="solid">
        <fgColor theme="5" tint="0.59999389629810485"/>
        <bgColor indexed="64"/>
      </patternFill>
    </fill>
    <fill>
      <patternFill patternType="solid">
        <fgColor theme="0"/>
        <bgColor rgb="FFDBE5F1"/>
      </patternFill>
    </fill>
    <fill>
      <patternFill patternType="solid">
        <fgColor theme="8" tint="0.59999389629810485"/>
        <bgColor indexed="64"/>
      </patternFill>
    </fill>
    <fill>
      <patternFill patternType="solid">
        <fgColor rgb="FFFFFF00"/>
        <bgColor indexed="64"/>
      </patternFill>
    </fill>
    <fill>
      <patternFill patternType="solid">
        <fgColor rgb="FF2CF4F4"/>
        <bgColor indexed="64"/>
      </patternFill>
    </fill>
    <fill>
      <patternFill patternType="solid">
        <fgColor theme="9" tint="-0.249977111117893"/>
        <bgColor indexed="64"/>
      </patternFill>
    </fill>
    <fill>
      <patternFill patternType="solid">
        <fgColor theme="6" tint="-0.249977111117893"/>
        <bgColor indexed="64"/>
      </patternFill>
    </fill>
    <fill>
      <gradientFill degree="270">
        <stop position="0">
          <color theme="0"/>
        </stop>
        <stop position="1">
          <color theme="6" tint="0.59999389629810485"/>
        </stop>
      </gradientFill>
    </fill>
    <fill>
      <patternFill patternType="solid">
        <fgColor theme="5" tint="0.79998168889431442"/>
        <bgColor indexed="64"/>
      </patternFill>
    </fill>
    <fill>
      <patternFill patternType="solid">
        <fgColor theme="6" tint="-0.249977111117893"/>
        <bgColor auto="1"/>
      </patternFill>
    </fill>
    <fill>
      <patternFill patternType="solid">
        <fgColor theme="7" tint="0.39997558519241921"/>
        <bgColor indexed="64"/>
      </patternFill>
    </fill>
    <fill>
      <patternFill patternType="solid">
        <fgColor theme="4"/>
        <bgColor theme="4"/>
      </patternFill>
    </fill>
    <fill>
      <patternFill patternType="solid">
        <fgColor theme="4" tint="0.79998168889431442"/>
        <bgColor theme="4" tint="0.79998168889431442"/>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style="thin">
        <color indexed="64"/>
      </left>
      <right/>
      <top style="thin">
        <color indexed="64"/>
      </top>
      <bottom style="thin">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diagonal/>
    </border>
  </borders>
  <cellStyleXfs count="3">
    <xf numFmtId="0" fontId="0" fillId="0" borderId="0"/>
    <xf numFmtId="0" fontId="1" fillId="0" borderId="0"/>
    <xf numFmtId="9" fontId="1" fillId="0" borderId="0" applyFont="0" applyFill="0" applyBorder="0" applyAlignment="0" applyProtection="0"/>
  </cellStyleXfs>
  <cellXfs count="198">
    <xf numFmtId="0" fontId="0" fillId="0" borderId="0" xfId="0"/>
    <xf numFmtId="0" fontId="2" fillId="0" borderId="1" xfId="0" applyFont="1" applyBorder="1" applyAlignment="1">
      <alignment horizontal="center" vertical="center" textRotation="90"/>
    </xf>
    <xf numFmtId="0" fontId="4" fillId="0" borderId="1" xfId="0" applyFont="1" applyBorder="1" applyAlignment="1">
      <alignment vertical="center" wrapText="1"/>
    </xf>
    <xf numFmtId="0" fontId="4" fillId="0" borderId="1" xfId="0" applyFont="1" applyBorder="1" applyAlignment="1">
      <alignment vertical="center" textRotation="90" wrapText="1"/>
    </xf>
    <xf numFmtId="0" fontId="5" fillId="0" borderId="0" xfId="0" applyFont="1"/>
    <xf numFmtId="0" fontId="6" fillId="0" borderId="0" xfId="0" applyFont="1"/>
    <xf numFmtId="0" fontId="7" fillId="0" borderId="1" xfId="0" applyFont="1" applyBorder="1" applyAlignment="1">
      <alignment horizontal="center" vertical="center" textRotation="90" wrapText="1"/>
    </xf>
    <xf numFmtId="0" fontId="7" fillId="0" borderId="1" xfId="0" applyFont="1" applyBorder="1" applyAlignment="1">
      <alignment horizontal="center" vertical="center" wrapText="1"/>
    </xf>
    <xf numFmtId="1" fontId="7" fillId="0" borderId="1" xfId="0" applyNumberFormat="1" applyFont="1" applyBorder="1" applyAlignment="1">
      <alignment horizontal="center" vertical="center" textRotation="90" wrapText="1"/>
    </xf>
    <xf numFmtId="164" fontId="7" fillId="0" borderId="1" xfId="0" applyNumberFormat="1" applyFont="1" applyBorder="1" applyAlignment="1">
      <alignment horizontal="center" vertical="center" textRotation="90" wrapText="1"/>
    </xf>
    <xf numFmtId="0" fontId="7" fillId="0" borderId="2" xfId="0" applyFont="1" applyBorder="1" applyAlignment="1">
      <alignment horizontal="center" vertical="center" textRotation="90" wrapText="1"/>
    </xf>
    <xf numFmtId="0" fontId="2" fillId="0" borderId="2" xfId="0" applyFont="1" applyBorder="1" applyAlignment="1">
      <alignment horizontal="center" vertical="center" textRotation="90"/>
    </xf>
    <xf numFmtId="0" fontId="7" fillId="0" borderId="2" xfId="0" applyFont="1" applyBorder="1" applyAlignment="1">
      <alignment horizontal="center" vertical="center" wrapText="1"/>
    </xf>
    <xf numFmtId="1" fontId="7" fillId="0" borderId="2" xfId="0" applyNumberFormat="1" applyFont="1" applyBorder="1" applyAlignment="1">
      <alignment horizontal="center" vertical="center" textRotation="90" wrapText="1"/>
    </xf>
    <xf numFmtId="0" fontId="7" fillId="0" borderId="2" xfId="0" applyFont="1" applyBorder="1" applyAlignment="1">
      <alignment vertical="center" textRotation="90" wrapText="1"/>
    </xf>
    <xf numFmtId="0" fontId="7" fillId="2" borderId="2" xfId="0" applyFont="1" applyFill="1" applyBorder="1" applyAlignment="1">
      <alignment horizontal="center" vertical="center" textRotation="90" wrapText="1"/>
    </xf>
    <xf numFmtId="17" fontId="4" fillId="0" borderId="1" xfId="0" applyNumberFormat="1" applyFont="1" applyBorder="1" applyAlignment="1">
      <alignment horizontal="center" vertical="center" wrapText="1"/>
    </xf>
    <xf numFmtId="17" fontId="4" fillId="0" borderId="1" xfId="0" applyNumberFormat="1" applyFont="1" applyBorder="1" applyAlignment="1">
      <alignment vertical="center" wrapText="1"/>
    </xf>
    <xf numFmtId="1" fontId="4" fillId="0" borderId="1" xfId="0" applyNumberFormat="1" applyFont="1" applyBorder="1" applyAlignment="1">
      <alignment horizontal="center" vertical="center" wrapText="1"/>
    </xf>
    <xf numFmtId="17" fontId="4" fillId="0" borderId="1" xfId="0" applyNumberFormat="1" applyFont="1" applyBorder="1" applyAlignment="1">
      <alignment vertical="center" textRotation="90" wrapText="1"/>
    </xf>
    <xf numFmtId="17" fontId="7" fillId="2" borderId="1" xfId="0" applyNumberFormat="1" applyFont="1" applyFill="1" applyBorder="1" applyAlignment="1">
      <alignment vertical="center" wrapText="1"/>
    </xf>
    <xf numFmtId="0" fontId="7" fillId="0" borderId="1" xfId="0" applyFont="1" applyBorder="1" applyAlignment="1">
      <alignment horizontal="center" vertical="center" textRotation="90"/>
    </xf>
    <xf numFmtId="0" fontId="7" fillId="0" borderId="1" xfId="0" applyFont="1" applyBorder="1" applyAlignment="1">
      <alignment vertical="center" textRotation="90" wrapText="1"/>
    </xf>
    <xf numFmtId="0" fontId="7" fillId="2" borderId="1" xfId="0" applyFont="1" applyFill="1" applyBorder="1" applyAlignment="1">
      <alignment horizontal="center" vertical="center" textRotation="90" wrapText="1"/>
    </xf>
    <xf numFmtId="164" fontId="7" fillId="2" borderId="1" xfId="0" applyNumberFormat="1" applyFont="1" applyFill="1" applyBorder="1" applyAlignment="1">
      <alignment horizontal="center" vertical="center" textRotation="90" wrapText="1"/>
    </xf>
    <xf numFmtId="0" fontId="7" fillId="0" borderId="1" xfId="0" applyFont="1" applyBorder="1" applyAlignment="1">
      <alignment horizontal="center" vertical="center"/>
    </xf>
    <xf numFmtId="2" fontId="7" fillId="0" borderId="1" xfId="0" applyNumberFormat="1" applyFont="1" applyBorder="1" applyAlignment="1">
      <alignment horizontal="center" vertical="center" textRotation="90" wrapText="1"/>
    </xf>
    <xf numFmtId="2" fontId="7" fillId="0" borderId="1" xfId="0" applyNumberFormat="1" applyFont="1" applyBorder="1" applyAlignment="1">
      <alignment horizontal="center" vertical="center" wrapText="1"/>
    </xf>
    <xf numFmtId="165" fontId="7" fillId="0" borderId="1" xfId="0" applyNumberFormat="1" applyFont="1" applyBorder="1" applyAlignment="1">
      <alignment horizontal="center" vertical="center" textRotation="90" wrapText="1"/>
    </xf>
    <xf numFmtId="0" fontId="7" fillId="0" borderId="1" xfId="0" applyFont="1" applyBorder="1"/>
    <xf numFmtId="0" fontId="2" fillId="0" borderId="0" xfId="0" applyFont="1"/>
    <xf numFmtId="0" fontId="3" fillId="0" borderId="0" xfId="0" applyFont="1"/>
    <xf numFmtId="1" fontId="7" fillId="0" borderId="1" xfId="0" applyNumberFormat="1" applyFont="1" applyBorder="1" applyAlignment="1">
      <alignment horizontal="center" vertical="center" wrapText="1"/>
    </xf>
    <xf numFmtId="1" fontId="7" fillId="0" borderId="1" xfId="1" applyNumberFormat="1" applyFont="1" applyBorder="1" applyAlignment="1">
      <alignment horizontal="center" vertical="center" textRotation="90" wrapText="1"/>
    </xf>
    <xf numFmtId="0" fontId="2" fillId="0" borderId="1" xfId="0" applyFont="1" applyBorder="1" applyAlignment="1">
      <alignment horizontal="center" vertical="center"/>
    </xf>
    <xf numFmtId="0" fontId="7" fillId="2" borderId="1" xfId="0" applyFont="1" applyFill="1" applyBorder="1" applyAlignment="1">
      <alignment horizontal="center" vertical="center" textRotation="90"/>
    </xf>
    <xf numFmtId="0" fontId="7"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 fontId="4" fillId="3" borderId="1" xfId="0" applyNumberFormat="1" applyFont="1" applyFill="1" applyBorder="1" applyAlignment="1">
      <alignment horizontal="center" vertical="center" textRotation="90" wrapText="1"/>
    </xf>
    <xf numFmtId="0" fontId="4" fillId="3" borderId="1" xfId="0" applyFont="1" applyFill="1" applyBorder="1" applyAlignment="1">
      <alignment horizontal="center" vertical="center" textRotation="90" wrapText="1"/>
    </xf>
    <xf numFmtId="0" fontId="8" fillId="3" borderId="1" xfId="0" applyFont="1" applyFill="1" applyBorder="1" applyAlignment="1">
      <alignment horizontal="center" vertical="center" wrapText="1"/>
    </xf>
    <xf numFmtId="14" fontId="4" fillId="3" borderId="1" xfId="0" applyNumberFormat="1" applyFont="1" applyFill="1" applyBorder="1" applyAlignment="1">
      <alignment horizontal="center" vertical="center" textRotation="90" wrapText="1"/>
    </xf>
    <xf numFmtId="0" fontId="7" fillId="2" borderId="1" xfId="0" applyFont="1" applyFill="1" applyBorder="1" applyAlignment="1">
      <alignment vertical="center" textRotation="90" wrapText="1"/>
    </xf>
    <xf numFmtId="0" fontId="7" fillId="2" borderId="5" xfId="0" applyFont="1" applyFill="1" applyBorder="1"/>
    <xf numFmtId="0" fontId="7" fillId="2" borderId="1" xfId="0" applyFont="1" applyFill="1" applyBorder="1"/>
    <xf numFmtId="0" fontId="7" fillId="0" borderId="6" xfId="0" applyFont="1" applyBorder="1" applyAlignment="1">
      <alignment horizontal="center" vertical="center" textRotation="90" wrapText="1"/>
    </xf>
    <xf numFmtId="49" fontId="7" fillId="0" borderId="1" xfId="0" applyNumberFormat="1" applyFont="1" applyBorder="1" applyAlignment="1">
      <alignment horizontal="center" vertical="center" textRotation="90" wrapText="1"/>
    </xf>
    <xf numFmtId="14" fontId="7" fillId="0" borderId="1" xfId="0" applyNumberFormat="1" applyFont="1" applyBorder="1" applyAlignment="1">
      <alignment horizontal="center" vertical="center" textRotation="90" wrapText="1"/>
    </xf>
    <xf numFmtId="16" fontId="7" fillId="0" borderId="1" xfId="0" applyNumberFormat="1" applyFont="1" applyBorder="1" applyAlignment="1">
      <alignment horizontal="center" vertical="center" textRotation="90" wrapText="1"/>
    </xf>
    <xf numFmtId="14" fontId="7" fillId="2" borderId="1" xfId="0" applyNumberFormat="1" applyFont="1" applyFill="1" applyBorder="1" applyAlignment="1">
      <alignment horizontal="center" vertical="center" textRotation="90" wrapText="1"/>
    </xf>
    <xf numFmtId="0" fontId="9" fillId="0" borderId="1" xfId="0" applyFont="1" applyBorder="1" applyAlignment="1">
      <alignment horizontal="center" vertical="center" textRotation="90" wrapText="1"/>
    </xf>
    <xf numFmtId="0" fontId="10" fillId="0" borderId="0" xfId="0" applyFont="1" applyAlignment="1">
      <alignment horizontal="center" vertical="center" textRotation="90"/>
    </xf>
    <xf numFmtId="0" fontId="7" fillId="0" borderId="7" xfId="0" applyFont="1" applyBorder="1" applyAlignment="1">
      <alignment horizontal="center" vertical="center" textRotation="90" wrapText="1"/>
    </xf>
    <xf numFmtId="0" fontId="7" fillId="0" borderId="3" xfId="0" applyFont="1" applyBorder="1" applyAlignment="1">
      <alignment horizontal="center" vertical="center" textRotation="90" wrapText="1"/>
    </xf>
    <xf numFmtId="0" fontId="7" fillId="0" borderId="0" xfId="0" applyFont="1" applyAlignment="1">
      <alignment horizontal="center" vertical="center" textRotation="90" wrapText="1"/>
    </xf>
    <xf numFmtId="0" fontId="6" fillId="0" borderId="1" xfId="0" applyFont="1" applyBorder="1"/>
    <xf numFmtId="0" fontId="2" fillId="0" borderId="1" xfId="0" applyFont="1" applyBorder="1"/>
    <xf numFmtId="14" fontId="7" fillId="0" borderId="2" xfId="0" applyNumberFormat="1" applyFont="1" applyBorder="1" applyAlignment="1">
      <alignment horizontal="center" vertical="center" textRotation="90" wrapText="1"/>
    </xf>
    <xf numFmtId="1" fontId="7" fillId="0" borderId="2" xfId="0" applyNumberFormat="1" applyFont="1" applyBorder="1" applyAlignment="1">
      <alignment horizontal="center" vertical="center" wrapText="1"/>
    </xf>
    <xf numFmtId="0" fontId="2" fillId="0" borderId="2" xfId="0" applyFont="1" applyBorder="1"/>
    <xf numFmtId="0" fontId="9" fillId="0" borderId="2" xfId="0" applyFont="1" applyBorder="1" applyAlignment="1">
      <alignment horizontal="center" vertical="center" textRotation="90" wrapText="1"/>
    </xf>
    <xf numFmtId="0" fontId="6" fillId="0" borderId="0" xfId="0" applyFont="1" applyAlignment="1">
      <alignment horizontal="center"/>
    </xf>
    <xf numFmtId="164" fontId="6" fillId="0" borderId="0" xfId="0" applyNumberFormat="1" applyFont="1"/>
    <xf numFmtId="0" fontId="7" fillId="4" borderId="1" xfId="0" applyFont="1" applyFill="1" applyBorder="1" applyAlignment="1">
      <alignment horizontal="center" vertical="center" wrapText="1"/>
    </xf>
    <xf numFmtId="0" fontId="6" fillId="4" borderId="0" xfId="0" applyFont="1" applyFill="1"/>
    <xf numFmtId="0" fontId="12" fillId="0" borderId="1" xfId="0" applyFont="1" applyBorder="1" applyAlignment="1">
      <alignment wrapText="1"/>
    </xf>
    <xf numFmtId="0" fontId="12" fillId="0" borderId="1" xfId="0" applyFont="1" applyBorder="1" applyAlignment="1">
      <alignment horizontal="center" vertical="center" wrapText="1"/>
    </xf>
    <xf numFmtId="0" fontId="12" fillId="0" borderId="1" xfId="0" applyFont="1" applyBorder="1" applyAlignment="1">
      <alignment vertical="center" textRotation="90" wrapText="1"/>
    </xf>
    <xf numFmtId="0" fontId="12" fillId="0" borderId="1" xfId="0" applyFont="1" applyBorder="1" applyAlignment="1">
      <alignment textRotation="90" wrapText="1"/>
    </xf>
    <xf numFmtId="0" fontId="12" fillId="0" borderId="1" xfId="0" applyFont="1" applyBorder="1" applyAlignment="1">
      <alignment vertical="center" wrapText="1"/>
    </xf>
    <xf numFmtId="0" fontId="12" fillId="0" borderId="1" xfId="0" applyFont="1" applyBorder="1" applyAlignment="1">
      <alignment horizontal="center" vertical="center" textRotation="90"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textRotation="90"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1" fontId="13" fillId="0" borderId="1" xfId="0" applyNumberFormat="1" applyFont="1" applyBorder="1" applyAlignment="1">
      <alignment horizontal="center" vertical="center" textRotation="90" wrapText="1"/>
    </xf>
    <xf numFmtId="1" fontId="13" fillId="0" borderId="1" xfId="0" applyNumberFormat="1" applyFont="1" applyBorder="1" applyAlignment="1">
      <alignment horizontal="center" vertical="center" wrapText="1"/>
    </xf>
    <xf numFmtId="2" fontId="13"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applyAlignment="1">
      <alignment horizontal="center" wrapText="1"/>
    </xf>
    <xf numFmtId="0" fontId="18" fillId="0" borderId="1" xfId="0" applyFont="1" applyBorder="1" applyAlignment="1">
      <alignment horizontal="center" textRotation="90" wrapText="1"/>
    </xf>
    <xf numFmtId="0" fontId="18" fillId="0" borderId="1" xfId="0" applyFont="1" applyBorder="1" applyAlignment="1">
      <alignment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19" fillId="0" borderId="1" xfId="0" applyFont="1" applyBorder="1" applyAlignment="1">
      <alignment horizontal="center" vertical="center"/>
    </xf>
    <xf numFmtId="0" fontId="22" fillId="0" borderId="1" xfId="0" applyFont="1" applyBorder="1" applyAlignment="1">
      <alignment horizontal="center" vertical="center" wrapText="1"/>
    </xf>
    <xf numFmtId="0" fontId="22" fillId="0" borderId="1" xfId="0" applyFont="1" applyBorder="1" applyAlignment="1">
      <alignment horizontal="center" vertical="center" textRotation="90" wrapText="1"/>
    </xf>
    <xf numFmtId="0" fontId="23" fillId="0" borderId="1" xfId="0" applyFont="1" applyBorder="1" applyAlignment="1">
      <alignment horizontal="center" vertical="center" wrapText="1"/>
    </xf>
    <xf numFmtId="0" fontId="24" fillId="0" borderId="0" xfId="0" applyFont="1" applyAlignment="1">
      <alignment horizontal="center" vertical="center" wrapText="1"/>
    </xf>
    <xf numFmtId="14" fontId="6" fillId="0" borderId="0" xfId="0" applyNumberFormat="1" applyFont="1"/>
    <xf numFmtId="0" fontId="25" fillId="0" borderId="10" xfId="0" applyFont="1" applyBorder="1" applyAlignment="1">
      <alignment vertical="center" textRotation="90" wrapText="1"/>
    </xf>
    <xf numFmtId="0" fontId="25" fillId="0" borderId="10" xfId="0" applyFont="1" applyBorder="1" applyAlignment="1">
      <alignment horizontal="center" vertical="center" textRotation="90" wrapText="1"/>
    </xf>
    <xf numFmtId="0" fontId="30"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wrapText="1"/>
    </xf>
    <xf numFmtId="0" fontId="28" fillId="0" borderId="0" xfId="0" applyFont="1" applyAlignment="1">
      <alignment horizontal="center" vertical="center" wrapText="1"/>
    </xf>
    <xf numFmtId="0" fontId="28" fillId="0" borderId="0" xfId="0" applyFont="1" applyAlignment="1">
      <alignment vertical="center"/>
    </xf>
    <xf numFmtId="0" fontId="29" fillId="5" borderId="0" xfId="0" applyFont="1" applyFill="1" applyAlignment="1">
      <alignment horizontal="center" vertical="center" wrapText="1"/>
    </xf>
    <xf numFmtId="0" fontId="32" fillId="5" borderId="0" xfId="0" applyFont="1" applyFill="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26" fillId="0" borderId="0" xfId="0" applyFont="1" applyAlignment="1">
      <alignment horizontal="center"/>
    </xf>
    <xf numFmtId="0" fontId="31" fillId="0" borderId="0" xfId="0" applyFont="1" applyAlignment="1">
      <alignment vertical="center" wrapText="1"/>
    </xf>
    <xf numFmtId="0" fontId="30" fillId="0" borderId="0" xfId="0" applyFont="1" applyAlignment="1">
      <alignment vertical="center"/>
    </xf>
    <xf numFmtId="0" fontId="31" fillId="0" borderId="0" xfId="0" applyFont="1" applyAlignment="1">
      <alignment vertical="center"/>
    </xf>
    <xf numFmtId="0" fontId="28" fillId="0" borderId="0" xfId="0" applyFont="1" applyAlignment="1">
      <alignment horizontal="left" vertical="top" wrapText="1"/>
    </xf>
    <xf numFmtId="0" fontId="29" fillId="0" borderId="0" xfId="0" applyFont="1" applyAlignment="1">
      <alignment horizontal="left" vertical="top" wrapText="1"/>
    </xf>
    <xf numFmtId="0" fontId="0" fillId="0" borderId="0" xfId="0" applyAlignment="1">
      <alignment horizontal="left" vertical="top"/>
    </xf>
    <xf numFmtId="0" fontId="28" fillId="0" borderId="0" xfId="0" applyFont="1" applyAlignment="1">
      <alignment horizontal="left" vertical="top"/>
    </xf>
    <xf numFmtId="0" fontId="27" fillId="0" borderId="0" xfId="0" applyFont="1" applyAlignment="1">
      <alignment horizontal="left" vertical="top"/>
    </xf>
    <xf numFmtId="0" fontId="1" fillId="0" borderId="0" xfId="1" applyAlignment="1">
      <alignment horizontal="left" vertical="top"/>
    </xf>
    <xf numFmtId="0" fontId="0" fillId="0" borderId="0" xfId="0" applyAlignment="1">
      <alignment horizontal="center" vertical="top"/>
    </xf>
    <xf numFmtId="0" fontId="0" fillId="0" borderId="0" xfId="0" pivotButton="1"/>
    <xf numFmtId="0" fontId="0" fillId="0" borderId="0" xfId="0" applyAlignment="1">
      <alignment horizontal="left"/>
    </xf>
    <xf numFmtId="0" fontId="0" fillId="7" borderId="0" xfId="0" applyFill="1"/>
    <xf numFmtId="0" fontId="0" fillId="10" borderId="0" xfId="0" applyFill="1"/>
    <xf numFmtId="0" fontId="34" fillId="11" borderId="1" xfId="0" applyFont="1" applyFill="1" applyBorder="1" applyAlignment="1">
      <alignment horizontal="center" vertical="center"/>
    </xf>
    <xf numFmtId="0" fontId="0" fillId="11" borderId="1" xfId="0" applyFill="1" applyBorder="1"/>
    <xf numFmtId="0" fontId="0" fillId="4" borderId="0" xfId="0" applyFill="1"/>
    <xf numFmtId="0" fontId="0" fillId="4" borderId="0" xfId="0" applyFill="1" applyAlignment="1">
      <alignment horizontal="left"/>
    </xf>
    <xf numFmtId="0" fontId="0" fillId="12" borderId="0" xfId="0" applyFill="1"/>
    <xf numFmtId="0" fontId="34" fillId="13" borderId="0" xfId="0" applyFont="1" applyFill="1" applyAlignment="1">
      <alignment horizontal="center" vertical="center"/>
    </xf>
    <xf numFmtId="0" fontId="35" fillId="0" borderId="0" xfId="0" applyFont="1"/>
    <xf numFmtId="0" fontId="0" fillId="14" borderId="0" xfId="0" applyFill="1"/>
    <xf numFmtId="0" fontId="0" fillId="0" borderId="20" xfId="0" applyBorder="1"/>
    <xf numFmtId="0" fontId="0" fillId="0" borderId="21" xfId="0" applyBorder="1"/>
    <xf numFmtId="9" fontId="0" fillId="0" borderId="0" xfId="2" applyFont="1"/>
    <xf numFmtId="0" fontId="0" fillId="16" borderId="23" xfId="0" applyFill="1" applyBorder="1"/>
    <xf numFmtId="0" fontId="0" fillId="16" borderId="24" xfId="0" applyFill="1" applyBorder="1"/>
    <xf numFmtId="9" fontId="0" fillId="16" borderId="25" xfId="2" applyFont="1" applyFill="1" applyBorder="1"/>
    <xf numFmtId="0" fontId="0" fillId="0" borderId="23" xfId="0" applyBorder="1"/>
    <xf numFmtId="0" fontId="0" fillId="0" borderId="24" xfId="0" applyBorder="1"/>
    <xf numFmtId="9" fontId="0" fillId="0" borderId="25" xfId="2" applyFont="1" applyBorder="1"/>
    <xf numFmtId="9" fontId="0" fillId="0" borderId="22" xfId="2" applyFont="1" applyBorder="1"/>
    <xf numFmtId="0" fontId="36" fillId="15" borderId="26" xfId="0" applyFont="1" applyFill="1" applyBorder="1"/>
    <xf numFmtId="0" fontId="36" fillId="15" borderId="0" xfId="0" applyFont="1" applyFill="1"/>
    <xf numFmtId="0" fontId="36" fillId="15" borderId="27" xfId="0" applyFont="1" applyFill="1" applyBorder="1"/>
    <xf numFmtId="1" fontId="0" fillId="0" borderId="0" xfId="0" applyNumberFormat="1"/>
    <xf numFmtId="17" fontId="4" fillId="0" borderId="1" xfId="0" applyNumberFormat="1" applyFont="1" applyBorder="1" applyAlignment="1">
      <alignment horizontal="center" vertical="center" wrapText="1"/>
    </xf>
    <xf numFmtId="0" fontId="5" fillId="0" borderId="3" xfId="0" applyFont="1" applyBorder="1" applyAlignment="1">
      <alignment vertical="center"/>
    </xf>
    <xf numFmtId="0" fontId="2" fillId="0" borderId="1" xfId="0" applyFont="1" applyBorder="1" applyAlignment="1">
      <alignment horizontal="center" vertical="center" textRotation="90" wrapText="1"/>
    </xf>
    <xf numFmtId="0" fontId="2" fillId="0" borderId="2" xfId="0" applyFont="1" applyBorder="1" applyAlignment="1">
      <alignment horizontal="center" vertical="center" textRotation="90" wrapText="1"/>
    </xf>
    <xf numFmtId="0" fontId="7" fillId="0" borderId="1" xfId="0" applyFont="1" applyBorder="1" applyAlignment="1">
      <alignment horizontal="center" vertical="center" textRotation="90" wrapText="1"/>
    </xf>
    <xf numFmtId="0" fontId="7" fillId="0" borderId="2" xfId="0" applyFont="1" applyBorder="1" applyAlignment="1">
      <alignment horizontal="center" vertical="center" textRotation="90" wrapText="1"/>
    </xf>
    <xf numFmtId="0" fontId="7" fillId="0" borderId="4" xfId="0" applyFont="1" applyBorder="1" applyAlignment="1">
      <alignment horizontal="center" vertical="center" textRotation="90" wrapText="1"/>
    </xf>
    <xf numFmtId="164" fontId="7" fillId="0" borderId="1" xfId="0" applyNumberFormat="1" applyFont="1" applyBorder="1" applyAlignment="1">
      <alignment horizontal="center" vertical="center" textRotation="90" wrapText="1"/>
    </xf>
    <xf numFmtId="164" fontId="7" fillId="0" borderId="2" xfId="0" applyNumberFormat="1" applyFont="1" applyBorder="1" applyAlignment="1">
      <alignment horizontal="center" vertical="center" textRotation="90"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4" fillId="0" borderId="1" xfId="0" applyFont="1" applyBorder="1" applyAlignment="1">
      <alignment horizontal="center" vertical="center" wrapText="1"/>
    </xf>
    <xf numFmtId="1" fontId="7" fillId="0" borderId="1" xfId="0" applyNumberFormat="1" applyFont="1" applyBorder="1" applyAlignment="1">
      <alignment horizontal="center" vertical="center" textRotation="90" wrapText="1"/>
    </xf>
    <xf numFmtId="1" fontId="7" fillId="0" borderId="2" xfId="0" applyNumberFormat="1" applyFont="1" applyBorder="1" applyAlignment="1">
      <alignment horizontal="center" vertical="center" textRotation="90" wrapText="1"/>
    </xf>
    <xf numFmtId="0" fontId="4" fillId="0" borderId="8" xfId="0" applyFont="1" applyBorder="1" applyAlignment="1">
      <alignment horizontal="center" vertical="center" wrapText="1"/>
    </xf>
    <xf numFmtId="0" fontId="22" fillId="0" borderId="1" xfId="0" applyFont="1" applyBorder="1" applyAlignment="1">
      <alignment horizontal="center" vertical="center" textRotation="90" wrapText="1"/>
    </xf>
    <xf numFmtId="0" fontId="22"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center" vertical="center" textRotation="90" wrapText="1"/>
    </xf>
    <xf numFmtId="0" fontId="22" fillId="0" borderId="11"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2" xfId="0" applyFont="1" applyBorder="1" applyAlignment="1">
      <alignment horizontal="center" vertical="center" textRotation="90" wrapText="1"/>
    </xf>
    <xf numFmtId="0" fontId="22" fillId="0" borderId="7" xfId="0" applyFont="1" applyBorder="1" applyAlignment="1">
      <alignment horizontal="center" vertical="center" textRotation="90" wrapText="1"/>
    </xf>
    <xf numFmtId="0" fontId="22" fillId="0" borderId="4" xfId="0" applyFont="1" applyBorder="1" applyAlignment="1">
      <alignment horizontal="center" vertical="center" textRotation="90" wrapText="1"/>
    </xf>
    <xf numFmtId="0" fontId="0" fillId="0" borderId="0" xfId="0" applyAlignment="1">
      <alignment horizontal="center"/>
    </xf>
    <xf numFmtId="0" fontId="11" fillId="0" borderId="0" xfId="0" applyFont="1" applyAlignment="1">
      <alignment horizontal="left"/>
    </xf>
    <xf numFmtId="0" fontId="30" fillId="6" borderId="0" xfId="0" applyFont="1" applyFill="1" applyAlignment="1">
      <alignment horizontal="center" vertical="center"/>
    </xf>
    <xf numFmtId="0" fontId="28" fillId="0" borderId="0" xfId="0" applyFont="1" applyAlignment="1">
      <alignment horizontal="center" vertical="top"/>
    </xf>
    <xf numFmtId="0" fontId="25" fillId="0" borderId="9" xfId="0" applyFont="1" applyBorder="1" applyAlignment="1">
      <alignment horizontal="center" vertical="center" textRotation="90" wrapText="1"/>
    </xf>
    <xf numFmtId="0" fontId="25" fillId="0" borderId="10" xfId="0" applyFont="1" applyBorder="1" applyAlignment="1">
      <alignment horizontal="center" vertical="center" textRotation="90" wrapText="1"/>
    </xf>
    <xf numFmtId="0" fontId="25" fillId="0" borderId="9" xfId="0" applyFont="1" applyBorder="1" applyAlignment="1">
      <alignment vertical="center" textRotation="90" wrapText="1"/>
    </xf>
    <xf numFmtId="0" fontId="25" fillId="0" borderId="10" xfId="0" applyFont="1" applyBorder="1" applyAlignment="1">
      <alignment vertical="center" textRotation="90" wrapText="1"/>
    </xf>
    <xf numFmtId="0" fontId="25" fillId="0" borderId="12" xfId="0" applyFont="1" applyBorder="1" applyAlignment="1">
      <alignment horizontal="center" vertical="center" textRotation="90" wrapText="1"/>
    </xf>
    <xf numFmtId="0" fontId="25" fillId="0" borderId="13" xfId="0" applyFont="1" applyBorder="1" applyAlignment="1">
      <alignment horizontal="center" vertical="center" textRotation="90" wrapText="1"/>
    </xf>
    <xf numFmtId="0" fontId="25" fillId="0" borderId="14" xfId="0" applyFont="1" applyBorder="1" applyAlignment="1">
      <alignment horizontal="center" vertical="center" textRotation="90" wrapText="1"/>
    </xf>
    <xf numFmtId="0" fontId="0" fillId="4" borderId="0" xfId="0" applyFill="1" applyAlignment="1">
      <alignment horizontal="center"/>
    </xf>
    <xf numFmtId="0" fontId="0" fillId="9" borderId="0" xfId="0" applyFill="1" applyAlignment="1">
      <alignment horizontal="center"/>
    </xf>
    <xf numFmtId="0" fontId="0" fillId="7" borderId="0" xfId="0" applyFill="1" applyAlignment="1">
      <alignment horizontal="center"/>
    </xf>
    <xf numFmtId="0" fontId="34" fillId="11" borderId="2" xfId="0" applyFont="1" applyFill="1" applyBorder="1" applyAlignment="1">
      <alignment horizontal="center" vertical="center"/>
    </xf>
    <xf numFmtId="0" fontId="34" fillId="11" borderId="7" xfId="0" applyFont="1" applyFill="1" applyBorder="1" applyAlignment="1">
      <alignment horizontal="center" vertical="center"/>
    </xf>
    <xf numFmtId="0" fontId="34" fillId="11" borderId="4" xfId="0" applyFont="1" applyFill="1" applyBorder="1" applyAlignment="1">
      <alignment horizontal="center" vertical="center"/>
    </xf>
    <xf numFmtId="0" fontId="34" fillId="11" borderId="1" xfId="0" applyFont="1" applyFill="1" applyBorder="1" applyAlignment="1">
      <alignment horizontal="center" vertical="center"/>
    </xf>
    <xf numFmtId="0" fontId="0" fillId="7" borderId="11" xfId="0" applyFill="1" applyBorder="1" applyAlignment="1">
      <alignment horizontal="center"/>
    </xf>
    <xf numFmtId="0" fontId="0" fillId="7" borderId="8" xfId="0" applyFill="1" applyBorder="1" applyAlignment="1">
      <alignment horizontal="center"/>
    </xf>
    <xf numFmtId="0" fontId="0" fillId="7" borderId="5" xfId="0" applyFill="1" applyBorder="1" applyAlignment="1">
      <alignment horizontal="center"/>
    </xf>
    <xf numFmtId="0" fontId="0" fillId="4" borderId="11" xfId="0" applyFill="1" applyBorder="1" applyAlignment="1">
      <alignment horizontal="center"/>
    </xf>
    <xf numFmtId="0" fontId="0" fillId="4" borderId="8" xfId="0" applyFill="1" applyBorder="1" applyAlignment="1">
      <alignment horizontal="center"/>
    </xf>
    <xf numFmtId="0" fontId="0" fillId="4" borderId="5" xfId="0" applyFill="1" applyBorder="1" applyAlignment="1">
      <alignment horizontal="center"/>
    </xf>
    <xf numFmtId="0" fontId="0" fillId="8" borderId="15" xfId="0" applyFill="1" applyBorder="1" applyAlignment="1">
      <alignment horizontal="center"/>
    </xf>
    <xf numFmtId="0" fontId="0" fillId="8" borderId="16" xfId="0" applyFill="1" applyBorder="1" applyAlignment="1">
      <alignment horizontal="center"/>
    </xf>
    <xf numFmtId="0" fontId="0" fillId="8" borderId="17" xfId="0" applyFill="1" applyBorder="1" applyAlignment="1">
      <alignment horizontal="center"/>
    </xf>
    <xf numFmtId="0" fontId="0" fillId="8" borderId="11" xfId="0" applyFill="1" applyBorder="1" applyAlignment="1">
      <alignment horizontal="center"/>
    </xf>
    <xf numFmtId="0" fontId="0" fillId="8" borderId="8" xfId="0" applyFill="1" applyBorder="1" applyAlignment="1">
      <alignment horizontal="center"/>
    </xf>
    <xf numFmtId="0" fontId="0" fillId="8" borderId="5" xfId="0" applyFill="1" applyBorder="1" applyAlignment="1">
      <alignment horizontal="center"/>
    </xf>
    <xf numFmtId="0" fontId="0" fillId="8" borderId="18" xfId="0" applyFill="1" applyBorder="1" applyAlignment="1">
      <alignment horizontal="center"/>
    </xf>
    <xf numFmtId="0" fontId="0" fillId="8" borderId="19" xfId="0" applyFill="1" applyBorder="1" applyAlignment="1">
      <alignment horizontal="center"/>
    </xf>
  </cellXfs>
  <cellStyles count="3">
    <cellStyle name="Normal" xfId="0" builtinId="0"/>
    <cellStyle name="Normal 2" xfId="1" xr:uid="{00000000-0005-0000-0000-000001000000}"/>
    <cellStyle name="Percent" xfId="2" builtinId="5"/>
  </cellStyles>
  <dxfs count="68">
    <dxf>
      <font>
        <condense val="0"/>
        <extend val="0"/>
        <color rgb="FF9C0006"/>
      </font>
      <fill>
        <patternFill>
          <bgColor rgb="FFFFC7CE"/>
        </patternFill>
      </fill>
    </dxf>
    <dxf>
      <font>
        <condense val="0"/>
        <extend val="0"/>
        <color rgb="FF9C0006"/>
      </font>
      <fill>
        <patternFill>
          <bgColor rgb="FFFFC7CE"/>
        </patternFill>
      </fill>
    </dxf>
    <dxf>
      <numFmt numFmtId="1" formatCode="0"/>
    </dxf>
    <dxf>
      <numFmt numFmtId="1" formatCode="0"/>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ont>
        <b val="0"/>
        <i val="0"/>
        <u val="double"/>
        <sz val="12"/>
        <color rgb="FFC00000"/>
        <name val="Lato Black"/>
        <family val="2"/>
        <scheme val="none"/>
      </font>
    </dxf>
    <dxf>
      <fill>
        <patternFill patternType="solid">
          <bgColor theme="6" tint="0.59996337778862885"/>
        </patternFill>
      </fill>
      <border diagonalUp="0" diagonalDown="0">
        <left/>
        <right/>
        <top/>
        <bottom/>
        <vertical/>
        <horizontal/>
      </border>
    </dxf>
  </dxfs>
  <tableStyles count="1" defaultTableStyle="TableStyleMedium2" defaultPivotStyle="PivotStyleMedium9">
    <tableStyle name="PHC" pivot="0" table="0" count="5" xr9:uid="{8C11B25E-8933-4CC4-81E7-19EB0137DAF1}">
      <tableStyleElement type="wholeTable" dxfId="67"/>
      <tableStyleElement type="headerRow" dxfId="66"/>
    </tableStyle>
  </tableStyles>
  <colors>
    <mruColors>
      <color rgb="FFF49546"/>
      <color rgb="FFE329C8"/>
      <color rgb="FFF698E6"/>
      <color rgb="FF7D0516"/>
      <color rgb="FFAB3A0D"/>
      <color rgb="FFF8B89E"/>
      <color rgb="FFF06128"/>
      <color rgb="FF9C0606"/>
      <color rgb="FFE64D10"/>
      <color rgb="FF4F81BD"/>
    </mruColors>
  </colors>
  <extLst>
    <ext xmlns:x14="http://schemas.microsoft.com/office/spreadsheetml/2009/9/main" uri="{46F421CA-312F-682f-3DD2-61675219B42D}">
      <x14:dxfs count="3">
        <dxf>
          <fill>
            <gradientFill degree="270">
              <stop position="0">
                <color theme="1" tint="0.49803155613879818"/>
              </stop>
              <stop position="1">
                <color theme="1" tint="0.25098422193060094"/>
              </stop>
            </gradientFill>
          </fill>
        </dxf>
        <dxf>
          <font>
            <b val="0"/>
            <i val="0"/>
            <sz val="11"/>
            <color rgb="FF05042E"/>
            <name val="Lato Black"/>
            <family val="2"/>
            <scheme val="none"/>
          </font>
          <fill>
            <gradientFill degree="270">
              <stop position="0">
                <color theme="6" tint="0.59999389629810485"/>
              </stop>
              <stop position="1">
                <color theme="6" tint="-0.25098422193060094"/>
              </stop>
            </gradientFill>
          </fill>
        </dxf>
        <dxf>
          <fill>
            <gradientFill degree="270">
              <stop position="0">
                <color theme="0" tint="-0.1490218817712943"/>
              </stop>
              <stop position="1">
                <color theme="0" tint="-0.49803155613879818"/>
              </stop>
            </gradientFill>
          </fill>
        </dxf>
      </x14:dxfs>
    </ext>
    <ext xmlns:x14="http://schemas.microsoft.com/office/spreadsheetml/2009/9/main" uri="{EB79DEF2-80B8-43e5-95BD-54CBDDF9020C}">
      <x14:slicerStyles defaultSlicerStyle="SlicerStyleLight1">
        <x14:slicerStyle name="PHC">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microsoft.com/office/2007/relationships/slicerCache" Target="slicerCaches/slicerCache8.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microsoft.com/office/2007/relationships/slicerCache" Target="slicerCaches/slicerCache7.xml"/><Relationship Id="rId30" Type="http://schemas.microsoft.com/office/2007/relationships/slicerCache" Target="slicerCaches/slicerCache10.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[Infant death_copy.xlsx]karkal_pivot!Gender(K1)</c:name>
    <c:fmtId val="6"/>
  </c:pivotSource>
  <c:chart>
    <c:title>
      <c:tx>
        <c:rich>
          <a:bodyPr rot="0" spcFirstLastPara="1" vertOverflow="ellipsis" vert="horz" wrap="square" anchor="ctr" anchorCtr="1"/>
          <a:lstStyle/>
          <a:p>
            <a:pPr>
              <a:defRPr sz="1260" b="1" i="0" u="none" strike="noStrike" kern="1200" baseline="0">
                <a:solidFill>
                  <a:sysClr val="windowText" lastClr="000000"/>
                </a:solidFill>
                <a:latin typeface="Lato Black" panose="020F0A02020204030203" pitchFamily="34" charset="0"/>
                <a:ea typeface="+mn-ea"/>
                <a:cs typeface="+mn-cs"/>
              </a:defRPr>
            </a:pPr>
            <a:r>
              <a:rPr lang="en-IN" sz="1200" b="1" i="0" u="none" strike="noStrike" kern="1200" spc="0" baseline="0">
                <a:solidFill>
                  <a:schemeClr val="tx1"/>
                </a:solidFill>
                <a:latin typeface="Lato Black" panose="020F0A02020204030203" pitchFamily="34" charset="0"/>
              </a:rPr>
              <a:t>Gender-wise Analysis of Infant &amp; Neonatal Deaths</a:t>
            </a:r>
          </a:p>
        </c:rich>
      </c:tx>
      <c:overlay val="0"/>
      <c:spPr>
        <a:noFill/>
        <a:ln>
          <a:noFill/>
        </a:ln>
        <a:effectLst/>
      </c:spPr>
      <c:txPr>
        <a:bodyPr rot="0" spcFirstLastPara="1" vertOverflow="ellipsis" vert="horz" wrap="square" anchor="ctr" anchorCtr="1"/>
        <a:lstStyle/>
        <a:p>
          <a:pPr>
            <a:defRPr sz="126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layout>
            <c:manualLayout>
              <c:x val="-1.1111111111111112E-2"/>
              <c:y val="-3.7037037037037035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5.8333333333333334E-2"/>
              <c:y val="1.3888888888888888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layout>
            <c:manualLayout>
              <c:x val="3.6685399414536406E-2"/>
              <c:y val="-3.9661085145105551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5.8333333333333334E-2"/>
              <c:y val="1.3888888888888888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447978793903248E-2"/>
          <c:y val="0.15519904931669637"/>
          <c:w val="0.8052848264742255"/>
          <c:h val="0.54721321599505945"/>
        </c:manualLayout>
      </c:layout>
      <c:bar3DChart>
        <c:barDir val="col"/>
        <c:grouping val="standard"/>
        <c:varyColors val="0"/>
        <c:ser>
          <c:idx val="0"/>
          <c:order val="0"/>
          <c:tx>
            <c:strRef>
              <c:f>karkal_pivot!$B$19:$B$20</c:f>
              <c:strCache>
                <c:ptCount val="1"/>
                <c:pt idx="0">
                  <c:v>Female</c:v>
                </c:pt>
              </c:strCache>
            </c:strRef>
          </c:tx>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Pt>
            <c:idx val="0"/>
            <c:invertIfNegative val="0"/>
            <c:bubble3D val="0"/>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4-1EAD-4F35-8516-09EC6F1FDB30}"/>
              </c:ext>
            </c:extLst>
          </c:dPt>
          <c:dPt>
            <c:idx val="1"/>
            <c:invertIfNegative val="0"/>
            <c:bubble3D val="0"/>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6-1EAD-4F35-8516-09EC6F1FDB30}"/>
              </c:ext>
            </c:extLst>
          </c:dPt>
          <c:dLbls>
            <c:dLbl>
              <c:idx val="0"/>
              <c:layout>
                <c:manualLayout>
                  <c:x val="-5.8333333333333334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AD-4F35-8516-09EC6F1FDB30}"/>
                </c:ext>
              </c:extLst>
            </c:dLbl>
            <c:dLbl>
              <c:idx val="1"/>
              <c:layout>
                <c:manualLayout>
                  <c:x val="-5.8333333333333334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AD-4F35-8516-09EC6F1FDB30}"/>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noFill/>
                    </a:ln>
                    <a:effectLst/>
                  </c:spPr>
                </c15:leaderLines>
              </c:ext>
            </c:extLst>
          </c:dLbls>
          <c:cat>
            <c:strRef>
              <c:f>karkal_pivot!$A$21:$A$23</c:f>
              <c:strCache>
                <c:ptCount val="2"/>
                <c:pt idx="0">
                  <c:v>Infant Death</c:v>
                </c:pt>
                <c:pt idx="1">
                  <c:v>Neonatal Death</c:v>
                </c:pt>
              </c:strCache>
            </c:strRef>
          </c:cat>
          <c:val>
            <c:numRef>
              <c:f>karkal_pivot!$B$21:$B$23</c:f>
              <c:numCache>
                <c:formatCode>General</c:formatCode>
                <c:ptCount val="2"/>
                <c:pt idx="0">
                  <c:v>3</c:v>
                </c:pt>
                <c:pt idx="1">
                  <c:v>8</c:v>
                </c:pt>
              </c:numCache>
            </c:numRef>
          </c:val>
          <c:extLst>
            <c:ext xmlns:c16="http://schemas.microsoft.com/office/drawing/2014/chart" uri="{C3380CC4-5D6E-409C-BE32-E72D297353CC}">
              <c16:uniqueId val="{00000000-1EAD-4F35-8516-09EC6F1FDB30}"/>
            </c:ext>
          </c:extLst>
        </c:ser>
        <c:ser>
          <c:idx val="1"/>
          <c:order val="1"/>
          <c:tx>
            <c:strRef>
              <c:f>karkal_pivot!$C$19:$C$20</c:f>
              <c:strCache>
                <c:ptCount val="1"/>
                <c:pt idx="0">
                  <c:v>Male</c:v>
                </c:pt>
              </c:strCache>
            </c:strRef>
          </c:tx>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Pt>
            <c:idx val="0"/>
            <c:invertIfNegative val="0"/>
            <c:bubble3D val="0"/>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BE45-4432-91C6-FFC0A2345F1E}"/>
              </c:ext>
            </c:extLst>
          </c:dPt>
          <c:dPt>
            <c:idx val="1"/>
            <c:invertIfNegative val="0"/>
            <c:bubble3D val="0"/>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BE45-4432-91C6-FFC0A2345F1E}"/>
              </c:ext>
            </c:extLst>
          </c:dPt>
          <c:dLbls>
            <c:dLbl>
              <c:idx val="0"/>
              <c:layout>
                <c:manualLayout>
                  <c:x val="-1.1111111111111112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45-4432-91C6-FFC0A2345F1E}"/>
                </c:ext>
              </c:extLst>
            </c:dLbl>
            <c:dLbl>
              <c:idx val="1"/>
              <c:layout>
                <c:manualLayout>
                  <c:x val="3.6685399414536406E-2"/>
                  <c:y val="-3.96610851451055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E45-4432-91C6-FFC0A2345F1E}"/>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karkal_pivot!$A$21:$A$23</c:f>
              <c:strCache>
                <c:ptCount val="2"/>
                <c:pt idx="0">
                  <c:v>Infant Death</c:v>
                </c:pt>
                <c:pt idx="1">
                  <c:v>Neonatal Death</c:v>
                </c:pt>
              </c:strCache>
            </c:strRef>
          </c:cat>
          <c:val>
            <c:numRef>
              <c:f>karkal_pivot!$C$21:$C$23</c:f>
              <c:numCache>
                <c:formatCode>General</c:formatCode>
                <c:ptCount val="2"/>
                <c:pt idx="0">
                  <c:v>3</c:v>
                </c:pt>
                <c:pt idx="1">
                  <c:v>5</c:v>
                </c:pt>
              </c:numCache>
            </c:numRef>
          </c:val>
          <c:extLst>
            <c:ext xmlns:c16="http://schemas.microsoft.com/office/drawing/2014/chart" uri="{C3380CC4-5D6E-409C-BE32-E72D297353CC}">
              <c16:uniqueId val="{00000008-56C7-4FA8-82CF-BC7FA388CA89}"/>
            </c:ext>
          </c:extLst>
        </c:ser>
        <c:dLbls>
          <c:showLegendKey val="0"/>
          <c:showVal val="1"/>
          <c:showCatName val="0"/>
          <c:showSerName val="0"/>
          <c:showPercent val="0"/>
          <c:showBubbleSize val="0"/>
        </c:dLbls>
        <c:gapWidth val="219"/>
        <c:shape val="box"/>
        <c:axId val="413658927"/>
        <c:axId val="413660367"/>
        <c:axId val="1346955231"/>
      </c:bar3DChart>
      <c:catAx>
        <c:axId val="41365892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413660367"/>
        <c:crosses val="autoZero"/>
        <c:auto val="1"/>
        <c:lblAlgn val="ctr"/>
        <c:lblOffset val="100"/>
        <c:noMultiLvlLbl val="0"/>
      </c:catAx>
      <c:valAx>
        <c:axId val="413660367"/>
        <c:scaling>
          <c:orientation val="minMax"/>
        </c:scaling>
        <c:delete val="1"/>
        <c:axPos val="l"/>
        <c:numFmt formatCode="General" sourceLinked="1"/>
        <c:majorTickMark val="none"/>
        <c:minorTickMark val="none"/>
        <c:tickLblPos val="nextTo"/>
        <c:crossAx val="413658927"/>
        <c:crosses val="autoZero"/>
        <c:crossBetween val="between"/>
      </c:valAx>
      <c:serAx>
        <c:axId val="1346955231"/>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413660367"/>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[Infant death_copy.xlsx]karkal_pivot!High_risk(K1)</c:name>
    <c:fmtId val="0"/>
  </c:pivotSource>
  <c:chart>
    <c:autoTitleDeleted val="0"/>
    <c:pivotFmts>
      <c:pivotFmt>
        <c:idx val="0"/>
        <c:spPr>
          <a:gradFill rotWithShape="1">
            <a:gsLst>
              <a:gs pos="0">
                <a:srgbClr val="4CD46C"/>
              </a:gs>
              <a:gs pos="100000">
                <a:srgbClr val="1C8519"/>
              </a:gs>
            </a:gsLst>
            <a:lin ang="5400000" scaled="1"/>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B9EA60"/>
              </a:gs>
              <a:gs pos="100000">
                <a:srgbClr val="88A51F"/>
              </a:gs>
            </a:gsLst>
            <a:lin ang="5400000" scaled="1"/>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4CD46C"/>
              </a:gs>
              <a:gs pos="100000">
                <a:srgbClr val="1C8519"/>
              </a:gs>
            </a:gsLst>
            <a:lin ang="5400000" scaled="1"/>
          </a:gradFill>
          <a:ln>
            <a:noFill/>
          </a:ln>
          <a:effectLst>
            <a:outerShdw blurRad="40000" dist="23000" dir="5400000" rotWithShape="0">
              <a:srgbClr val="000000">
                <a:alpha val="35000"/>
              </a:srgbClr>
            </a:outerShdw>
          </a:effectLst>
          <a:sp3d/>
        </c:spPr>
        <c:dLbl>
          <c:idx val="0"/>
          <c:layout>
            <c:manualLayout>
              <c:x val="5.5555555555555297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4CD46C"/>
              </a:gs>
              <a:gs pos="100000">
                <a:srgbClr val="1C8519"/>
              </a:gs>
            </a:gsLst>
            <a:lin ang="5400000" scaled="1"/>
          </a:gradFill>
          <a:ln>
            <a:noFill/>
          </a:ln>
          <a:effectLst>
            <a:outerShdw blurRad="40000" dist="23000" dir="5400000" rotWithShape="0">
              <a:srgbClr val="000000">
                <a:alpha val="35000"/>
              </a:srgbClr>
            </a:outerShdw>
          </a:effectLst>
          <a:sp3d/>
        </c:spPr>
        <c:dLbl>
          <c:idx val="0"/>
          <c:layout>
            <c:manualLayout>
              <c:x val="5.5555555555555297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B9EA60"/>
              </a:gs>
              <a:gs pos="100000">
                <a:srgbClr val="88A51F"/>
              </a:gs>
            </a:gsLst>
            <a:lin ang="5400000" scaled="1"/>
          </a:gradFill>
          <a:ln>
            <a:noFill/>
          </a:ln>
          <a:effectLst>
            <a:outerShdw blurRad="40000" dist="23000" dir="5400000" rotWithShape="0">
              <a:srgbClr val="000000">
                <a:alpha val="35000"/>
              </a:srgbClr>
            </a:outerShdw>
          </a:effectLst>
          <a:sp3d/>
        </c:spPr>
        <c:dLbl>
          <c:idx val="0"/>
          <c:layout>
            <c:manualLayout>
              <c:x val="1.944444444444444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B9EA60"/>
              </a:gs>
              <a:gs pos="100000">
                <a:srgbClr val="88A51F"/>
              </a:gs>
            </a:gsLst>
            <a:lin ang="5400000" scaled="1"/>
          </a:gradFill>
          <a:ln>
            <a:noFill/>
          </a:ln>
          <a:effectLst>
            <a:outerShdw blurRad="40000" dist="23000" dir="5400000" rotWithShape="0">
              <a:srgbClr val="000000">
                <a:alpha val="35000"/>
              </a:srgbClr>
            </a:outerShdw>
          </a:effectLst>
          <a:sp3d/>
        </c:spPr>
        <c:dLbl>
          <c:idx val="0"/>
          <c:layout>
            <c:manualLayout>
              <c:x val="2.7777777777777776E-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509320491667679E-2"/>
          <c:y val="8.7729327951653099E-2"/>
          <c:w val="0.77038407699037625"/>
          <c:h val="0.67095654709827945"/>
        </c:manualLayout>
      </c:layout>
      <c:bar3DChart>
        <c:barDir val="col"/>
        <c:grouping val="standard"/>
        <c:varyColors val="0"/>
        <c:ser>
          <c:idx val="0"/>
          <c:order val="0"/>
          <c:tx>
            <c:strRef>
              <c:f>karkal_pivot!$B$3:$B$4</c:f>
              <c:strCache>
                <c:ptCount val="1"/>
                <c:pt idx="0">
                  <c:v>LSCS</c:v>
                </c:pt>
              </c:strCache>
            </c:strRef>
          </c:tx>
          <c:spPr>
            <a:gradFill rotWithShape="1">
              <a:gsLst>
                <a:gs pos="0">
                  <a:srgbClr val="4CD46C"/>
                </a:gs>
                <a:gs pos="100000">
                  <a:srgbClr val="1C8519"/>
                </a:gs>
              </a:gsLst>
              <a:lin ang="5400000" scaled="1"/>
            </a:gradFill>
            <a:ln>
              <a:noFill/>
            </a:ln>
            <a:effectLst>
              <a:outerShdw blurRad="40000" dist="23000" dir="5400000" rotWithShape="0">
                <a:srgbClr val="000000">
                  <a:alpha val="35000"/>
                </a:srgbClr>
              </a:outerShdw>
            </a:effectLst>
            <a:sp3d/>
          </c:spPr>
          <c:invertIfNegative val="0"/>
          <c:dPt>
            <c:idx val="0"/>
            <c:invertIfNegative val="0"/>
            <c:bubble3D val="0"/>
            <c:extLst>
              <c:ext xmlns:c16="http://schemas.microsoft.com/office/drawing/2014/chart" uri="{C3380CC4-5D6E-409C-BE32-E72D297353CC}">
                <c16:uniqueId val="{00000003-9D70-49D3-A64E-C74D54D60DCC}"/>
              </c:ext>
            </c:extLst>
          </c:dPt>
          <c:dPt>
            <c:idx val="1"/>
            <c:invertIfNegative val="0"/>
            <c:bubble3D val="0"/>
            <c:extLst>
              <c:ext xmlns:c16="http://schemas.microsoft.com/office/drawing/2014/chart" uri="{C3380CC4-5D6E-409C-BE32-E72D297353CC}">
                <c16:uniqueId val="{00000004-9D70-49D3-A64E-C74D54D60DCC}"/>
              </c:ext>
            </c:extLst>
          </c:dPt>
          <c:dLbls>
            <c:dLbl>
              <c:idx val="0"/>
              <c:layout>
                <c:manualLayout>
                  <c:x val="5.5555555555555297E-3"/>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70-49D3-A64E-C74D54D60DCC}"/>
                </c:ext>
              </c:extLst>
            </c:dLbl>
            <c:dLbl>
              <c:idx val="1"/>
              <c:layout>
                <c:manualLayout>
                  <c:x val="5.5555555555555297E-3"/>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D70-49D3-A64E-C74D54D60D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noFill/>
                    </a:ln>
                    <a:effectLst/>
                  </c:spPr>
                </c15:leaderLines>
              </c:ext>
            </c:extLst>
          </c:dLbls>
          <c:cat>
            <c:strRef>
              <c:f>karkal_pivot!$A$5:$A$7</c:f>
              <c:strCache>
                <c:ptCount val="2"/>
                <c:pt idx="0">
                  <c:v>Without High Risk Pregnancy</c:v>
                </c:pt>
                <c:pt idx="1">
                  <c:v>With High Risk Pregnancy</c:v>
                </c:pt>
              </c:strCache>
            </c:strRef>
          </c:cat>
          <c:val>
            <c:numRef>
              <c:f>karkal_pivot!$B$5:$B$7</c:f>
              <c:numCache>
                <c:formatCode>General</c:formatCode>
                <c:ptCount val="2"/>
                <c:pt idx="0">
                  <c:v>6</c:v>
                </c:pt>
                <c:pt idx="1">
                  <c:v>6</c:v>
                </c:pt>
              </c:numCache>
            </c:numRef>
          </c:val>
          <c:extLst>
            <c:ext xmlns:c16="http://schemas.microsoft.com/office/drawing/2014/chart" uri="{C3380CC4-5D6E-409C-BE32-E72D297353CC}">
              <c16:uniqueId val="{00000000-9D70-49D3-A64E-C74D54D60DCC}"/>
            </c:ext>
          </c:extLst>
        </c:ser>
        <c:ser>
          <c:idx val="1"/>
          <c:order val="1"/>
          <c:tx>
            <c:strRef>
              <c:f>karkal_pivot!$C$3:$C$4</c:f>
              <c:strCache>
                <c:ptCount val="1"/>
                <c:pt idx="0">
                  <c:v>Normal</c:v>
                </c:pt>
              </c:strCache>
            </c:strRef>
          </c:tx>
          <c:spPr>
            <a:gradFill rotWithShape="1">
              <a:gsLst>
                <a:gs pos="0">
                  <a:srgbClr val="B9EA60"/>
                </a:gs>
                <a:gs pos="100000">
                  <a:srgbClr val="88A51F"/>
                </a:gs>
              </a:gsLst>
              <a:lin ang="5400000" scaled="1"/>
            </a:gradFill>
            <a:ln>
              <a:noFill/>
            </a:ln>
            <a:effectLst>
              <a:outerShdw blurRad="40000" dist="23000" dir="5400000" rotWithShape="0">
                <a:srgbClr val="000000">
                  <a:alpha val="35000"/>
                </a:srgbClr>
              </a:outerShdw>
            </a:effectLst>
            <a:sp3d/>
          </c:spPr>
          <c:invertIfNegative val="0"/>
          <c:dPt>
            <c:idx val="0"/>
            <c:invertIfNegative val="0"/>
            <c:bubble3D val="0"/>
            <c:extLst>
              <c:ext xmlns:c16="http://schemas.microsoft.com/office/drawing/2014/chart" uri="{C3380CC4-5D6E-409C-BE32-E72D297353CC}">
                <c16:uniqueId val="{00000002-155A-4E4C-902E-99CEBAAF5FFA}"/>
              </c:ext>
            </c:extLst>
          </c:dPt>
          <c:dPt>
            <c:idx val="1"/>
            <c:invertIfNegative val="0"/>
            <c:bubble3D val="0"/>
            <c:extLst>
              <c:ext xmlns:c16="http://schemas.microsoft.com/office/drawing/2014/chart" uri="{C3380CC4-5D6E-409C-BE32-E72D297353CC}">
                <c16:uniqueId val="{00000003-155A-4E4C-902E-99CEBAAF5FFA}"/>
              </c:ext>
            </c:extLst>
          </c:dPt>
          <c:dLbls>
            <c:dLbl>
              <c:idx val="0"/>
              <c:layout>
                <c:manualLayout>
                  <c:x val="1.9444444444444445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5A-4E4C-902E-99CEBAAF5FFA}"/>
                </c:ext>
              </c:extLst>
            </c:dLbl>
            <c:dLbl>
              <c:idx val="1"/>
              <c:layout>
                <c:manualLayout>
                  <c:x val="2.7777777777777776E-2"/>
                  <c:y val="-2.7777777777777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5A-4E4C-902E-99CEBAAF5F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karkal_pivot!$A$5:$A$7</c:f>
              <c:strCache>
                <c:ptCount val="2"/>
                <c:pt idx="0">
                  <c:v>Without High Risk Pregnancy</c:v>
                </c:pt>
                <c:pt idx="1">
                  <c:v>With High Risk Pregnancy</c:v>
                </c:pt>
              </c:strCache>
            </c:strRef>
          </c:cat>
          <c:val>
            <c:numRef>
              <c:f>karkal_pivot!$C$5:$C$7</c:f>
              <c:numCache>
                <c:formatCode>General</c:formatCode>
                <c:ptCount val="2"/>
                <c:pt idx="0">
                  <c:v>2</c:v>
                </c:pt>
                <c:pt idx="1">
                  <c:v>5</c:v>
                </c:pt>
              </c:numCache>
            </c:numRef>
          </c:val>
          <c:extLst>
            <c:ext xmlns:c16="http://schemas.microsoft.com/office/drawing/2014/chart" uri="{C3380CC4-5D6E-409C-BE32-E72D297353CC}">
              <c16:uniqueId val="{00000005-BCFA-45B9-95E5-DDCE7F4186FE}"/>
            </c:ext>
          </c:extLst>
        </c:ser>
        <c:dLbls>
          <c:showLegendKey val="0"/>
          <c:showVal val="1"/>
          <c:showCatName val="0"/>
          <c:showSerName val="0"/>
          <c:showPercent val="0"/>
          <c:showBubbleSize val="0"/>
        </c:dLbls>
        <c:gapWidth val="150"/>
        <c:shape val="box"/>
        <c:axId val="413722767"/>
        <c:axId val="413738607"/>
        <c:axId val="425926799"/>
      </c:bar3DChart>
      <c:catAx>
        <c:axId val="4137227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Lato Black" panose="020F0A02020204030203" pitchFamily="34" charset="0"/>
                <a:ea typeface="+mn-ea"/>
                <a:cs typeface="+mn-cs"/>
              </a:defRPr>
            </a:pPr>
            <a:endParaRPr lang="en-US"/>
          </a:p>
        </c:txPr>
        <c:crossAx val="413738607"/>
        <c:crosses val="autoZero"/>
        <c:auto val="1"/>
        <c:lblAlgn val="ctr"/>
        <c:lblOffset val="100"/>
        <c:noMultiLvlLbl val="0"/>
      </c:catAx>
      <c:valAx>
        <c:axId val="413738607"/>
        <c:scaling>
          <c:orientation val="minMax"/>
        </c:scaling>
        <c:delete val="1"/>
        <c:axPos val="l"/>
        <c:numFmt formatCode="General" sourceLinked="1"/>
        <c:majorTickMark val="none"/>
        <c:minorTickMark val="none"/>
        <c:tickLblPos val="nextTo"/>
        <c:crossAx val="413722767"/>
        <c:crosses val="autoZero"/>
        <c:crossBetween val="between"/>
        <c:majorUnit val="1"/>
      </c:valAx>
      <c:serAx>
        <c:axId val="425926799"/>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Lato Black" panose="020F0A02020204030203" pitchFamily="34" charset="0"/>
                <a:ea typeface="+mn-ea"/>
                <a:cs typeface="+mn-cs"/>
              </a:defRPr>
            </a:pPr>
            <a:endParaRPr lang="en-US"/>
          </a:p>
        </c:txPr>
        <c:crossAx val="413738607"/>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death_copy.xlsx]karkal_pivot!Delivary_type(K1)</c:name>
    <c:fmtId val="2"/>
  </c:pivotSource>
  <c:chart>
    <c:autoTitleDeleted val="1"/>
    <c:pivotFmts>
      <c:pivotFmt>
        <c:idx val="0"/>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450336363321814"/>
          <c:y val="0.12905147273257511"/>
          <c:w val="0.69097058489157781"/>
          <c:h val="0.62297863808690579"/>
        </c:manualLayout>
      </c:layout>
      <c:bar3DChart>
        <c:barDir val="col"/>
        <c:grouping val="clustered"/>
        <c:varyColors val="0"/>
        <c:ser>
          <c:idx val="0"/>
          <c:order val="0"/>
          <c:tx>
            <c:strRef>
              <c:f>karkal_pivot!$B$11:$B$12</c:f>
              <c:strCache>
                <c:ptCount val="1"/>
                <c:pt idx="0">
                  <c:v>Infant Death</c:v>
                </c:pt>
              </c:strCache>
            </c:strRef>
          </c:tx>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karkal_pivot!$A$13:$A$15</c:f>
              <c:strCache>
                <c:ptCount val="2"/>
                <c:pt idx="0">
                  <c:v>LSCS</c:v>
                </c:pt>
                <c:pt idx="1">
                  <c:v>Normal</c:v>
                </c:pt>
              </c:strCache>
            </c:strRef>
          </c:cat>
          <c:val>
            <c:numRef>
              <c:f>karkal_pivot!$B$13:$B$15</c:f>
              <c:numCache>
                <c:formatCode>General</c:formatCode>
                <c:ptCount val="2"/>
                <c:pt idx="0">
                  <c:v>4</c:v>
                </c:pt>
                <c:pt idx="1">
                  <c:v>2</c:v>
                </c:pt>
              </c:numCache>
            </c:numRef>
          </c:val>
          <c:extLst>
            <c:ext xmlns:c16="http://schemas.microsoft.com/office/drawing/2014/chart" uri="{C3380CC4-5D6E-409C-BE32-E72D297353CC}">
              <c16:uniqueId val="{00000000-BFA5-401B-B872-E90A96909915}"/>
            </c:ext>
          </c:extLst>
        </c:ser>
        <c:ser>
          <c:idx val="1"/>
          <c:order val="1"/>
          <c:tx>
            <c:strRef>
              <c:f>karkal_pivot!$C$11:$C$12</c:f>
              <c:strCache>
                <c:ptCount val="1"/>
                <c:pt idx="0">
                  <c:v>Neonatal Death</c:v>
                </c:pt>
              </c:strCache>
            </c:strRef>
          </c:tx>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karkal_pivot!$A$13:$A$15</c:f>
              <c:strCache>
                <c:ptCount val="2"/>
                <c:pt idx="0">
                  <c:v>LSCS</c:v>
                </c:pt>
                <c:pt idx="1">
                  <c:v>Normal</c:v>
                </c:pt>
              </c:strCache>
            </c:strRef>
          </c:cat>
          <c:val>
            <c:numRef>
              <c:f>karkal_pivot!$C$13:$C$15</c:f>
              <c:numCache>
                <c:formatCode>General</c:formatCode>
                <c:ptCount val="2"/>
                <c:pt idx="0">
                  <c:v>8</c:v>
                </c:pt>
                <c:pt idx="1">
                  <c:v>5</c:v>
                </c:pt>
              </c:numCache>
            </c:numRef>
          </c:val>
          <c:extLst>
            <c:ext xmlns:c16="http://schemas.microsoft.com/office/drawing/2014/chart" uri="{C3380CC4-5D6E-409C-BE32-E72D297353CC}">
              <c16:uniqueId val="{00000000-57E3-416F-8F84-835F155714F8}"/>
            </c:ext>
          </c:extLst>
        </c:ser>
        <c:dLbls>
          <c:showLegendKey val="0"/>
          <c:showVal val="1"/>
          <c:showCatName val="0"/>
          <c:showSerName val="0"/>
          <c:showPercent val="0"/>
          <c:showBubbleSize val="0"/>
        </c:dLbls>
        <c:gapWidth val="150"/>
        <c:shape val="box"/>
        <c:axId val="270826303"/>
        <c:axId val="270814783"/>
        <c:axId val="0"/>
      </c:bar3DChart>
      <c:catAx>
        <c:axId val="2708263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814783"/>
        <c:crosses val="autoZero"/>
        <c:auto val="1"/>
        <c:lblAlgn val="ctr"/>
        <c:lblOffset val="100"/>
        <c:noMultiLvlLbl val="0"/>
      </c:catAx>
      <c:valAx>
        <c:axId val="270814783"/>
        <c:scaling>
          <c:orientation val="minMax"/>
        </c:scaling>
        <c:delete val="1"/>
        <c:axPos val="l"/>
        <c:numFmt formatCode="General" sourceLinked="1"/>
        <c:majorTickMark val="none"/>
        <c:minorTickMark val="none"/>
        <c:tickLblPos val="nextTo"/>
        <c:crossAx val="270826303"/>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chemeClr val="tx1"/>
                </a:solidFill>
                <a:latin typeface="Lato Black" panose="020F0A02020204030203" pitchFamily="34" charset="0"/>
                <a:ea typeface="+mn-ea"/>
                <a:cs typeface="+mn-cs"/>
              </a:defRPr>
            </a:pPr>
            <a:endParaRPr lang="en-US"/>
          </a:p>
        </c:txPr>
      </c:dTable>
      <c:spPr>
        <a:noFill/>
        <a:ln>
          <a:noFill/>
        </a:ln>
        <a:effectLst/>
      </c:spPr>
    </c:plotArea>
    <c:legend>
      <c:legendPos val="t"/>
      <c:layout>
        <c:manualLayout>
          <c:xMode val="edge"/>
          <c:yMode val="edge"/>
          <c:x val="0.26789349071479057"/>
          <c:y val="4.6296296296296294E-2"/>
          <c:w val="0.61457313612825415"/>
          <c:h val="8.07545646054040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death_copy.xlsx]karkal_pivot!Preventable(K1)</c:name>
    <c:fmtId val="0"/>
  </c:pivotSource>
  <c:chart>
    <c:title>
      <c:tx>
        <c:rich>
          <a:bodyPr rot="0" spcFirstLastPara="1" vertOverflow="ellipsis" vert="horz" wrap="square" anchor="ctr" anchorCtr="1"/>
          <a:lstStyle/>
          <a:p>
            <a:pPr>
              <a:defRPr sz="1260" b="1" i="0" u="none" strike="noStrike" kern="1200" baseline="0">
                <a:solidFill>
                  <a:sysClr val="windowText" lastClr="000000"/>
                </a:solidFill>
                <a:latin typeface="Lato Black" panose="020F0A02020204030203" pitchFamily="34" charset="0"/>
                <a:ea typeface="+mn-ea"/>
                <a:cs typeface="+mn-cs"/>
              </a:defRPr>
            </a:pPr>
            <a:r>
              <a:rPr lang="en-IN" sz="1400" b="1" i="0" u="none" strike="noStrike" kern="1200" baseline="0">
                <a:solidFill>
                  <a:schemeClr val="tx1"/>
                </a:solidFill>
                <a:latin typeface="Lato Black" panose="020F0A02020204030203" pitchFamily="34" charset="0"/>
              </a:rPr>
              <a:t>Preventability of Infant &amp; Neonatal Deaths</a:t>
            </a:r>
          </a:p>
        </c:rich>
      </c:tx>
      <c:overlay val="0"/>
      <c:spPr>
        <a:noFill/>
        <a:ln>
          <a:noFill/>
        </a:ln>
        <a:effectLst/>
      </c:spPr>
      <c:txPr>
        <a:bodyPr rot="0" spcFirstLastPara="1" vertOverflow="ellipsis" vert="horz" wrap="square" anchor="ctr" anchorCtr="1"/>
        <a:lstStyle/>
        <a:p>
          <a:pPr>
            <a:defRPr sz="126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rgbClr val="F28D48"/>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F28D48"/>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karkal_pivot!$B$27:$B$28</c:f>
              <c:strCache>
                <c:ptCount val="1"/>
                <c:pt idx="0">
                  <c:v>Infant Death</c:v>
                </c:pt>
              </c:strCache>
            </c:strRef>
          </c:tx>
          <c:spPr>
            <a:gradFill rotWithShape="1">
              <a:gsLst>
                <a:gs pos="0">
                  <a:srgbClr val="F28D48"/>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karkal_pivot!$A$29:$A$31</c:f>
              <c:strCache>
                <c:ptCount val="2"/>
                <c:pt idx="0">
                  <c:v>Non-Preventable</c:v>
                </c:pt>
                <c:pt idx="1">
                  <c:v>Preventable</c:v>
                </c:pt>
              </c:strCache>
            </c:strRef>
          </c:cat>
          <c:val>
            <c:numRef>
              <c:f>karkal_pivot!$B$29:$B$31</c:f>
              <c:numCache>
                <c:formatCode>General</c:formatCode>
                <c:ptCount val="2"/>
                <c:pt idx="0">
                  <c:v>4</c:v>
                </c:pt>
                <c:pt idx="1">
                  <c:v>2</c:v>
                </c:pt>
              </c:numCache>
            </c:numRef>
          </c:val>
          <c:extLst>
            <c:ext xmlns:c16="http://schemas.microsoft.com/office/drawing/2014/chart" uri="{C3380CC4-5D6E-409C-BE32-E72D297353CC}">
              <c16:uniqueId val="{00000000-B76A-4929-84BD-E703D0C3BAF0}"/>
            </c:ext>
          </c:extLst>
        </c:ser>
        <c:ser>
          <c:idx val="1"/>
          <c:order val="1"/>
          <c:tx>
            <c:strRef>
              <c:f>karkal_pivot!$C$27:$C$28</c:f>
              <c:strCache>
                <c:ptCount val="1"/>
                <c:pt idx="0">
                  <c:v>Neonatal Death</c:v>
                </c:pt>
              </c:strCache>
            </c:strRef>
          </c:tx>
          <c:spPr>
            <a:gradFill rotWithShape="1">
              <a:gsLst>
                <a:gs pos="0">
                  <a:srgbClr val="F28D48"/>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karkal_pivot!$A$29:$A$31</c:f>
              <c:strCache>
                <c:ptCount val="2"/>
                <c:pt idx="0">
                  <c:v>Non-Preventable</c:v>
                </c:pt>
                <c:pt idx="1">
                  <c:v>Preventable</c:v>
                </c:pt>
              </c:strCache>
            </c:strRef>
          </c:cat>
          <c:val>
            <c:numRef>
              <c:f>karkal_pivot!$C$29:$C$31</c:f>
              <c:numCache>
                <c:formatCode>General</c:formatCode>
                <c:ptCount val="2"/>
                <c:pt idx="0">
                  <c:v>11</c:v>
                </c:pt>
                <c:pt idx="1">
                  <c:v>2</c:v>
                </c:pt>
              </c:numCache>
            </c:numRef>
          </c:val>
          <c:extLst>
            <c:ext xmlns:c16="http://schemas.microsoft.com/office/drawing/2014/chart" uri="{C3380CC4-5D6E-409C-BE32-E72D297353CC}">
              <c16:uniqueId val="{00000000-7784-4F26-9EB2-02E360C81989}"/>
            </c:ext>
          </c:extLst>
        </c:ser>
        <c:dLbls>
          <c:dLblPos val="outEnd"/>
          <c:showLegendKey val="0"/>
          <c:showVal val="1"/>
          <c:showCatName val="0"/>
          <c:showSerName val="0"/>
          <c:showPercent val="0"/>
          <c:showBubbleSize val="0"/>
        </c:dLbls>
        <c:gapWidth val="150"/>
        <c:axId val="413644527"/>
        <c:axId val="413631567"/>
      </c:barChart>
      <c:catAx>
        <c:axId val="4136445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413631567"/>
        <c:crosses val="autoZero"/>
        <c:auto val="1"/>
        <c:lblAlgn val="ctr"/>
        <c:lblOffset val="100"/>
        <c:noMultiLvlLbl val="0"/>
      </c:catAx>
      <c:valAx>
        <c:axId val="413631567"/>
        <c:scaling>
          <c:orientation val="minMax"/>
        </c:scaling>
        <c:delete val="1"/>
        <c:axPos val="b"/>
        <c:numFmt formatCode="General" sourceLinked="1"/>
        <c:majorTickMark val="none"/>
        <c:minorTickMark val="none"/>
        <c:tickLblPos val="nextTo"/>
        <c:crossAx val="4136445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death_copy.xlsx]karkal_pivot!HR_death(K1)</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Lato Black" panose="020F0A02020204030203" pitchFamily="34" charset="0"/>
                <a:ea typeface="+mn-ea"/>
                <a:cs typeface="+mn-cs"/>
              </a:defRPr>
            </a:pPr>
            <a:r>
              <a:rPr lang="en-IN">
                <a:solidFill>
                  <a:schemeClr val="tx1"/>
                </a:solidFill>
                <a:latin typeface="Lato Black" panose="020F0A02020204030203" pitchFamily="34" charset="0"/>
              </a:rPr>
              <a:t>High-Risk Pregnancy on Infant &amp; Neonatal Deaths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Lato Black" panose="020F0A02020204030203" pitchFamily="34" charset="0"/>
              <a:ea typeface="+mn-ea"/>
              <a:cs typeface="+mn-cs"/>
            </a:defRPr>
          </a:pPr>
          <a:endParaRPr lang="en-US"/>
        </a:p>
      </c:txPr>
    </c:title>
    <c:autoTitleDeleted val="0"/>
    <c:pivotFmts>
      <c:pivotFmt>
        <c:idx val="0"/>
        <c:spPr>
          <a:gradFill>
            <a:gsLst>
              <a:gs pos="0">
                <a:srgbClr val="FFAFFF"/>
              </a:gs>
              <a:gs pos="60829">
                <a:srgbClr val="8F008F"/>
              </a:gs>
              <a:gs pos="100000">
                <a:srgbClr val="FF15FF"/>
              </a:gs>
            </a:gsLst>
            <a:lin ang="162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FFAFFF"/>
              </a:gs>
              <a:gs pos="60829">
                <a:srgbClr val="8F008F"/>
              </a:gs>
              <a:gs pos="100000">
                <a:srgbClr val="FF15FF"/>
              </a:gs>
            </a:gsLst>
            <a:lin ang="162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FAFFF"/>
              </a:gs>
              <a:gs pos="60829">
                <a:srgbClr val="8F008F"/>
              </a:gs>
              <a:gs pos="100000">
                <a:srgbClr val="FF15FF"/>
              </a:gs>
            </a:gsLst>
            <a:lin ang="16200000" scaled="1"/>
          </a:gradFill>
          <a:ln>
            <a:noFill/>
          </a:ln>
          <a:effectLst/>
          <a:sp3d/>
        </c:spPr>
        <c:dLbl>
          <c:idx val="0"/>
          <c:layout>
            <c:manualLayout>
              <c:x val="4.0198379195422435E-2"/>
              <c:y val="-1.213970232572893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r>
                  <a:rPr lang="en-US"/>
                  <a:t>Infant Death</a:t>
                </a:r>
              </a:p>
              <a:p>
                <a:pPr>
                  <a:defRPr>
                    <a:solidFill>
                      <a:schemeClr val="tx1"/>
                    </a:solidFill>
                    <a:latin typeface="Lato Black" panose="020F0A02020204030203" pitchFamily="34" charset="0"/>
                  </a:defRPr>
                </a:pPr>
                <a:fld id="{9A349169-9B91-4A56-9411-C01DE84B345B}" type="VALUE">
                  <a:rPr lang="en-US"/>
                  <a:pPr>
                    <a:defRPr>
                      <a:solidFill>
                        <a:schemeClr val="tx1"/>
                      </a:solidFill>
                      <a:latin typeface="Lato Black" panose="020F0A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50264550264545"/>
                  <c:h val="0.13398692810457513"/>
                </c:manualLayout>
              </c15:layout>
              <c15:dlblFieldTable/>
              <c15:showDataLabelsRange val="0"/>
            </c:ext>
          </c:extLst>
        </c:dLbl>
      </c:pivotFmt>
      <c:pivotFmt>
        <c:idx val="3"/>
        <c:spPr>
          <a:gradFill flip="none" rotWithShape="1">
            <a:gsLst>
              <a:gs pos="0">
                <a:srgbClr val="F200F2"/>
              </a:gs>
              <a:gs pos="60829">
                <a:srgbClr val="8F008F"/>
              </a:gs>
              <a:gs pos="100000">
                <a:srgbClr val="500050"/>
              </a:gs>
            </a:gsLst>
            <a:lin ang="16200000" scaled="1"/>
            <a:tileRect/>
          </a:gradFill>
          <a:ln>
            <a:noFill/>
          </a:ln>
          <a:effectLst/>
          <a:sp3d/>
        </c:spPr>
        <c:dLbl>
          <c:idx val="0"/>
          <c:layout>
            <c:manualLayout>
              <c:x val="4.1650835312252638E-2"/>
              <c:y val="-3.053282555366855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r>
                  <a:rPr lang="en-US">
                    <a:solidFill>
                      <a:schemeClr val="tx1"/>
                    </a:solidFill>
                    <a:latin typeface="Lato Black" panose="020F0A02020204030203" pitchFamily="34" charset="0"/>
                  </a:rPr>
                  <a:t>Neonatal Death</a:t>
                </a:r>
              </a:p>
              <a:p>
                <a:pPr>
                  <a:defRPr>
                    <a:solidFill>
                      <a:schemeClr val="tx1"/>
                    </a:solidFill>
                    <a:latin typeface="Lato Black" panose="020F0A02020204030203" pitchFamily="34" charset="0"/>
                  </a:defRPr>
                </a:pPr>
                <a:fld id="{8A328E26-EB15-46F9-AF80-42BA1DDCFC7F}" type="VALUE">
                  <a:rPr lang="en-US">
                    <a:solidFill>
                      <a:schemeClr val="tx1"/>
                    </a:solidFill>
                    <a:latin typeface="Lato Black" panose="020F0A02020204030203" pitchFamily="34" charset="0"/>
                  </a:rPr>
                  <a:pPr>
                    <a:defRPr>
                      <a:solidFill>
                        <a:schemeClr val="tx1"/>
                      </a:solidFill>
                      <a:latin typeface="Lato Black" panose="020F0A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11894346540016"/>
                  <c:h val="0.13398692810457513"/>
                </c:manualLayout>
              </c15:layout>
              <c15:dlblFieldTable/>
              <c15:showDataLabelsRange val="0"/>
            </c:ext>
          </c:extLst>
        </c:dLbl>
      </c:pivotFmt>
      <c:pivotFmt>
        <c:idx val="4"/>
        <c:spPr>
          <a:gradFill>
            <a:gsLst>
              <a:gs pos="0">
                <a:srgbClr val="FFAFFF"/>
              </a:gs>
              <a:gs pos="60829">
                <a:srgbClr val="8F008F"/>
              </a:gs>
              <a:gs pos="100000">
                <a:srgbClr val="FF15FF"/>
              </a:gs>
            </a:gsLst>
            <a:lin ang="16200000" scaled="1"/>
          </a:gradFill>
          <a:ln>
            <a:noFill/>
          </a:ln>
          <a:effectLst/>
          <a:sp3d/>
        </c:spPr>
        <c:dLbl>
          <c:idx val="0"/>
          <c:layout>
            <c:manualLayout>
              <c:x val="4.0198379195422435E-2"/>
              <c:y val="-1.213970232572893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r>
                  <a:rPr lang="en-US"/>
                  <a:t>Infant Death</a:t>
                </a:r>
              </a:p>
              <a:p>
                <a:pPr>
                  <a:defRPr>
                    <a:solidFill>
                      <a:schemeClr val="tx1"/>
                    </a:solidFill>
                    <a:latin typeface="Lato Black" panose="020F0A02020204030203" pitchFamily="34" charset="0"/>
                  </a:defRPr>
                </a:pPr>
                <a:fld id="{9A349169-9B91-4A56-9411-C01DE84B345B}" type="VALUE">
                  <a:rPr lang="en-US"/>
                  <a:pPr>
                    <a:defRPr>
                      <a:solidFill>
                        <a:schemeClr val="tx1"/>
                      </a:solidFill>
                      <a:latin typeface="Lato Black" panose="020F0A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50264550264545"/>
                  <c:h val="0.13398692810457513"/>
                </c:manualLayout>
              </c15:layout>
              <c15:dlblFieldTable/>
              <c15:showDataLabelsRange val="0"/>
            </c:ext>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194100737407825"/>
          <c:y val="0.1492899112686443"/>
          <c:w val="0.79333708286464188"/>
          <c:h val="0.82997359469039189"/>
        </c:manualLayout>
      </c:layout>
      <c:bar3DChart>
        <c:barDir val="bar"/>
        <c:grouping val="clustered"/>
        <c:varyColors val="0"/>
        <c:ser>
          <c:idx val="0"/>
          <c:order val="0"/>
          <c:tx>
            <c:strRef>
              <c:f>karkal_pivot!$B$36:$B$37</c:f>
              <c:strCache>
                <c:ptCount val="1"/>
                <c:pt idx="0">
                  <c:v>Infant Death</c:v>
                </c:pt>
              </c:strCache>
            </c:strRef>
          </c:tx>
          <c:spPr>
            <a:gradFill>
              <a:gsLst>
                <a:gs pos="0">
                  <a:srgbClr val="FFAFFF"/>
                </a:gs>
                <a:gs pos="60829">
                  <a:srgbClr val="8F008F"/>
                </a:gs>
                <a:gs pos="100000">
                  <a:srgbClr val="FF15FF"/>
                </a:gs>
              </a:gsLst>
              <a:lin ang="16200000" scaled="1"/>
            </a:gradFill>
            <a:ln>
              <a:noFill/>
            </a:ln>
            <a:effectLst/>
            <a:sp3d/>
          </c:spPr>
          <c:invertIfNegative val="0"/>
          <c:dPt>
            <c:idx val="0"/>
            <c:invertIfNegative val="0"/>
            <c:bubble3D val="0"/>
            <c:extLst>
              <c:ext xmlns:c16="http://schemas.microsoft.com/office/drawing/2014/chart" uri="{C3380CC4-5D6E-409C-BE32-E72D297353CC}">
                <c16:uniqueId val="{00000006-46CB-4E06-9CDA-F2AA35A9F52A}"/>
              </c:ext>
            </c:extLst>
          </c:dPt>
          <c:dPt>
            <c:idx val="1"/>
            <c:invertIfNegative val="0"/>
            <c:bubble3D val="0"/>
            <c:extLst>
              <c:ext xmlns:c16="http://schemas.microsoft.com/office/drawing/2014/chart" uri="{C3380CC4-5D6E-409C-BE32-E72D297353CC}">
                <c16:uniqueId val="{00000004-46CB-4E06-9CDA-F2AA35A9F52A}"/>
              </c:ext>
            </c:extLst>
          </c:dPt>
          <c:dLbls>
            <c:dLbl>
              <c:idx val="0"/>
              <c:layout>
                <c:manualLayout>
                  <c:x val="4.0198379195422435E-2"/>
                  <c:y val="-1.2139702325728936E-2"/>
                </c:manualLayout>
              </c:layout>
              <c:tx>
                <c:rich>
                  <a:bodyPr/>
                  <a:lstStyle/>
                  <a:p>
                    <a:r>
                      <a:rPr lang="en-US"/>
                      <a:t>Infant Death</a:t>
                    </a:r>
                  </a:p>
                  <a:p>
                    <a:fld id="{9A349169-9B91-4A56-9411-C01DE84B345B}"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layout>
                    <c:manualLayout>
                      <c:w val="0.19050264550264545"/>
                      <c:h val="0.13398692810457513"/>
                    </c:manualLayout>
                  </c15:layout>
                  <c15:dlblFieldTable/>
                  <c15:showDataLabelsRange val="0"/>
                </c:ext>
                <c:ext xmlns:c16="http://schemas.microsoft.com/office/drawing/2014/chart" uri="{C3380CC4-5D6E-409C-BE32-E72D297353CC}">
                  <c16:uniqueId val="{00000006-46CB-4E06-9CDA-F2AA35A9F52A}"/>
                </c:ext>
              </c:extLst>
            </c:dLbl>
            <c:dLbl>
              <c:idx val="1"/>
              <c:layout>
                <c:manualLayout>
                  <c:x val="4.0198379195422435E-2"/>
                  <c:y val="-1.2139702325728936E-2"/>
                </c:manualLayout>
              </c:layout>
              <c:tx>
                <c:rich>
                  <a:bodyPr/>
                  <a:lstStyle/>
                  <a:p>
                    <a:r>
                      <a:rPr lang="en-US"/>
                      <a:t>Infant Death</a:t>
                    </a:r>
                  </a:p>
                  <a:p>
                    <a:fld id="{9A349169-9B91-4A56-9411-C01DE84B345B}"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layout>
                    <c:manualLayout>
                      <c:w val="0.19050264550264545"/>
                      <c:h val="0.13398692810457513"/>
                    </c:manualLayout>
                  </c15:layout>
                  <c15:dlblFieldTable/>
                  <c15:showDataLabelsRange val="0"/>
                </c:ext>
                <c:ext xmlns:c16="http://schemas.microsoft.com/office/drawing/2014/chart" uri="{C3380CC4-5D6E-409C-BE32-E72D297353CC}">
                  <c16:uniqueId val="{00000004-46CB-4E06-9CDA-F2AA35A9F5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karkal_pivot!$A$38:$A$40</c:f>
              <c:strCache>
                <c:ptCount val="2"/>
                <c:pt idx="0">
                  <c:v>Without High Risk Pregnancy</c:v>
                </c:pt>
                <c:pt idx="1">
                  <c:v>With High Risk Pregnancy</c:v>
                </c:pt>
              </c:strCache>
            </c:strRef>
          </c:cat>
          <c:val>
            <c:numRef>
              <c:f>karkal_pivot!$B$38:$B$40</c:f>
              <c:numCache>
                <c:formatCode>General</c:formatCode>
                <c:ptCount val="2"/>
                <c:pt idx="0">
                  <c:v>4</c:v>
                </c:pt>
                <c:pt idx="1">
                  <c:v>2</c:v>
                </c:pt>
              </c:numCache>
            </c:numRef>
          </c:val>
          <c:shape val="cylinder"/>
          <c:extLst>
            <c:ext xmlns:c16="http://schemas.microsoft.com/office/drawing/2014/chart" uri="{C3380CC4-5D6E-409C-BE32-E72D297353CC}">
              <c16:uniqueId val="{00000000-46CB-4E06-9CDA-F2AA35A9F52A}"/>
            </c:ext>
          </c:extLst>
        </c:ser>
        <c:ser>
          <c:idx val="1"/>
          <c:order val="1"/>
          <c:tx>
            <c:strRef>
              <c:f>karkal_pivot!$C$36:$C$37</c:f>
              <c:strCache>
                <c:ptCount val="1"/>
                <c:pt idx="0">
                  <c:v>Neonatal Death</c:v>
                </c:pt>
              </c:strCache>
            </c:strRef>
          </c:tx>
          <c:spPr>
            <a:gradFill>
              <a:gsLst>
                <a:gs pos="0">
                  <a:srgbClr val="FFAFFF"/>
                </a:gs>
                <a:gs pos="60829">
                  <a:srgbClr val="8F008F"/>
                </a:gs>
                <a:gs pos="100000">
                  <a:srgbClr val="FF15FF"/>
                </a:gs>
              </a:gsLst>
              <a:lin ang="16200000" scaled="1"/>
            </a:gradFill>
            <a:ln>
              <a:noFill/>
            </a:ln>
            <a:effectLst/>
            <a:sp3d/>
          </c:spPr>
          <c:invertIfNegative val="0"/>
          <c:dPt>
            <c:idx val="0"/>
            <c:invertIfNegative val="0"/>
            <c:bubble3D val="0"/>
            <c:spPr>
              <a:gradFill flip="none" rotWithShape="1">
                <a:gsLst>
                  <a:gs pos="0">
                    <a:srgbClr val="F200F2"/>
                  </a:gs>
                  <a:gs pos="60829">
                    <a:srgbClr val="8F008F"/>
                  </a:gs>
                  <a:gs pos="100000">
                    <a:srgbClr val="500050"/>
                  </a:gs>
                </a:gsLst>
                <a:lin ang="16200000" scaled="1"/>
                <a:tileRect/>
              </a:gradFill>
              <a:ln>
                <a:noFill/>
              </a:ln>
              <a:effectLst/>
              <a:sp3d/>
            </c:spPr>
            <c:extLst>
              <c:ext xmlns:c16="http://schemas.microsoft.com/office/drawing/2014/chart" uri="{C3380CC4-5D6E-409C-BE32-E72D297353CC}">
                <c16:uniqueId val="{00000003-68FA-4179-AA3E-C3872A7E6D21}"/>
              </c:ext>
            </c:extLst>
          </c:dPt>
          <c:dPt>
            <c:idx val="1"/>
            <c:invertIfNegative val="0"/>
            <c:bubble3D val="0"/>
            <c:extLst>
              <c:ext xmlns:c16="http://schemas.microsoft.com/office/drawing/2014/chart" uri="{C3380CC4-5D6E-409C-BE32-E72D297353CC}">
                <c16:uniqueId val="{00000004-68FA-4179-AA3E-C3872A7E6D21}"/>
              </c:ext>
            </c:extLst>
          </c:dPt>
          <c:dLbls>
            <c:dLbl>
              <c:idx val="0"/>
              <c:layout>
                <c:manualLayout>
                  <c:x val="4.1650835312252638E-2"/>
                  <c:y val="-3.0532825553668552E-2"/>
                </c:manualLayout>
              </c:layout>
              <c:tx>
                <c:rich>
                  <a:bodyPr/>
                  <a:lstStyle/>
                  <a:p>
                    <a:r>
                      <a:rPr lang="en-US">
                        <a:solidFill>
                          <a:schemeClr val="tx1"/>
                        </a:solidFill>
                        <a:latin typeface="Lato Black" panose="020F0A02020204030203" pitchFamily="34" charset="0"/>
                      </a:rPr>
                      <a:t>Neonatal Death</a:t>
                    </a:r>
                  </a:p>
                  <a:p>
                    <a:fld id="{8A328E26-EB15-46F9-AF80-42BA1DDCFC7F}" type="VALUE">
                      <a:rPr lang="en-US">
                        <a:solidFill>
                          <a:schemeClr val="tx1"/>
                        </a:solidFill>
                        <a:latin typeface="Lato Black" panose="020F0A02020204030203" pitchFamily="34" charset="0"/>
                      </a:rPr>
                      <a:pPr/>
                      <a:t>[VALUE]</a:t>
                    </a:fld>
                    <a:endParaRPr lang="en-IN"/>
                  </a:p>
                </c:rich>
              </c:tx>
              <c:showLegendKey val="0"/>
              <c:showVal val="1"/>
              <c:showCatName val="0"/>
              <c:showSerName val="0"/>
              <c:showPercent val="0"/>
              <c:showBubbleSize val="0"/>
              <c:extLst>
                <c:ext xmlns:c15="http://schemas.microsoft.com/office/drawing/2012/chart" uri="{CE6537A1-D6FC-4f65-9D91-7224C49458BB}">
                  <c15:layout>
                    <c:manualLayout>
                      <c:w val="0.23011894346540016"/>
                      <c:h val="0.13398692810457513"/>
                    </c:manualLayout>
                  </c15:layout>
                  <c15:dlblFieldTable/>
                  <c15:showDataLabelsRange val="0"/>
                </c:ext>
                <c:ext xmlns:c16="http://schemas.microsoft.com/office/drawing/2014/chart" uri="{C3380CC4-5D6E-409C-BE32-E72D297353CC}">
                  <c16:uniqueId val="{00000003-68FA-4179-AA3E-C3872A7E6D21}"/>
                </c:ext>
              </c:extLst>
            </c:dLbl>
            <c:dLbl>
              <c:idx val="1"/>
              <c:layout>
                <c:manualLayout>
                  <c:x val="4.0198379195422435E-2"/>
                  <c:y val="-1.2139702325728936E-2"/>
                </c:manualLayout>
              </c:layout>
              <c:tx>
                <c:rich>
                  <a:bodyPr/>
                  <a:lstStyle/>
                  <a:p>
                    <a:r>
                      <a:rPr lang="en-US"/>
                      <a:t>Infant Death</a:t>
                    </a:r>
                  </a:p>
                  <a:p>
                    <a:fld id="{9A349169-9B91-4A56-9411-C01DE84B345B}"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layout>
                    <c:manualLayout>
                      <c:w val="0.19050264550264545"/>
                      <c:h val="0.13398692810457513"/>
                    </c:manualLayout>
                  </c15:layout>
                  <c15:dlblFieldTable/>
                  <c15:showDataLabelsRange val="0"/>
                </c:ext>
                <c:ext xmlns:c16="http://schemas.microsoft.com/office/drawing/2014/chart" uri="{C3380CC4-5D6E-409C-BE32-E72D297353CC}">
                  <c16:uniqueId val="{00000004-68FA-4179-AA3E-C3872A7E6D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karkal_pivot!$A$38:$A$40</c:f>
              <c:strCache>
                <c:ptCount val="2"/>
                <c:pt idx="0">
                  <c:v>Without High Risk Pregnancy</c:v>
                </c:pt>
                <c:pt idx="1">
                  <c:v>With High Risk Pregnancy</c:v>
                </c:pt>
              </c:strCache>
            </c:strRef>
          </c:cat>
          <c:val>
            <c:numRef>
              <c:f>karkal_pivot!$C$38:$C$40</c:f>
              <c:numCache>
                <c:formatCode>General</c:formatCode>
                <c:ptCount val="2"/>
                <c:pt idx="0">
                  <c:v>4</c:v>
                </c:pt>
                <c:pt idx="1">
                  <c:v>9</c:v>
                </c:pt>
              </c:numCache>
            </c:numRef>
          </c:val>
          <c:extLst>
            <c:ext xmlns:c16="http://schemas.microsoft.com/office/drawing/2014/chart" uri="{C3380CC4-5D6E-409C-BE32-E72D297353CC}">
              <c16:uniqueId val="{00000007-3EBF-4F5E-8600-666EE606DC96}"/>
            </c:ext>
          </c:extLst>
        </c:ser>
        <c:dLbls>
          <c:showLegendKey val="0"/>
          <c:showVal val="1"/>
          <c:showCatName val="0"/>
          <c:showSerName val="0"/>
          <c:showPercent val="0"/>
          <c:showBubbleSize val="0"/>
        </c:dLbls>
        <c:gapWidth val="150"/>
        <c:shape val="box"/>
        <c:axId val="424696511"/>
        <c:axId val="424687391"/>
        <c:axId val="0"/>
      </c:bar3DChart>
      <c:catAx>
        <c:axId val="4246965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Lato Black" panose="020F0A02020204030203" pitchFamily="34" charset="0"/>
                <a:ea typeface="+mn-ea"/>
                <a:cs typeface="+mn-cs"/>
              </a:defRPr>
            </a:pPr>
            <a:endParaRPr lang="en-US"/>
          </a:p>
        </c:txPr>
        <c:crossAx val="424687391"/>
        <c:crosses val="autoZero"/>
        <c:auto val="1"/>
        <c:lblAlgn val="ctr"/>
        <c:lblOffset val="100"/>
        <c:noMultiLvlLbl val="0"/>
      </c:catAx>
      <c:valAx>
        <c:axId val="424687391"/>
        <c:scaling>
          <c:orientation val="minMax"/>
        </c:scaling>
        <c:delete val="1"/>
        <c:axPos val="b"/>
        <c:numFmt formatCode="General" sourceLinked="1"/>
        <c:majorTickMark val="out"/>
        <c:minorTickMark val="none"/>
        <c:tickLblPos val="nextTo"/>
        <c:crossAx val="4246965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death_copy.xlsx]karkal_pivot!Hypertension(K1)</c:name>
    <c:fmtId val="0"/>
  </c:pivotSource>
  <c:chart>
    <c:title>
      <c:tx>
        <c:rich>
          <a:bodyPr rot="0" spcFirstLastPara="1" vertOverflow="ellipsis" vert="horz" wrap="square" anchor="ctr" anchorCtr="1"/>
          <a:lstStyle/>
          <a:p>
            <a:pPr>
              <a:defRPr sz="1260" b="1" i="0" u="none" strike="noStrike" kern="1200" baseline="0">
                <a:solidFill>
                  <a:sysClr val="windowText" lastClr="000000"/>
                </a:solidFill>
                <a:latin typeface="Lato Black" panose="020F0A02020204030203" pitchFamily="34" charset="0"/>
                <a:ea typeface="+mn-ea"/>
                <a:cs typeface="+mn-cs"/>
              </a:defRPr>
            </a:pPr>
            <a:r>
              <a:rPr lang="en-IN" sz="1400" b="1" i="0" u="none" strike="noStrike" kern="1200" baseline="0">
                <a:solidFill>
                  <a:schemeClr val="tx1"/>
                </a:solidFill>
                <a:latin typeface="Lato Black" panose="020F0A02020204030203" pitchFamily="34" charset="0"/>
              </a:rPr>
              <a:t>Hypertensive Disorders on Infant &amp; Neonatal Deaths</a:t>
            </a:r>
          </a:p>
        </c:rich>
      </c:tx>
      <c:overlay val="0"/>
      <c:spPr>
        <a:noFill/>
        <a:ln>
          <a:noFill/>
        </a:ln>
        <a:effectLst/>
      </c:spPr>
      <c:txPr>
        <a:bodyPr rot="0" spcFirstLastPara="1" vertOverflow="ellipsis" vert="horz" wrap="square" anchor="ctr" anchorCtr="1"/>
        <a:lstStyle/>
        <a:p>
          <a:pPr>
            <a:defRPr sz="126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solidFill>
            <a:srgbClr val="F49546"/>
          </a:solidFill>
          <a:ln>
            <a:noFill/>
          </a:ln>
          <a:effectLst>
            <a:glow rad="38100">
              <a:schemeClr val="tx1">
                <a:lumMod val="50000"/>
                <a:lumOff val="50000"/>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49546"/>
          </a:solidFill>
          <a:ln>
            <a:noFill/>
          </a:ln>
          <a:effectLst>
            <a:glow rad="38100">
              <a:schemeClr val="tx1">
                <a:lumMod val="50000"/>
                <a:lumOff val="50000"/>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49546"/>
          </a:solidFill>
          <a:ln>
            <a:noFill/>
          </a:ln>
          <a:effectLst>
            <a:glow rad="38100">
              <a:schemeClr val="tx1">
                <a:lumMod val="50000"/>
                <a:lumOff val="50000"/>
                <a:alpha val="40000"/>
              </a:schemeClr>
            </a:glow>
          </a:effectLst>
          <a:scene3d>
            <a:camera prst="orthographicFront">
              <a:rot lat="0" lon="0" rev="0"/>
            </a:camera>
            <a:lightRig rig="threePt" dir="t">
              <a:rot lat="0" lon="0" rev="1200000"/>
            </a:lightRig>
          </a:scene3d>
          <a:sp3d>
            <a:bevelT w="63500" h="25400"/>
          </a:sp3d>
        </c:spPr>
      </c:pivotFmt>
      <c:pivotFmt>
        <c:idx val="3"/>
        <c:spPr>
          <a:solidFill>
            <a:srgbClr val="F49546"/>
          </a:solidFill>
          <a:ln w="38100" cap="rnd">
            <a:noFill/>
            <a:round/>
          </a:ln>
          <a:effectLst>
            <a:glow rad="38100">
              <a:schemeClr val="tx1">
                <a:lumMod val="50000"/>
                <a:lumOff val="50000"/>
                <a:alpha val="40000"/>
              </a:schemeClr>
            </a:glo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26240504089993"/>
          <c:y val="0.21371610845295055"/>
          <c:w val="0.62085538488016867"/>
          <c:h val="0.4602864534277713"/>
        </c:manualLayout>
      </c:layout>
      <c:barChart>
        <c:barDir val="bar"/>
        <c:grouping val="clustered"/>
        <c:varyColors val="0"/>
        <c:ser>
          <c:idx val="0"/>
          <c:order val="0"/>
          <c:tx>
            <c:strRef>
              <c:f>karkal_pivot!$B$44:$B$45</c:f>
              <c:strCache>
                <c:ptCount val="1"/>
                <c:pt idx="0">
                  <c:v>Infant Death</c:v>
                </c:pt>
              </c:strCache>
            </c:strRef>
          </c:tx>
          <c:spPr>
            <a:solidFill>
              <a:srgbClr val="F49546"/>
            </a:solidFill>
            <a:ln>
              <a:noFill/>
            </a:ln>
            <a:effectLst>
              <a:glow rad="38100">
                <a:schemeClr val="tx1">
                  <a:lumMod val="50000"/>
                  <a:lumOff val="50000"/>
                  <a:alpha val="40000"/>
                </a:schemeClr>
              </a:glow>
            </a:effectLst>
            <a:scene3d>
              <a:camera prst="orthographicFront">
                <a:rot lat="0" lon="0" rev="0"/>
              </a:camera>
              <a:lightRig rig="threePt" dir="t">
                <a:rot lat="0" lon="0" rev="1200000"/>
              </a:lightRig>
            </a:scene3d>
            <a:sp3d>
              <a:bevelT w="63500" h="25400"/>
            </a:sp3d>
          </c:spPr>
          <c:invertIfNegative val="0"/>
          <c:dPt>
            <c:idx val="1"/>
            <c:invertIfNegative val="0"/>
            <c:bubble3D val="0"/>
            <c:spPr>
              <a:solidFill>
                <a:srgbClr val="F49546"/>
              </a:solidFill>
              <a:ln w="38100" cap="rnd">
                <a:noFill/>
                <a:round/>
              </a:ln>
              <a:effectLst>
                <a:glow rad="38100">
                  <a:schemeClr val="tx1">
                    <a:lumMod val="50000"/>
                    <a:lumOff val="50000"/>
                    <a:alpha val="40000"/>
                  </a:schemeClr>
                </a:glo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3E45-44BC-B222-F742F3997B2F}"/>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karkal_pivot!$A$46:$A$48</c:f>
              <c:strCache>
                <c:ptCount val="2"/>
                <c:pt idx="0">
                  <c:v>Without hypertensive Disorder</c:v>
                </c:pt>
                <c:pt idx="1">
                  <c:v>With Hypertensive Disorder</c:v>
                </c:pt>
              </c:strCache>
            </c:strRef>
          </c:cat>
          <c:val>
            <c:numRef>
              <c:f>karkal_pivot!$B$46:$B$48</c:f>
              <c:numCache>
                <c:formatCode>General</c:formatCode>
                <c:ptCount val="2"/>
                <c:pt idx="0">
                  <c:v>5</c:v>
                </c:pt>
                <c:pt idx="1">
                  <c:v>1</c:v>
                </c:pt>
              </c:numCache>
            </c:numRef>
          </c:val>
          <c:extLst>
            <c:ext xmlns:c16="http://schemas.microsoft.com/office/drawing/2014/chart" uri="{C3380CC4-5D6E-409C-BE32-E72D297353CC}">
              <c16:uniqueId val="{00000000-3E45-44BC-B222-F742F3997B2F}"/>
            </c:ext>
          </c:extLst>
        </c:ser>
        <c:ser>
          <c:idx val="1"/>
          <c:order val="1"/>
          <c:tx>
            <c:strRef>
              <c:f>karkal_pivot!$C$44:$C$45</c:f>
              <c:strCache>
                <c:ptCount val="1"/>
                <c:pt idx="0">
                  <c:v>Neonatal Death</c:v>
                </c:pt>
              </c:strCache>
            </c:strRef>
          </c:tx>
          <c:spPr>
            <a:solidFill>
              <a:srgbClr val="F49546"/>
            </a:solidFill>
            <a:ln>
              <a:noFill/>
            </a:ln>
            <a:effectLst>
              <a:glow rad="38100">
                <a:schemeClr val="tx1">
                  <a:lumMod val="50000"/>
                  <a:lumOff val="50000"/>
                  <a:alpha val="40000"/>
                </a:schemeClr>
              </a:glo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karkal_pivot!$A$46:$A$48</c:f>
              <c:strCache>
                <c:ptCount val="2"/>
                <c:pt idx="0">
                  <c:v>Without hypertensive Disorder</c:v>
                </c:pt>
                <c:pt idx="1">
                  <c:v>With Hypertensive Disorder</c:v>
                </c:pt>
              </c:strCache>
            </c:strRef>
          </c:cat>
          <c:val>
            <c:numRef>
              <c:f>karkal_pivot!$C$46:$C$48</c:f>
              <c:numCache>
                <c:formatCode>General</c:formatCode>
                <c:ptCount val="2"/>
                <c:pt idx="0">
                  <c:v>13</c:v>
                </c:pt>
              </c:numCache>
            </c:numRef>
          </c:val>
          <c:extLst>
            <c:ext xmlns:c16="http://schemas.microsoft.com/office/drawing/2014/chart" uri="{C3380CC4-5D6E-409C-BE32-E72D297353CC}">
              <c16:uniqueId val="{00000002-3FBD-4A6A-9E85-D2A1F7A041DD}"/>
            </c:ext>
          </c:extLst>
        </c:ser>
        <c:dLbls>
          <c:dLblPos val="outEnd"/>
          <c:showLegendKey val="0"/>
          <c:showVal val="1"/>
          <c:showCatName val="0"/>
          <c:showSerName val="0"/>
          <c:showPercent val="0"/>
          <c:showBubbleSize val="0"/>
        </c:dLbls>
        <c:gapWidth val="150"/>
        <c:axId val="1103006703"/>
        <c:axId val="1102990383"/>
      </c:barChart>
      <c:catAx>
        <c:axId val="11030067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102990383"/>
        <c:crosses val="autoZero"/>
        <c:auto val="1"/>
        <c:lblAlgn val="ctr"/>
        <c:lblOffset val="100"/>
        <c:noMultiLvlLbl val="0"/>
      </c:catAx>
      <c:valAx>
        <c:axId val="1102990383"/>
        <c:scaling>
          <c:orientation val="minMax"/>
        </c:scaling>
        <c:delete val="1"/>
        <c:axPos val="b"/>
        <c:numFmt formatCode="General" sourceLinked="1"/>
        <c:majorTickMark val="none"/>
        <c:minorTickMark val="none"/>
        <c:tickLblPos val="nextTo"/>
        <c:crossAx val="11030067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death_copy.xlsx]karkal_pivot!LBW_kr</c:name>
    <c:fmtId val="2"/>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5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1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22222222222222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karkal_pivot!$B$52:$B$53</c:f>
              <c:strCache>
                <c:ptCount val="1"/>
                <c:pt idx="0">
                  <c:v>Infant Death</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karkal_pivot!$A$54:$A$56</c:f>
              <c:strCache>
                <c:ptCount val="2"/>
                <c:pt idx="0">
                  <c:v>LBW: NO</c:v>
                </c:pt>
                <c:pt idx="1">
                  <c:v>LBW: YES</c:v>
                </c:pt>
              </c:strCache>
            </c:strRef>
          </c:cat>
          <c:val>
            <c:numRef>
              <c:f>karkal_pivot!$B$54:$B$56</c:f>
              <c:numCache>
                <c:formatCode>General</c:formatCode>
                <c:ptCount val="2"/>
                <c:pt idx="0">
                  <c:v>5</c:v>
                </c:pt>
                <c:pt idx="1">
                  <c:v>1</c:v>
                </c:pt>
              </c:numCache>
            </c:numRef>
          </c:val>
          <c:extLst>
            <c:ext xmlns:c16="http://schemas.microsoft.com/office/drawing/2014/chart" uri="{C3380CC4-5D6E-409C-BE32-E72D297353CC}">
              <c16:uniqueId val="{00000000-3649-4367-957C-C706E3919A73}"/>
            </c:ext>
          </c:extLst>
        </c:ser>
        <c:ser>
          <c:idx val="1"/>
          <c:order val="1"/>
          <c:tx>
            <c:strRef>
              <c:f>karkal_pivot!$C$52:$C$53</c:f>
              <c:strCache>
                <c:ptCount val="1"/>
                <c:pt idx="0">
                  <c:v>Neonatal Death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karkal_pivot!$A$54:$A$56</c:f>
              <c:strCache>
                <c:ptCount val="2"/>
                <c:pt idx="0">
                  <c:v>LBW: NO</c:v>
                </c:pt>
                <c:pt idx="1">
                  <c:v>LBW: YES</c:v>
                </c:pt>
              </c:strCache>
            </c:strRef>
          </c:cat>
          <c:val>
            <c:numRef>
              <c:f>karkal_pivot!$C$54:$C$56</c:f>
              <c:numCache>
                <c:formatCode>General</c:formatCode>
                <c:ptCount val="2"/>
                <c:pt idx="0">
                  <c:v>2</c:v>
                </c:pt>
                <c:pt idx="1">
                  <c:v>11</c:v>
                </c:pt>
              </c:numCache>
            </c:numRef>
          </c:val>
          <c:extLst>
            <c:ext xmlns:c16="http://schemas.microsoft.com/office/drawing/2014/chart" uri="{C3380CC4-5D6E-409C-BE32-E72D297353CC}">
              <c16:uniqueId val="{00000000-DB11-44AB-AEC5-F57DD3EBAF66}"/>
            </c:ext>
          </c:extLst>
        </c:ser>
        <c:dLbls>
          <c:showLegendKey val="0"/>
          <c:showVal val="1"/>
          <c:showCatName val="0"/>
          <c:showSerName val="0"/>
          <c:showPercent val="0"/>
          <c:showBubbleSize val="0"/>
        </c:dLbls>
        <c:gapWidth val="150"/>
        <c:shape val="box"/>
        <c:axId val="1103043183"/>
        <c:axId val="1103046543"/>
        <c:axId val="0"/>
      </c:bar3DChart>
      <c:catAx>
        <c:axId val="11030431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Lato Black" panose="020F0A02020204030203" pitchFamily="34" charset="0"/>
                <a:ea typeface="+mn-ea"/>
                <a:cs typeface="+mn-cs"/>
              </a:defRPr>
            </a:pPr>
            <a:endParaRPr lang="en-US"/>
          </a:p>
        </c:txPr>
        <c:crossAx val="1103046543"/>
        <c:crosses val="autoZero"/>
        <c:auto val="1"/>
        <c:lblAlgn val="ctr"/>
        <c:lblOffset val="100"/>
        <c:noMultiLvlLbl val="0"/>
      </c:catAx>
      <c:valAx>
        <c:axId val="1103046543"/>
        <c:scaling>
          <c:orientation val="minMax"/>
        </c:scaling>
        <c:delete val="1"/>
        <c:axPos val="b"/>
        <c:numFmt formatCode="General" sourceLinked="1"/>
        <c:majorTickMark val="none"/>
        <c:minorTickMark val="none"/>
        <c:tickLblPos val="nextTo"/>
        <c:crossAx val="1103043183"/>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chemeClr val="tx1"/>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death_copy.xlsx]karkal_pivot!Extreme_Kr</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11094559126056"/>
          <c:y val="4.3859649122807015E-2"/>
          <c:w val="0.56901066420751456"/>
          <c:h val="0.62673446356664697"/>
        </c:manualLayout>
      </c:layout>
      <c:bar3DChart>
        <c:barDir val="bar"/>
        <c:grouping val="clustered"/>
        <c:varyColors val="0"/>
        <c:ser>
          <c:idx val="0"/>
          <c:order val="0"/>
          <c:tx>
            <c:strRef>
              <c:f>karkal_pivot!$B$58:$B$59</c:f>
              <c:strCache>
                <c:ptCount val="1"/>
                <c:pt idx="0">
                  <c:v>Infant Death</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karkal_pivot!$A$60:$A$62</c:f>
              <c:strCache>
                <c:ptCount val="2"/>
                <c:pt idx="0">
                  <c:v>Extreme preterm (&lt;28 weeks) : NO</c:v>
                </c:pt>
                <c:pt idx="1">
                  <c:v>Extreme preterm (&lt;28 weeks): YES</c:v>
                </c:pt>
              </c:strCache>
            </c:strRef>
          </c:cat>
          <c:val>
            <c:numRef>
              <c:f>karkal_pivot!$B$60:$B$62</c:f>
              <c:numCache>
                <c:formatCode>General</c:formatCode>
                <c:ptCount val="2"/>
                <c:pt idx="0">
                  <c:v>5</c:v>
                </c:pt>
                <c:pt idx="1">
                  <c:v>1</c:v>
                </c:pt>
              </c:numCache>
            </c:numRef>
          </c:val>
          <c:extLst>
            <c:ext xmlns:c16="http://schemas.microsoft.com/office/drawing/2014/chart" uri="{C3380CC4-5D6E-409C-BE32-E72D297353CC}">
              <c16:uniqueId val="{00000000-E827-4D84-BF59-C6BD92D23B24}"/>
            </c:ext>
          </c:extLst>
        </c:ser>
        <c:ser>
          <c:idx val="1"/>
          <c:order val="1"/>
          <c:tx>
            <c:strRef>
              <c:f>karkal_pivot!$C$58:$C$59</c:f>
              <c:strCache>
                <c:ptCount val="1"/>
                <c:pt idx="0">
                  <c:v>Neonatal Death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karkal_pivot!$A$60:$A$62</c:f>
              <c:strCache>
                <c:ptCount val="2"/>
                <c:pt idx="0">
                  <c:v>Extreme preterm (&lt;28 weeks) : NO</c:v>
                </c:pt>
                <c:pt idx="1">
                  <c:v>Extreme preterm (&lt;28 weeks): YES</c:v>
                </c:pt>
              </c:strCache>
            </c:strRef>
          </c:cat>
          <c:val>
            <c:numRef>
              <c:f>karkal_pivot!$C$60:$C$62</c:f>
              <c:numCache>
                <c:formatCode>General</c:formatCode>
                <c:ptCount val="2"/>
                <c:pt idx="0">
                  <c:v>8</c:v>
                </c:pt>
                <c:pt idx="1">
                  <c:v>5</c:v>
                </c:pt>
              </c:numCache>
            </c:numRef>
          </c:val>
          <c:extLst>
            <c:ext xmlns:c16="http://schemas.microsoft.com/office/drawing/2014/chart" uri="{C3380CC4-5D6E-409C-BE32-E72D297353CC}">
              <c16:uniqueId val="{00000000-4E38-4F8F-B9D7-CCC5157294F6}"/>
            </c:ext>
          </c:extLst>
        </c:ser>
        <c:dLbls>
          <c:showLegendKey val="0"/>
          <c:showVal val="1"/>
          <c:showCatName val="0"/>
          <c:showSerName val="0"/>
          <c:showPercent val="0"/>
          <c:showBubbleSize val="0"/>
        </c:dLbls>
        <c:gapWidth val="150"/>
        <c:shape val="box"/>
        <c:axId val="270812863"/>
        <c:axId val="270817663"/>
        <c:axId val="0"/>
      </c:bar3DChart>
      <c:catAx>
        <c:axId val="2708128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Lato Black" panose="020F0A02020204030203" pitchFamily="34" charset="0"/>
                <a:ea typeface="+mn-ea"/>
                <a:cs typeface="+mn-cs"/>
              </a:defRPr>
            </a:pPr>
            <a:endParaRPr lang="en-US"/>
          </a:p>
        </c:txPr>
        <c:crossAx val="270817663"/>
        <c:crosses val="autoZero"/>
        <c:auto val="1"/>
        <c:lblAlgn val="ctr"/>
        <c:lblOffset val="100"/>
        <c:noMultiLvlLbl val="0"/>
      </c:catAx>
      <c:valAx>
        <c:axId val="270817663"/>
        <c:scaling>
          <c:orientation val="minMax"/>
        </c:scaling>
        <c:delete val="1"/>
        <c:axPos val="b"/>
        <c:numFmt formatCode="General" sourceLinked="1"/>
        <c:majorTickMark val="none"/>
        <c:minorTickMark val="none"/>
        <c:tickLblPos val="nextTo"/>
        <c:crossAx val="270812863"/>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chemeClr val="tx1"/>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death_copy.xlsx]karkal_pivot!Early_Kr</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93965960440512"/>
          <c:y val="4.9329250510352883E-2"/>
          <c:w val="0.63626643310555342"/>
          <c:h val="0.5556430446194226"/>
        </c:manualLayout>
      </c:layout>
      <c:bar3DChart>
        <c:barDir val="bar"/>
        <c:grouping val="clustered"/>
        <c:varyColors val="0"/>
        <c:ser>
          <c:idx val="0"/>
          <c:order val="0"/>
          <c:tx>
            <c:strRef>
              <c:f>karkal_pivot!$B$64:$B$65</c:f>
              <c:strCache>
                <c:ptCount val="1"/>
                <c:pt idx="0">
                  <c:v>Infant Death</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karkal_pivot!$A$66:$A$68</c:f>
              <c:strCache>
                <c:ptCount val="2"/>
                <c:pt idx="0">
                  <c:v>Early Premature (28-31 weeks): NO</c:v>
                </c:pt>
                <c:pt idx="1">
                  <c:v>Early Premature (28-31 weeks): YES</c:v>
                </c:pt>
              </c:strCache>
            </c:strRef>
          </c:cat>
          <c:val>
            <c:numRef>
              <c:f>karkal_pivot!$B$66:$B$68</c:f>
              <c:numCache>
                <c:formatCode>General</c:formatCode>
                <c:ptCount val="2"/>
                <c:pt idx="0">
                  <c:v>6</c:v>
                </c:pt>
              </c:numCache>
            </c:numRef>
          </c:val>
          <c:extLst>
            <c:ext xmlns:c16="http://schemas.microsoft.com/office/drawing/2014/chart" uri="{C3380CC4-5D6E-409C-BE32-E72D297353CC}">
              <c16:uniqueId val="{00000000-FDE2-42C7-B41E-401E0B254E15}"/>
            </c:ext>
          </c:extLst>
        </c:ser>
        <c:ser>
          <c:idx val="1"/>
          <c:order val="1"/>
          <c:tx>
            <c:strRef>
              <c:f>karkal_pivot!$C$64:$C$65</c:f>
              <c:strCache>
                <c:ptCount val="1"/>
                <c:pt idx="0">
                  <c:v>Neonatal Death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karkal_pivot!$A$66:$A$68</c:f>
              <c:strCache>
                <c:ptCount val="2"/>
                <c:pt idx="0">
                  <c:v>Early Premature (28-31 weeks): NO</c:v>
                </c:pt>
                <c:pt idx="1">
                  <c:v>Early Premature (28-31 weeks): YES</c:v>
                </c:pt>
              </c:strCache>
            </c:strRef>
          </c:cat>
          <c:val>
            <c:numRef>
              <c:f>karkal_pivot!$C$66:$C$68</c:f>
              <c:numCache>
                <c:formatCode>General</c:formatCode>
                <c:ptCount val="2"/>
                <c:pt idx="0">
                  <c:v>12</c:v>
                </c:pt>
                <c:pt idx="1">
                  <c:v>1</c:v>
                </c:pt>
              </c:numCache>
            </c:numRef>
          </c:val>
          <c:extLst>
            <c:ext xmlns:c16="http://schemas.microsoft.com/office/drawing/2014/chart" uri="{C3380CC4-5D6E-409C-BE32-E72D297353CC}">
              <c16:uniqueId val="{00000000-2A5B-4147-990C-54CA0ED97636}"/>
            </c:ext>
          </c:extLst>
        </c:ser>
        <c:dLbls>
          <c:showLegendKey val="0"/>
          <c:showVal val="1"/>
          <c:showCatName val="0"/>
          <c:showSerName val="0"/>
          <c:showPercent val="0"/>
          <c:showBubbleSize val="0"/>
        </c:dLbls>
        <c:gapWidth val="150"/>
        <c:shape val="box"/>
        <c:axId val="1102949103"/>
        <c:axId val="1102949583"/>
        <c:axId val="0"/>
      </c:bar3DChart>
      <c:catAx>
        <c:axId val="11029491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tx1"/>
                </a:solidFill>
                <a:latin typeface="Lato Black" panose="020F0A02020204030203" pitchFamily="34" charset="0"/>
                <a:ea typeface="+mn-ea"/>
                <a:cs typeface="+mn-cs"/>
              </a:defRPr>
            </a:pPr>
            <a:endParaRPr lang="en-US"/>
          </a:p>
        </c:txPr>
        <c:crossAx val="1102949583"/>
        <c:crosses val="autoZero"/>
        <c:auto val="1"/>
        <c:lblAlgn val="ctr"/>
        <c:lblOffset val="100"/>
        <c:noMultiLvlLbl val="0"/>
      </c:catAx>
      <c:valAx>
        <c:axId val="1102949583"/>
        <c:scaling>
          <c:orientation val="minMax"/>
        </c:scaling>
        <c:delete val="1"/>
        <c:axPos val="b"/>
        <c:numFmt formatCode="General" sourceLinked="1"/>
        <c:majorTickMark val="none"/>
        <c:minorTickMark val="none"/>
        <c:tickLblPos val="nextTo"/>
        <c:crossAx val="1102949103"/>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chemeClr val="tx1"/>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death_copy.xlsx]karkal_pivot!Moderate_Kr</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karkal_pivot!$B$70:$B$71</c:f>
              <c:strCache>
                <c:ptCount val="1"/>
                <c:pt idx="0">
                  <c:v>Infant Death</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karkal_pivot!$A$72:$A$74</c:f>
              <c:strCache>
                <c:ptCount val="2"/>
                <c:pt idx="0">
                  <c:v>Morderate Premature (&lt;32-33 weeks): NO</c:v>
                </c:pt>
                <c:pt idx="1">
                  <c:v>Morderate Premature (&lt;32-33 weeks): YES</c:v>
                </c:pt>
              </c:strCache>
            </c:strRef>
          </c:cat>
          <c:val>
            <c:numRef>
              <c:f>karkal_pivot!$B$72:$B$74</c:f>
              <c:numCache>
                <c:formatCode>General</c:formatCode>
                <c:ptCount val="2"/>
                <c:pt idx="0">
                  <c:v>6</c:v>
                </c:pt>
              </c:numCache>
            </c:numRef>
          </c:val>
          <c:extLst>
            <c:ext xmlns:c16="http://schemas.microsoft.com/office/drawing/2014/chart" uri="{C3380CC4-5D6E-409C-BE32-E72D297353CC}">
              <c16:uniqueId val="{00000000-0CDE-443A-BFC2-428D8DD671F0}"/>
            </c:ext>
          </c:extLst>
        </c:ser>
        <c:ser>
          <c:idx val="1"/>
          <c:order val="1"/>
          <c:tx>
            <c:strRef>
              <c:f>karkal_pivot!$C$70:$C$71</c:f>
              <c:strCache>
                <c:ptCount val="1"/>
                <c:pt idx="0">
                  <c:v>Neonatal Death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karkal_pivot!$A$72:$A$74</c:f>
              <c:strCache>
                <c:ptCount val="2"/>
                <c:pt idx="0">
                  <c:v>Morderate Premature (&lt;32-33 weeks): NO</c:v>
                </c:pt>
                <c:pt idx="1">
                  <c:v>Morderate Premature (&lt;32-33 weeks): YES</c:v>
                </c:pt>
              </c:strCache>
            </c:strRef>
          </c:cat>
          <c:val>
            <c:numRef>
              <c:f>karkal_pivot!$C$72:$C$74</c:f>
              <c:numCache>
                <c:formatCode>General</c:formatCode>
                <c:ptCount val="2"/>
                <c:pt idx="0">
                  <c:v>11</c:v>
                </c:pt>
                <c:pt idx="1">
                  <c:v>2</c:v>
                </c:pt>
              </c:numCache>
            </c:numRef>
          </c:val>
          <c:extLst>
            <c:ext xmlns:c16="http://schemas.microsoft.com/office/drawing/2014/chart" uri="{C3380CC4-5D6E-409C-BE32-E72D297353CC}">
              <c16:uniqueId val="{00000000-5BF7-4DC7-BB59-3501B7093905}"/>
            </c:ext>
          </c:extLst>
        </c:ser>
        <c:dLbls>
          <c:showLegendKey val="0"/>
          <c:showVal val="1"/>
          <c:showCatName val="0"/>
          <c:showSerName val="0"/>
          <c:showPercent val="0"/>
          <c:showBubbleSize val="0"/>
        </c:dLbls>
        <c:gapWidth val="150"/>
        <c:shape val="box"/>
        <c:axId val="1102956303"/>
        <c:axId val="1102939983"/>
        <c:axId val="0"/>
      </c:bar3DChart>
      <c:catAx>
        <c:axId val="11029563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Lato Black" panose="020F0A02020204030203" pitchFamily="34" charset="0"/>
                <a:ea typeface="+mn-ea"/>
                <a:cs typeface="+mn-cs"/>
              </a:defRPr>
            </a:pPr>
            <a:endParaRPr lang="en-US"/>
          </a:p>
        </c:txPr>
        <c:crossAx val="1102939983"/>
        <c:crosses val="autoZero"/>
        <c:auto val="1"/>
        <c:lblAlgn val="ctr"/>
        <c:lblOffset val="100"/>
        <c:noMultiLvlLbl val="0"/>
      </c:catAx>
      <c:valAx>
        <c:axId val="1102939983"/>
        <c:scaling>
          <c:orientation val="minMax"/>
        </c:scaling>
        <c:delete val="1"/>
        <c:axPos val="b"/>
        <c:numFmt formatCode="General" sourceLinked="1"/>
        <c:majorTickMark val="none"/>
        <c:minorTickMark val="none"/>
        <c:tickLblPos val="nextTo"/>
        <c:crossAx val="1102956303"/>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chemeClr val="tx1"/>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death_copy.xlsx]karkal_pivot!Late_Kr</c:name>
    <c:fmtId val="2"/>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095959595959596E-2"/>
              <c:y val="-5.647911752171531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095959595959596E-2"/>
              <c:y val="-5.647911752171531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610700063354148"/>
          <c:y val="6.1614294516327786E-2"/>
          <c:w val="0.64676384740700521"/>
          <c:h val="0.60063500127000258"/>
        </c:manualLayout>
      </c:layout>
      <c:bar3DChart>
        <c:barDir val="bar"/>
        <c:grouping val="clustered"/>
        <c:varyColors val="0"/>
        <c:ser>
          <c:idx val="0"/>
          <c:order val="0"/>
          <c:tx>
            <c:strRef>
              <c:f>karkal_pivot!$B$76:$B$77</c:f>
              <c:strCache>
                <c:ptCount val="1"/>
                <c:pt idx="0">
                  <c:v>Infant Death</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4-73AB-4AAF-A219-B0AD04F4B639}"/>
              </c:ext>
            </c:extLst>
          </c:dPt>
          <c:dLbls>
            <c:dLbl>
              <c:idx val="0"/>
              <c:layout>
                <c:manualLayout>
                  <c:x val="2.2095959595959596E-2"/>
                  <c:y val="-5.64791175217153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AB-4AAF-A219-B0AD04F4B6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karkal_pivot!$A$78:$A$79</c:f>
              <c:strCache>
                <c:ptCount val="1"/>
                <c:pt idx="0">
                  <c:v>Late Pre-term (34-36 weeks): NO</c:v>
                </c:pt>
              </c:strCache>
            </c:strRef>
          </c:cat>
          <c:val>
            <c:numRef>
              <c:f>karkal_pivot!$B$78:$B$79</c:f>
              <c:numCache>
                <c:formatCode>General</c:formatCode>
                <c:ptCount val="1"/>
                <c:pt idx="0">
                  <c:v>6</c:v>
                </c:pt>
              </c:numCache>
            </c:numRef>
          </c:val>
          <c:extLst>
            <c:ext xmlns:c16="http://schemas.microsoft.com/office/drawing/2014/chart" uri="{C3380CC4-5D6E-409C-BE32-E72D297353CC}">
              <c16:uniqueId val="{00000000-73AB-4AAF-A219-B0AD04F4B639}"/>
            </c:ext>
          </c:extLst>
        </c:ser>
        <c:ser>
          <c:idx val="1"/>
          <c:order val="1"/>
          <c:tx>
            <c:strRef>
              <c:f>karkal_pivot!$C$76:$C$77</c:f>
              <c:strCache>
                <c:ptCount val="1"/>
                <c:pt idx="0">
                  <c:v>Neonatal Death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F89C-4982-AB5E-FEE36A12F51A}"/>
              </c:ext>
            </c:extLst>
          </c:dPt>
          <c:dLbls>
            <c:dLbl>
              <c:idx val="0"/>
              <c:layout>
                <c:manualLayout>
                  <c:x val="2.2095959595959596E-2"/>
                  <c:y val="-5.64791175217153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9C-4982-AB5E-FEE36A12F5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karkal_pivot!$A$78:$A$79</c:f>
              <c:strCache>
                <c:ptCount val="1"/>
                <c:pt idx="0">
                  <c:v>Late Pre-term (34-36 weeks): NO</c:v>
                </c:pt>
              </c:strCache>
            </c:strRef>
          </c:cat>
          <c:val>
            <c:numRef>
              <c:f>karkal_pivot!$C$78:$C$79</c:f>
              <c:numCache>
                <c:formatCode>General</c:formatCode>
                <c:ptCount val="1"/>
                <c:pt idx="0">
                  <c:v>13</c:v>
                </c:pt>
              </c:numCache>
            </c:numRef>
          </c:val>
          <c:extLst>
            <c:ext xmlns:c16="http://schemas.microsoft.com/office/drawing/2014/chart" uri="{C3380CC4-5D6E-409C-BE32-E72D297353CC}">
              <c16:uniqueId val="{00000002-B167-471D-883D-3F61C9C8267B}"/>
            </c:ext>
          </c:extLst>
        </c:ser>
        <c:dLbls>
          <c:showLegendKey val="0"/>
          <c:showVal val="1"/>
          <c:showCatName val="0"/>
          <c:showSerName val="0"/>
          <c:showPercent val="0"/>
          <c:showBubbleSize val="0"/>
        </c:dLbls>
        <c:gapWidth val="150"/>
        <c:shape val="box"/>
        <c:axId val="270791263"/>
        <c:axId val="270792223"/>
        <c:axId val="0"/>
      </c:bar3DChart>
      <c:catAx>
        <c:axId val="2707912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Lato Black" panose="020F0A02020204030203" pitchFamily="34" charset="0"/>
                <a:ea typeface="+mn-ea"/>
                <a:cs typeface="+mn-cs"/>
              </a:defRPr>
            </a:pPr>
            <a:endParaRPr lang="en-US"/>
          </a:p>
        </c:txPr>
        <c:crossAx val="270792223"/>
        <c:crosses val="autoZero"/>
        <c:auto val="1"/>
        <c:lblAlgn val="ctr"/>
        <c:lblOffset val="100"/>
        <c:noMultiLvlLbl val="0"/>
      </c:catAx>
      <c:valAx>
        <c:axId val="270792223"/>
        <c:scaling>
          <c:orientation val="minMax"/>
        </c:scaling>
        <c:delete val="1"/>
        <c:axPos val="b"/>
        <c:numFmt formatCode="General" sourceLinked="1"/>
        <c:majorTickMark val="none"/>
        <c:minorTickMark val="none"/>
        <c:tickLblPos val="nextTo"/>
        <c:crossAx val="270791263"/>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chemeClr val="tx1"/>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death_copy.xlsx]Kundapura_pivot!LBW_ku</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a:t>Infant Deaths by LBW Status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12E-2"/>
              <c:y val="-1.3888888888888888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888E-2"/>
              <c:y val="-1.8518518518518517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888E-2"/>
              <c:y val="-4.6296296296297144E-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Kundapura_pivot!$B$45:$B$46</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5-7776-44DC-9606-6E4E48CBB7DD}"/>
              </c:ext>
            </c:extLst>
          </c:dPt>
          <c:dLbls>
            <c:dLbl>
              <c:idx val="0"/>
              <c:layout>
                <c:manualLayout>
                  <c:x val="1.3888888888888888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76-44DC-9606-6E4E48CBB7DD}"/>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Kundapura_pivot!$A$47:$A$49</c:f>
              <c:strCache>
                <c:ptCount val="2"/>
                <c:pt idx="0">
                  <c:v>LBW: NO</c:v>
                </c:pt>
                <c:pt idx="1">
                  <c:v>LBW: YES</c:v>
                </c:pt>
              </c:strCache>
            </c:strRef>
          </c:cat>
          <c:val>
            <c:numRef>
              <c:f>Kundapura_pivot!$B$47:$B$49</c:f>
              <c:numCache>
                <c:formatCode>General</c:formatCode>
                <c:ptCount val="2"/>
                <c:pt idx="0">
                  <c:v>12</c:v>
                </c:pt>
              </c:numCache>
            </c:numRef>
          </c:val>
          <c:extLst>
            <c:ext xmlns:c16="http://schemas.microsoft.com/office/drawing/2014/chart" uri="{C3380CC4-5D6E-409C-BE32-E72D297353CC}">
              <c16:uniqueId val="{00000000-7776-44DC-9606-6E4E48CBB7DD}"/>
            </c:ext>
          </c:extLst>
        </c:ser>
        <c:ser>
          <c:idx val="1"/>
          <c:order val="1"/>
          <c:tx>
            <c:strRef>
              <c:f>Kundapura_pivot!$C$45:$C$46</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6965-45C9-9733-CF67BBAA13C0}"/>
              </c:ext>
            </c:extLst>
          </c:dPt>
          <c:dPt>
            <c:idx val="1"/>
            <c:invertIfNegative val="0"/>
            <c:bubble3D val="0"/>
            <c:extLst>
              <c:ext xmlns:c16="http://schemas.microsoft.com/office/drawing/2014/chart" uri="{C3380CC4-5D6E-409C-BE32-E72D297353CC}">
                <c16:uniqueId val="{00000002-6965-45C9-9733-CF67BBAA13C0}"/>
              </c:ext>
            </c:extLst>
          </c:dPt>
          <c:dLbls>
            <c:dLbl>
              <c:idx val="0"/>
              <c:layout>
                <c:manualLayout>
                  <c:x val="1.3888888888888888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65-45C9-9733-CF67BBAA13C0}"/>
                </c:ext>
              </c:extLst>
            </c:dLbl>
            <c:dLbl>
              <c:idx val="1"/>
              <c:layout>
                <c:manualLayout>
                  <c:x val="1.1111111111111112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65-45C9-9733-CF67BBAA13C0}"/>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Kundapura_pivot!$A$47:$A$49</c:f>
              <c:strCache>
                <c:ptCount val="2"/>
                <c:pt idx="0">
                  <c:v>LBW: NO</c:v>
                </c:pt>
                <c:pt idx="1">
                  <c:v>LBW: YES</c:v>
                </c:pt>
              </c:strCache>
            </c:strRef>
          </c:cat>
          <c:val>
            <c:numRef>
              <c:f>Kundapura_pivot!$C$47:$C$49</c:f>
              <c:numCache>
                <c:formatCode>General</c:formatCode>
                <c:ptCount val="2"/>
                <c:pt idx="0">
                  <c:v>5</c:v>
                </c:pt>
                <c:pt idx="1">
                  <c:v>14</c:v>
                </c:pt>
              </c:numCache>
            </c:numRef>
          </c:val>
          <c:extLst>
            <c:ext xmlns:c16="http://schemas.microsoft.com/office/drawing/2014/chart" uri="{C3380CC4-5D6E-409C-BE32-E72D297353CC}">
              <c16:uniqueId val="{00000000-E667-4FF9-8585-CBDBD98C6DE3}"/>
            </c:ext>
          </c:extLst>
        </c:ser>
        <c:dLbls>
          <c:showLegendKey val="0"/>
          <c:showVal val="1"/>
          <c:showCatName val="0"/>
          <c:showSerName val="0"/>
          <c:showPercent val="0"/>
          <c:showBubbleSize val="0"/>
        </c:dLbls>
        <c:gapWidth val="150"/>
        <c:shape val="box"/>
        <c:axId val="133267232"/>
        <c:axId val="133264352"/>
        <c:axId val="0"/>
      </c:bar3DChart>
      <c:catAx>
        <c:axId val="1332672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133264352"/>
        <c:crosses val="autoZero"/>
        <c:auto val="1"/>
        <c:lblAlgn val="ctr"/>
        <c:lblOffset val="100"/>
        <c:noMultiLvlLbl val="0"/>
      </c:catAx>
      <c:valAx>
        <c:axId val="133264352"/>
        <c:scaling>
          <c:orientation val="minMax"/>
        </c:scaling>
        <c:delete val="1"/>
        <c:axPos val="b"/>
        <c:numFmt formatCode="General" sourceLinked="1"/>
        <c:majorTickMark val="none"/>
        <c:minorTickMark val="none"/>
        <c:tickLblPos val="nextTo"/>
        <c:crossAx val="133267232"/>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death_copy.xlsx]Kundapura_pivot!Extreme_kr</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a:t>Infant Deaths by Extreme Premature Status</a:t>
            </a:r>
          </a:p>
        </c:rich>
      </c:tx>
      <c:layout>
        <c:manualLayout>
          <c:xMode val="edge"/>
          <c:yMode val="edge"/>
          <c:x val="0.24531140383153044"/>
          <c:y val="2.1030494216614092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12E-2"/>
              <c:y val="-1.8518518518518517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1.3888888888888888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4.6296296296295444E-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9301395736747861"/>
          <c:y val="0.21766561514195584"/>
          <c:w val="0.49764024823999808"/>
          <c:h val="0.46188181524628036"/>
        </c:manualLayout>
      </c:layout>
      <c:bar3DChart>
        <c:barDir val="bar"/>
        <c:grouping val="clustered"/>
        <c:varyColors val="0"/>
        <c:ser>
          <c:idx val="0"/>
          <c:order val="0"/>
          <c:tx>
            <c:strRef>
              <c:f>Kundapura_pivot!$B$52:$B$53</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5-4146-4787-BF4D-11FE355C8E9E}"/>
              </c:ext>
            </c:extLst>
          </c:dPt>
          <c:dLbls>
            <c:dLbl>
              <c:idx val="0"/>
              <c:layout>
                <c:manualLayout>
                  <c:x val="8.3333333333333332E-3"/>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146-4787-BF4D-11FE355C8E9E}"/>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Kundapura_pivot!$A$54:$A$56</c:f>
              <c:strCache>
                <c:ptCount val="2"/>
                <c:pt idx="0">
                  <c:v> Extreme preterm (&lt;28 weeks): NO</c:v>
                </c:pt>
                <c:pt idx="1">
                  <c:v> Extreme preterm (&lt;28 weeks): YES</c:v>
                </c:pt>
              </c:strCache>
            </c:strRef>
          </c:cat>
          <c:val>
            <c:numRef>
              <c:f>Kundapura_pivot!$B$54:$B$56</c:f>
              <c:numCache>
                <c:formatCode>General</c:formatCode>
                <c:ptCount val="2"/>
                <c:pt idx="0">
                  <c:v>12</c:v>
                </c:pt>
              </c:numCache>
            </c:numRef>
          </c:val>
          <c:extLst>
            <c:ext xmlns:c16="http://schemas.microsoft.com/office/drawing/2014/chart" uri="{C3380CC4-5D6E-409C-BE32-E72D297353CC}">
              <c16:uniqueId val="{00000000-4146-4787-BF4D-11FE355C8E9E}"/>
            </c:ext>
          </c:extLst>
        </c:ser>
        <c:ser>
          <c:idx val="1"/>
          <c:order val="1"/>
          <c:tx>
            <c:strRef>
              <c:f>Kundapura_pivot!$C$52:$C$53</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6319-4034-8AD7-B9DA3EF31F10}"/>
              </c:ext>
            </c:extLst>
          </c:dPt>
          <c:dPt>
            <c:idx val="1"/>
            <c:invertIfNegative val="0"/>
            <c:bubble3D val="0"/>
            <c:extLst>
              <c:ext xmlns:c16="http://schemas.microsoft.com/office/drawing/2014/chart" uri="{C3380CC4-5D6E-409C-BE32-E72D297353CC}">
                <c16:uniqueId val="{00000002-6319-4034-8AD7-B9DA3EF31F10}"/>
              </c:ext>
            </c:extLst>
          </c:dPt>
          <c:dLbls>
            <c:dLbl>
              <c:idx val="0"/>
              <c:layout>
                <c:manualLayout>
                  <c:x val="2.7777777777777779E-3"/>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19-4034-8AD7-B9DA3EF31F10}"/>
                </c:ext>
              </c:extLst>
            </c:dLbl>
            <c:dLbl>
              <c:idx val="1"/>
              <c:layout>
                <c:manualLayout>
                  <c:x val="1.1111111111111112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19-4034-8AD7-B9DA3EF31F10}"/>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Kundapura_pivot!$A$54:$A$56</c:f>
              <c:strCache>
                <c:ptCount val="2"/>
                <c:pt idx="0">
                  <c:v> Extreme preterm (&lt;28 weeks): NO</c:v>
                </c:pt>
                <c:pt idx="1">
                  <c:v> Extreme preterm (&lt;28 weeks): YES</c:v>
                </c:pt>
              </c:strCache>
            </c:strRef>
          </c:cat>
          <c:val>
            <c:numRef>
              <c:f>Kundapura_pivot!$C$54:$C$56</c:f>
              <c:numCache>
                <c:formatCode>General</c:formatCode>
                <c:ptCount val="2"/>
                <c:pt idx="0">
                  <c:v>12</c:v>
                </c:pt>
                <c:pt idx="1">
                  <c:v>7</c:v>
                </c:pt>
              </c:numCache>
            </c:numRef>
          </c:val>
          <c:extLst>
            <c:ext xmlns:c16="http://schemas.microsoft.com/office/drawing/2014/chart" uri="{C3380CC4-5D6E-409C-BE32-E72D297353CC}">
              <c16:uniqueId val="{00000000-7BC4-428A-A0C1-6B69A8B400FF}"/>
            </c:ext>
          </c:extLst>
        </c:ser>
        <c:dLbls>
          <c:showLegendKey val="0"/>
          <c:showVal val="1"/>
          <c:showCatName val="0"/>
          <c:showSerName val="0"/>
          <c:showPercent val="0"/>
          <c:showBubbleSize val="0"/>
        </c:dLbls>
        <c:gapWidth val="150"/>
        <c:shape val="box"/>
        <c:axId val="132534416"/>
        <c:axId val="132532016"/>
        <c:axId val="0"/>
      </c:bar3DChart>
      <c:catAx>
        <c:axId val="1325344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132532016"/>
        <c:crosses val="autoZero"/>
        <c:auto val="1"/>
        <c:lblAlgn val="ctr"/>
        <c:lblOffset val="100"/>
        <c:noMultiLvlLbl val="0"/>
      </c:catAx>
      <c:valAx>
        <c:axId val="132532016"/>
        <c:scaling>
          <c:orientation val="minMax"/>
        </c:scaling>
        <c:delete val="1"/>
        <c:axPos val="b"/>
        <c:numFmt formatCode="General" sourceLinked="1"/>
        <c:majorTickMark val="none"/>
        <c:minorTickMark val="none"/>
        <c:tickLblPos val="nextTo"/>
        <c:crossAx val="132534416"/>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death_copy.xlsx]Kundapura_pivot!Early_ku</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a:t>Infant Deaths by Early Premature Status</a:t>
            </a:r>
          </a:p>
        </c:rich>
      </c:tx>
      <c:layout>
        <c:manualLayout>
          <c:xMode val="edge"/>
          <c:yMode val="edge"/>
          <c:x val="0.11909974755064014"/>
          <c:y val="5.005005005005005E-3"/>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Kundapura_pivot!$B$59:$B$60</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5-604D-48D1-A6D7-BCD662B5D8A7}"/>
              </c:ext>
            </c:extLst>
          </c:dPt>
          <c:dLbls>
            <c:dLbl>
              <c:idx val="0"/>
              <c:layout>
                <c:manualLayout>
                  <c:x val="1.6666666666666666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4D-48D1-A6D7-BCD662B5D8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Kundapura_pivot!$A$61:$A$63</c:f>
              <c:strCache>
                <c:ptCount val="2"/>
                <c:pt idx="0">
                  <c:v> Early Premature (28-31 weeks): NO</c:v>
                </c:pt>
                <c:pt idx="1">
                  <c:v> Early Premature (28-31 weeks): YES</c:v>
                </c:pt>
              </c:strCache>
            </c:strRef>
          </c:cat>
          <c:val>
            <c:numRef>
              <c:f>Kundapura_pivot!$B$61:$B$63</c:f>
              <c:numCache>
                <c:formatCode>General</c:formatCode>
                <c:ptCount val="2"/>
                <c:pt idx="0">
                  <c:v>12</c:v>
                </c:pt>
              </c:numCache>
            </c:numRef>
          </c:val>
          <c:extLst>
            <c:ext xmlns:c16="http://schemas.microsoft.com/office/drawing/2014/chart" uri="{C3380CC4-5D6E-409C-BE32-E72D297353CC}">
              <c16:uniqueId val="{00000000-604D-48D1-A6D7-BCD662B5D8A7}"/>
            </c:ext>
          </c:extLst>
        </c:ser>
        <c:ser>
          <c:idx val="1"/>
          <c:order val="1"/>
          <c:tx>
            <c:strRef>
              <c:f>Kundapura_pivot!$C$59:$C$60</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BF2D-42C2-BD65-CA0A96B0C535}"/>
              </c:ext>
            </c:extLst>
          </c:dPt>
          <c:dPt>
            <c:idx val="1"/>
            <c:invertIfNegative val="0"/>
            <c:bubble3D val="0"/>
            <c:extLst>
              <c:ext xmlns:c16="http://schemas.microsoft.com/office/drawing/2014/chart" uri="{C3380CC4-5D6E-409C-BE32-E72D297353CC}">
                <c16:uniqueId val="{00000002-BF2D-42C2-BD65-CA0A96B0C535}"/>
              </c:ext>
            </c:extLst>
          </c:dPt>
          <c:dLbls>
            <c:dLbl>
              <c:idx val="0"/>
              <c:layout>
                <c:manualLayout>
                  <c:x val="8.3333333333333332E-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2D-42C2-BD65-CA0A96B0C535}"/>
                </c:ext>
              </c:extLst>
            </c:dLbl>
            <c:dLbl>
              <c:idx val="1"/>
              <c:layout>
                <c:manualLayout>
                  <c:x val="1.6666666666666666E-2"/>
                  <c:y val="-2.121889068003332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2D-42C2-BD65-CA0A96B0C5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Kundapura_pivot!$A$61:$A$63</c:f>
              <c:strCache>
                <c:ptCount val="2"/>
                <c:pt idx="0">
                  <c:v> Early Premature (28-31 weeks): NO</c:v>
                </c:pt>
                <c:pt idx="1">
                  <c:v> Early Premature (28-31 weeks): YES</c:v>
                </c:pt>
              </c:strCache>
            </c:strRef>
          </c:cat>
          <c:val>
            <c:numRef>
              <c:f>Kundapura_pivot!$C$61:$C$63</c:f>
              <c:numCache>
                <c:formatCode>General</c:formatCode>
                <c:ptCount val="2"/>
                <c:pt idx="0">
                  <c:v>15</c:v>
                </c:pt>
                <c:pt idx="1">
                  <c:v>4</c:v>
                </c:pt>
              </c:numCache>
            </c:numRef>
          </c:val>
          <c:extLst>
            <c:ext xmlns:c16="http://schemas.microsoft.com/office/drawing/2014/chart" uri="{C3380CC4-5D6E-409C-BE32-E72D297353CC}">
              <c16:uniqueId val="{00000000-6B2C-4A17-ABFA-87A47CEF4A42}"/>
            </c:ext>
          </c:extLst>
        </c:ser>
        <c:dLbls>
          <c:showLegendKey val="0"/>
          <c:showVal val="1"/>
          <c:showCatName val="0"/>
          <c:showSerName val="0"/>
          <c:showPercent val="0"/>
          <c:showBubbleSize val="0"/>
        </c:dLbls>
        <c:gapWidth val="150"/>
        <c:shape val="box"/>
        <c:axId val="834249152"/>
        <c:axId val="834248672"/>
        <c:axId val="0"/>
      </c:bar3DChart>
      <c:catAx>
        <c:axId val="8342491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834248672"/>
        <c:crosses val="autoZero"/>
        <c:auto val="1"/>
        <c:lblAlgn val="ctr"/>
        <c:lblOffset val="100"/>
        <c:noMultiLvlLbl val="0"/>
      </c:catAx>
      <c:valAx>
        <c:axId val="834248672"/>
        <c:scaling>
          <c:orientation val="minMax"/>
        </c:scaling>
        <c:delete val="1"/>
        <c:axPos val="b"/>
        <c:numFmt formatCode="General" sourceLinked="1"/>
        <c:majorTickMark val="none"/>
        <c:minorTickMark val="none"/>
        <c:tickLblPos val="nextTo"/>
        <c:crossAx val="834249152"/>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death_copy.xlsx]Kundapura_pivot!Moderate_ku</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Lato Black" panose="020F0A02020204030203" pitchFamily="34" charset="0"/>
                <a:ea typeface="+mn-ea"/>
                <a:cs typeface="+mn-cs"/>
              </a:defRPr>
            </a:pPr>
            <a:r>
              <a:rPr lang="en-IN"/>
              <a:t>Infant Deaths by Moderate Premature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438006753932831"/>
          <c:y val="0.11768603465851174"/>
          <c:w val="0.65351802163264627"/>
          <c:h val="0.57707345068105032"/>
        </c:manualLayout>
      </c:layout>
      <c:bar3DChart>
        <c:barDir val="bar"/>
        <c:grouping val="clustered"/>
        <c:varyColors val="0"/>
        <c:ser>
          <c:idx val="0"/>
          <c:order val="0"/>
          <c:tx>
            <c:strRef>
              <c:f>Kundapura_pivot!$B$66:$B$67</c:f>
              <c:strCache>
                <c:ptCount val="1"/>
                <c:pt idx="0">
                  <c:v>Infant Death</c:v>
                </c:pt>
              </c:strCache>
            </c:strRef>
          </c:tx>
          <c:spPr>
            <a:solidFill>
              <a:schemeClr val="accent2">
                <a:shade val="76000"/>
              </a:schemeClr>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Kundapura_pivot!$A$68:$A$70</c:f>
              <c:strCache>
                <c:ptCount val="2"/>
                <c:pt idx="0">
                  <c:v>Morderate Premature (&lt;32-33 weeks): NO</c:v>
                </c:pt>
                <c:pt idx="1">
                  <c:v>Morderate Premature (&lt;32-33 weeks): YES</c:v>
                </c:pt>
              </c:strCache>
            </c:strRef>
          </c:cat>
          <c:val>
            <c:numRef>
              <c:f>Kundapura_pivot!$B$68:$B$70</c:f>
              <c:numCache>
                <c:formatCode>General</c:formatCode>
                <c:ptCount val="2"/>
                <c:pt idx="0">
                  <c:v>11</c:v>
                </c:pt>
                <c:pt idx="1">
                  <c:v>1</c:v>
                </c:pt>
              </c:numCache>
            </c:numRef>
          </c:val>
          <c:extLst>
            <c:ext xmlns:c16="http://schemas.microsoft.com/office/drawing/2014/chart" uri="{C3380CC4-5D6E-409C-BE32-E72D297353CC}">
              <c16:uniqueId val="{00000000-ED8A-481B-8817-8B6DD54E7CF2}"/>
            </c:ext>
          </c:extLst>
        </c:ser>
        <c:ser>
          <c:idx val="1"/>
          <c:order val="1"/>
          <c:tx>
            <c:strRef>
              <c:f>Kundapura_pivot!$C$66:$C$67</c:f>
              <c:strCache>
                <c:ptCount val="1"/>
                <c:pt idx="0">
                  <c:v>Neonatal Death</c:v>
                </c:pt>
              </c:strCache>
            </c:strRef>
          </c:tx>
          <c:spPr>
            <a:solidFill>
              <a:schemeClr val="accent2">
                <a:tint val="77000"/>
              </a:schemeClr>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Kundapura_pivot!$A$68:$A$70</c:f>
              <c:strCache>
                <c:ptCount val="2"/>
                <c:pt idx="0">
                  <c:v>Morderate Premature (&lt;32-33 weeks): NO</c:v>
                </c:pt>
                <c:pt idx="1">
                  <c:v>Morderate Premature (&lt;32-33 weeks): YES</c:v>
                </c:pt>
              </c:strCache>
            </c:strRef>
          </c:cat>
          <c:val>
            <c:numRef>
              <c:f>Kundapura_pivot!$C$68:$C$70</c:f>
              <c:numCache>
                <c:formatCode>General</c:formatCode>
                <c:ptCount val="2"/>
                <c:pt idx="0">
                  <c:v>16</c:v>
                </c:pt>
                <c:pt idx="1">
                  <c:v>3</c:v>
                </c:pt>
              </c:numCache>
            </c:numRef>
          </c:val>
          <c:extLst>
            <c:ext xmlns:c16="http://schemas.microsoft.com/office/drawing/2014/chart" uri="{C3380CC4-5D6E-409C-BE32-E72D297353CC}">
              <c16:uniqueId val="{00000000-F72D-420D-B7B0-9C33E573A0E9}"/>
            </c:ext>
          </c:extLst>
        </c:ser>
        <c:dLbls>
          <c:showLegendKey val="0"/>
          <c:showVal val="1"/>
          <c:showCatName val="0"/>
          <c:showSerName val="0"/>
          <c:showPercent val="0"/>
          <c:showBubbleSize val="0"/>
        </c:dLbls>
        <c:gapWidth val="150"/>
        <c:shape val="box"/>
        <c:axId val="808237280"/>
        <c:axId val="804433712"/>
        <c:axId val="0"/>
      </c:bar3DChart>
      <c:catAx>
        <c:axId val="808237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804433712"/>
        <c:crosses val="autoZero"/>
        <c:auto val="1"/>
        <c:lblAlgn val="ctr"/>
        <c:lblOffset val="100"/>
        <c:noMultiLvlLbl val="0"/>
      </c:catAx>
      <c:valAx>
        <c:axId val="804433712"/>
        <c:scaling>
          <c:orientation val="minMax"/>
        </c:scaling>
        <c:delete val="1"/>
        <c:axPos val="b"/>
        <c:numFmt formatCode="General" sourceLinked="1"/>
        <c:majorTickMark val="none"/>
        <c:minorTickMark val="none"/>
        <c:tickLblPos val="nextTo"/>
        <c:crossAx val="808237280"/>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death_copy.xlsx]Kundapura_pivot!Late_ku</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Lato Black" panose="020F0A02020204030203" pitchFamily="34" charset="0"/>
                <a:ea typeface="+mn-ea"/>
                <a:cs typeface="+mn-cs"/>
              </a:defRPr>
            </a:pPr>
            <a:r>
              <a:rPr lang="en-IN"/>
              <a:t>Infant Deaths by Early Premature Status</a:t>
            </a:r>
          </a:p>
        </c:rich>
      </c:tx>
      <c:layout>
        <c:manualLayout>
          <c:xMode val="edge"/>
          <c:yMode val="edge"/>
          <c:x val="0.1356318897637795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183967629046371"/>
          <c:y val="0.12407407407407406"/>
          <c:w val="0.56704921259842522"/>
          <c:h val="0.59837926509186357"/>
        </c:manualLayout>
      </c:layout>
      <c:bar3DChart>
        <c:barDir val="bar"/>
        <c:grouping val="clustered"/>
        <c:varyColors val="0"/>
        <c:ser>
          <c:idx val="0"/>
          <c:order val="0"/>
          <c:tx>
            <c:strRef>
              <c:f>Kundapura_pivot!$B$73:$B$74</c:f>
              <c:strCache>
                <c:ptCount val="1"/>
                <c:pt idx="0">
                  <c:v>Infant Death</c:v>
                </c:pt>
              </c:strCache>
            </c:strRef>
          </c:tx>
          <c:spPr>
            <a:solidFill>
              <a:schemeClr val="accent2">
                <a:shade val="76000"/>
              </a:schemeClr>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Kundapura_pivot!$A$75:$A$77</c:f>
              <c:strCache>
                <c:ptCount val="2"/>
                <c:pt idx="0">
                  <c:v>Late Pre-term (34-36 weeks): NO</c:v>
                </c:pt>
                <c:pt idx="1">
                  <c:v>Late Pre-term (34-36 weeks): YES</c:v>
                </c:pt>
              </c:strCache>
            </c:strRef>
          </c:cat>
          <c:val>
            <c:numRef>
              <c:f>Kundapura_pivot!$B$75:$B$77</c:f>
              <c:numCache>
                <c:formatCode>General</c:formatCode>
                <c:ptCount val="2"/>
                <c:pt idx="0">
                  <c:v>12</c:v>
                </c:pt>
              </c:numCache>
            </c:numRef>
          </c:val>
          <c:extLst>
            <c:ext xmlns:c16="http://schemas.microsoft.com/office/drawing/2014/chart" uri="{C3380CC4-5D6E-409C-BE32-E72D297353CC}">
              <c16:uniqueId val="{00000000-EE6C-47DA-9C57-AF707A114EF3}"/>
            </c:ext>
          </c:extLst>
        </c:ser>
        <c:ser>
          <c:idx val="1"/>
          <c:order val="1"/>
          <c:tx>
            <c:strRef>
              <c:f>Kundapura_pivot!$C$73:$C$74</c:f>
              <c:strCache>
                <c:ptCount val="1"/>
                <c:pt idx="0">
                  <c:v>Neonatal Death</c:v>
                </c:pt>
              </c:strCache>
            </c:strRef>
          </c:tx>
          <c:spPr>
            <a:solidFill>
              <a:schemeClr val="accent2">
                <a:tint val="77000"/>
              </a:schemeClr>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Kundapura_pivot!$A$75:$A$77</c:f>
              <c:strCache>
                <c:ptCount val="2"/>
                <c:pt idx="0">
                  <c:v>Late Pre-term (34-36 weeks): NO</c:v>
                </c:pt>
                <c:pt idx="1">
                  <c:v>Late Pre-term (34-36 weeks): YES</c:v>
                </c:pt>
              </c:strCache>
            </c:strRef>
          </c:cat>
          <c:val>
            <c:numRef>
              <c:f>Kundapura_pivot!$C$75:$C$77</c:f>
              <c:numCache>
                <c:formatCode>General</c:formatCode>
                <c:ptCount val="2"/>
                <c:pt idx="0">
                  <c:v>18</c:v>
                </c:pt>
                <c:pt idx="1">
                  <c:v>1</c:v>
                </c:pt>
              </c:numCache>
            </c:numRef>
          </c:val>
          <c:extLst>
            <c:ext xmlns:c16="http://schemas.microsoft.com/office/drawing/2014/chart" uri="{C3380CC4-5D6E-409C-BE32-E72D297353CC}">
              <c16:uniqueId val="{00000000-018F-4198-BD83-A0E6CECF9927}"/>
            </c:ext>
          </c:extLst>
        </c:ser>
        <c:dLbls>
          <c:showLegendKey val="0"/>
          <c:showVal val="1"/>
          <c:showCatName val="0"/>
          <c:showSerName val="0"/>
          <c:showPercent val="0"/>
          <c:showBubbleSize val="0"/>
        </c:dLbls>
        <c:gapWidth val="150"/>
        <c:shape val="box"/>
        <c:axId val="814608912"/>
        <c:axId val="814610832"/>
        <c:axId val="0"/>
      </c:bar3DChart>
      <c:catAx>
        <c:axId val="814608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814610832"/>
        <c:crosses val="autoZero"/>
        <c:auto val="1"/>
        <c:lblAlgn val="ctr"/>
        <c:lblOffset val="100"/>
        <c:noMultiLvlLbl val="0"/>
      </c:catAx>
      <c:valAx>
        <c:axId val="814610832"/>
        <c:scaling>
          <c:orientation val="minMax"/>
        </c:scaling>
        <c:delete val="1"/>
        <c:axPos val="b"/>
        <c:numFmt formatCode="General" sourceLinked="1"/>
        <c:majorTickMark val="none"/>
        <c:minorTickMark val="none"/>
        <c:tickLblPos val="nextTo"/>
        <c:crossAx val="814608912"/>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death_copy.xlsx]Kundapura_pivot!High_risk(K2)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baseline="0">
                <a:solidFill>
                  <a:schemeClr val="tx1"/>
                </a:solidFill>
                <a:latin typeface="Lato Black" panose="020F0A02020204030203" pitchFamily="34" charset="0"/>
              </a:rPr>
              <a:t>Delivery Type &amp; Death Category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B9EA60"/>
              </a:gs>
              <a:gs pos="100000">
                <a:srgbClr val="88A51F"/>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4CD46C"/>
              </a:gs>
              <a:gs pos="100000">
                <a:srgbClr val="1C8519"/>
              </a:gs>
            </a:gsLst>
            <a:lin ang="5400000" scaled="1"/>
          </a:gradFill>
          <a:ln>
            <a:noFill/>
          </a:ln>
          <a:effectLst/>
          <a:sp3d/>
        </c:spPr>
        <c:dLbl>
          <c:idx val="0"/>
          <c:layout>
            <c:manualLayout>
              <c:x val="2.6246719160104987E-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4CD46C"/>
              </a:gs>
              <a:gs pos="100000">
                <a:srgbClr val="1C8519"/>
              </a:gs>
            </a:gsLst>
            <a:lin ang="5400000" scaled="1"/>
          </a:gradFill>
          <a:ln>
            <a:noFill/>
          </a:ln>
          <a:effectLst/>
          <a:sp3d/>
        </c:spPr>
        <c:dLbl>
          <c:idx val="0"/>
          <c:layout>
            <c:manualLayout>
              <c:x val="2.6246719160104987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B9EA60"/>
              </a:gs>
              <a:gs pos="100000">
                <a:srgbClr val="88A51F"/>
              </a:gs>
            </a:gsLst>
            <a:lin ang="5400000" scaled="1"/>
          </a:gradFill>
          <a:ln>
            <a:noFill/>
          </a:ln>
          <a:effectLst/>
          <a:sp3d/>
        </c:spPr>
        <c:dLbl>
          <c:idx val="0"/>
          <c:layout>
            <c:manualLayout>
              <c:x val="1.3123359580052493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B9EA60"/>
              </a:gs>
              <a:gs pos="100000">
                <a:srgbClr val="88A51F"/>
              </a:gs>
            </a:gsLst>
            <a:lin ang="5400000" scaled="1"/>
          </a:gradFill>
          <a:ln>
            <a:noFill/>
          </a:ln>
          <a:effectLst/>
          <a:sp3d/>
        </c:spPr>
        <c:dLbl>
          <c:idx val="0"/>
          <c:layout>
            <c:manualLayout>
              <c:x val="2.3622047244094488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Kundapura_pivot!$B$2:$B$3</c:f>
              <c:strCache>
                <c:ptCount val="1"/>
                <c:pt idx="0">
                  <c:v>LSCS</c:v>
                </c:pt>
              </c:strCache>
            </c:strRef>
          </c:tx>
          <c:spPr>
            <a:solidFill>
              <a:schemeClr val="accent1"/>
            </a:solidFill>
            <a:ln>
              <a:noFill/>
            </a:ln>
            <a:effectLst/>
            <a:sp3d/>
          </c:spPr>
          <c:invertIfNegative val="0"/>
          <c:dPt>
            <c:idx val="0"/>
            <c:invertIfNegative val="0"/>
            <c:bubble3D val="0"/>
            <c:spPr>
              <a:gradFill>
                <a:gsLst>
                  <a:gs pos="0">
                    <a:srgbClr val="4CD46C"/>
                  </a:gs>
                  <a:gs pos="100000">
                    <a:srgbClr val="1C8519"/>
                  </a:gs>
                </a:gsLst>
                <a:lin ang="5400000" scaled="1"/>
              </a:gradFill>
              <a:ln>
                <a:noFill/>
              </a:ln>
              <a:effectLst/>
              <a:sp3d/>
            </c:spPr>
            <c:extLst>
              <c:ext xmlns:c16="http://schemas.microsoft.com/office/drawing/2014/chart" uri="{C3380CC4-5D6E-409C-BE32-E72D297353CC}">
                <c16:uniqueId val="{00000004-8E07-49A5-85EA-279CB957A38F}"/>
              </c:ext>
            </c:extLst>
          </c:dPt>
          <c:dPt>
            <c:idx val="1"/>
            <c:invertIfNegative val="0"/>
            <c:bubble3D val="0"/>
            <c:spPr>
              <a:gradFill>
                <a:gsLst>
                  <a:gs pos="0">
                    <a:srgbClr val="4CD46C"/>
                  </a:gs>
                  <a:gs pos="100000">
                    <a:srgbClr val="1C8519"/>
                  </a:gs>
                </a:gsLst>
                <a:lin ang="5400000" scaled="1"/>
              </a:gradFill>
              <a:ln>
                <a:noFill/>
              </a:ln>
              <a:effectLst/>
              <a:sp3d/>
            </c:spPr>
            <c:extLst>
              <c:ext xmlns:c16="http://schemas.microsoft.com/office/drawing/2014/chart" uri="{C3380CC4-5D6E-409C-BE32-E72D297353CC}">
                <c16:uniqueId val="{00000003-8E07-49A5-85EA-279CB957A38F}"/>
              </c:ext>
            </c:extLst>
          </c:dPt>
          <c:dLbls>
            <c:dLbl>
              <c:idx val="0"/>
              <c:layout>
                <c:manualLayout>
                  <c:x val="2.6246719160104987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E07-49A5-85EA-279CB957A38F}"/>
                </c:ext>
              </c:extLst>
            </c:dLbl>
            <c:dLbl>
              <c:idx val="1"/>
              <c:layout>
                <c:manualLayout>
                  <c:x val="2.6246719160104987E-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07-49A5-85EA-279CB957A3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Kundapura_pivot!$A$4:$A$6</c:f>
              <c:strCache>
                <c:ptCount val="2"/>
                <c:pt idx="0">
                  <c:v>Without High Risk pregnancy</c:v>
                </c:pt>
                <c:pt idx="1">
                  <c:v>With Hig Risk Pregnancy</c:v>
                </c:pt>
              </c:strCache>
            </c:strRef>
          </c:cat>
          <c:val>
            <c:numRef>
              <c:f>Kundapura_pivot!$B$4:$B$6</c:f>
              <c:numCache>
                <c:formatCode>General</c:formatCode>
                <c:ptCount val="2"/>
                <c:pt idx="0">
                  <c:v>6</c:v>
                </c:pt>
                <c:pt idx="1">
                  <c:v>17</c:v>
                </c:pt>
              </c:numCache>
            </c:numRef>
          </c:val>
          <c:extLst>
            <c:ext xmlns:c16="http://schemas.microsoft.com/office/drawing/2014/chart" uri="{C3380CC4-5D6E-409C-BE32-E72D297353CC}">
              <c16:uniqueId val="{00000000-8E07-49A5-85EA-279CB957A38F}"/>
            </c:ext>
          </c:extLst>
        </c:ser>
        <c:ser>
          <c:idx val="1"/>
          <c:order val="1"/>
          <c:tx>
            <c:strRef>
              <c:f>Kundapura_pivot!$C$2:$C$3</c:f>
              <c:strCache>
                <c:ptCount val="1"/>
                <c:pt idx="0">
                  <c:v>Normal</c:v>
                </c:pt>
              </c:strCache>
            </c:strRef>
          </c:tx>
          <c:spPr>
            <a:gradFill>
              <a:gsLst>
                <a:gs pos="0">
                  <a:srgbClr val="B9EA60"/>
                </a:gs>
                <a:gs pos="100000">
                  <a:srgbClr val="88A51F"/>
                </a:gs>
              </a:gsLst>
              <a:lin ang="5400000" scaled="1"/>
            </a:gradFill>
            <a:ln>
              <a:noFill/>
            </a:ln>
            <a:effectLst/>
            <a:sp3d/>
          </c:spPr>
          <c:invertIfNegative val="0"/>
          <c:dPt>
            <c:idx val="0"/>
            <c:invertIfNegative val="0"/>
            <c:bubble3D val="0"/>
            <c:extLst>
              <c:ext xmlns:c16="http://schemas.microsoft.com/office/drawing/2014/chart" uri="{C3380CC4-5D6E-409C-BE32-E72D297353CC}">
                <c16:uniqueId val="{00000004-5751-413E-A5E0-817C7CA0293F}"/>
              </c:ext>
            </c:extLst>
          </c:dPt>
          <c:dPt>
            <c:idx val="1"/>
            <c:invertIfNegative val="0"/>
            <c:bubble3D val="0"/>
            <c:extLst>
              <c:ext xmlns:c16="http://schemas.microsoft.com/office/drawing/2014/chart" uri="{C3380CC4-5D6E-409C-BE32-E72D297353CC}">
                <c16:uniqueId val="{00000005-5751-413E-A5E0-817C7CA0293F}"/>
              </c:ext>
            </c:extLst>
          </c:dPt>
          <c:dLbls>
            <c:dLbl>
              <c:idx val="0"/>
              <c:layout>
                <c:manualLayout>
                  <c:x val="1.3123359580052493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751-413E-A5E0-817C7CA0293F}"/>
                </c:ext>
              </c:extLst>
            </c:dLbl>
            <c:dLbl>
              <c:idx val="1"/>
              <c:layout>
                <c:manualLayout>
                  <c:x val="2.3622047244094488E-2"/>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51-413E-A5E0-817C7CA029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Kundapura_pivot!$A$4:$A$6</c:f>
              <c:strCache>
                <c:ptCount val="2"/>
                <c:pt idx="0">
                  <c:v>Without High Risk pregnancy</c:v>
                </c:pt>
                <c:pt idx="1">
                  <c:v>With Hig Risk Pregnancy</c:v>
                </c:pt>
              </c:strCache>
            </c:strRef>
          </c:cat>
          <c:val>
            <c:numRef>
              <c:f>Kundapura_pivot!$C$4:$C$6</c:f>
              <c:numCache>
                <c:formatCode>General</c:formatCode>
                <c:ptCount val="2"/>
                <c:pt idx="0">
                  <c:v>3</c:v>
                </c:pt>
                <c:pt idx="1">
                  <c:v>5</c:v>
                </c:pt>
              </c:numCache>
            </c:numRef>
          </c:val>
          <c:extLst>
            <c:ext xmlns:c16="http://schemas.microsoft.com/office/drawing/2014/chart" uri="{C3380CC4-5D6E-409C-BE32-E72D297353CC}">
              <c16:uniqueId val="{00000007-E2A4-4F4F-96F6-37ADEE0CCA0F}"/>
            </c:ext>
          </c:extLst>
        </c:ser>
        <c:dLbls>
          <c:showLegendKey val="0"/>
          <c:showVal val="1"/>
          <c:showCatName val="0"/>
          <c:showSerName val="0"/>
          <c:showPercent val="0"/>
          <c:showBubbleSize val="0"/>
        </c:dLbls>
        <c:gapWidth val="150"/>
        <c:shape val="box"/>
        <c:axId val="835033776"/>
        <c:axId val="835029456"/>
        <c:axId val="290445200"/>
      </c:bar3DChart>
      <c:catAx>
        <c:axId val="835033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835029456"/>
        <c:crosses val="autoZero"/>
        <c:auto val="1"/>
        <c:lblAlgn val="ctr"/>
        <c:lblOffset val="100"/>
        <c:noMultiLvlLbl val="0"/>
      </c:catAx>
      <c:valAx>
        <c:axId val="835029456"/>
        <c:scaling>
          <c:orientation val="minMax"/>
        </c:scaling>
        <c:delete val="1"/>
        <c:axPos val="l"/>
        <c:numFmt formatCode="General" sourceLinked="1"/>
        <c:majorTickMark val="none"/>
        <c:minorTickMark val="none"/>
        <c:tickLblPos val="nextTo"/>
        <c:crossAx val="835033776"/>
        <c:crosses val="autoZero"/>
        <c:crossBetween val="between"/>
      </c:valAx>
      <c:serAx>
        <c:axId val="2904452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83502945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death_copy.xlsx]Kundapura_pivot!Hypertension(K1)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baseline="0">
                <a:solidFill>
                  <a:schemeClr val="tx1"/>
                </a:solidFill>
                <a:latin typeface="Lato Black" panose="020F0A02020204030203" pitchFamily="34" charset="0"/>
              </a:rPr>
              <a:t>Hypertensive Disorders on Infant &amp; Neonatal Deaths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05042E">
                <a:alpha val="93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1B16EE"/>
              </a:gs>
              <a:gs pos="100000">
                <a:srgbClr val="002060"/>
              </a:gs>
              <a:gs pos="100000">
                <a:srgbClr val="05042E"/>
              </a:gs>
            </a:gsLst>
            <a:lin ang="10800000" scaled="1"/>
          </a:gradFill>
          <a:ln>
            <a:noFill/>
          </a:ln>
          <a:effectLst>
            <a:glow rad="63500">
              <a:srgbClr val="4F81BD">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1B16EE"/>
              </a:gs>
              <a:gs pos="100000">
                <a:srgbClr val="002060"/>
              </a:gs>
              <a:gs pos="100000">
                <a:srgbClr val="05042E"/>
              </a:gs>
            </a:gsLst>
            <a:lin ang="10800000" scaled="1"/>
          </a:gradFill>
          <a:ln>
            <a:noFill/>
          </a:ln>
          <a:effectLst>
            <a:glow rad="63500">
              <a:srgbClr val="4F81BD">
                <a:alpha val="40000"/>
              </a:srgbClr>
            </a:glow>
          </a:effectLst>
        </c:spPr>
        <c:dLbl>
          <c:idx val="0"/>
          <c:layout>
            <c:manualLayout>
              <c:x val="-5.555555555555553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282370953630796E-2"/>
          <c:y val="0.23477879982479194"/>
          <c:w val="0.85943525809273835"/>
          <c:h val="0.59914430866969481"/>
        </c:manualLayout>
      </c:layout>
      <c:barChart>
        <c:barDir val="col"/>
        <c:grouping val="clustered"/>
        <c:varyColors val="0"/>
        <c:ser>
          <c:idx val="0"/>
          <c:order val="0"/>
          <c:tx>
            <c:strRef>
              <c:f>Kundapura_pivot!$B$37:$B$38</c:f>
              <c:strCache>
                <c:ptCount val="1"/>
                <c:pt idx="0">
                  <c:v>Infant Death</c:v>
                </c:pt>
              </c:strCache>
            </c:strRef>
          </c:tx>
          <c:spPr>
            <a:solidFill>
              <a:schemeClr val="accent1"/>
            </a:solidFill>
            <a:ln>
              <a:solidFill>
                <a:srgbClr val="05042E">
                  <a:alpha val="93000"/>
                </a:srgb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Kundapura_pivot!$A$39:$A$41</c:f>
              <c:strCache>
                <c:ptCount val="2"/>
                <c:pt idx="0">
                  <c:v>Without hypertensive Disorder</c:v>
                </c:pt>
                <c:pt idx="1">
                  <c:v>With hypertensive Disorder</c:v>
                </c:pt>
              </c:strCache>
            </c:strRef>
          </c:cat>
          <c:val>
            <c:numRef>
              <c:f>Kundapura_pivot!$B$39:$B$41</c:f>
              <c:numCache>
                <c:formatCode>General</c:formatCode>
                <c:ptCount val="2"/>
                <c:pt idx="0">
                  <c:v>12</c:v>
                </c:pt>
              </c:numCache>
            </c:numRef>
          </c:val>
          <c:extLst>
            <c:ext xmlns:c16="http://schemas.microsoft.com/office/drawing/2014/chart" uri="{C3380CC4-5D6E-409C-BE32-E72D297353CC}">
              <c16:uniqueId val="{00000000-731F-4685-9E55-1E2E9E79A564}"/>
            </c:ext>
          </c:extLst>
        </c:ser>
        <c:ser>
          <c:idx val="1"/>
          <c:order val="1"/>
          <c:tx>
            <c:strRef>
              <c:f>Kundapura_pivot!$C$37:$C$38</c:f>
              <c:strCache>
                <c:ptCount val="1"/>
                <c:pt idx="0">
                  <c:v>Neonatal Death</c:v>
                </c:pt>
              </c:strCache>
            </c:strRef>
          </c:tx>
          <c:spPr>
            <a:gradFill>
              <a:gsLst>
                <a:gs pos="0">
                  <a:srgbClr val="1B16EE"/>
                </a:gs>
                <a:gs pos="100000">
                  <a:srgbClr val="002060"/>
                </a:gs>
                <a:gs pos="100000">
                  <a:srgbClr val="05042E"/>
                </a:gs>
              </a:gsLst>
              <a:lin ang="10800000" scaled="1"/>
            </a:gradFill>
            <a:ln>
              <a:noFill/>
            </a:ln>
            <a:effectLst>
              <a:glow rad="63500">
                <a:srgbClr val="4F81BD">
                  <a:alpha val="40000"/>
                </a:srgbClr>
              </a:glow>
            </a:effectLst>
          </c:spPr>
          <c:invertIfNegative val="0"/>
          <c:dPt>
            <c:idx val="0"/>
            <c:invertIfNegative val="0"/>
            <c:bubble3D val="0"/>
            <c:extLst>
              <c:ext xmlns:c16="http://schemas.microsoft.com/office/drawing/2014/chart" uri="{C3380CC4-5D6E-409C-BE32-E72D297353CC}">
                <c16:uniqueId val="{00000000-88D3-49A3-89CD-69F11C779A2C}"/>
              </c:ext>
            </c:extLst>
          </c:dPt>
          <c:dLbls>
            <c:dLbl>
              <c:idx val="0"/>
              <c:layout>
                <c:manualLayout>
                  <c:x val="-5.5555555555555532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D3-49A3-89CD-69F11C779A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Kundapura_pivot!$A$39:$A$41</c:f>
              <c:strCache>
                <c:ptCount val="2"/>
                <c:pt idx="0">
                  <c:v>Without hypertensive Disorder</c:v>
                </c:pt>
                <c:pt idx="1">
                  <c:v>With hypertensive Disorder</c:v>
                </c:pt>
              </c:strCache>
            </c:strRef>
          </c:cat>
          <c:val>
            <c:numRef>
              <c:f>Kundapura_pivot!$C$39:$C$41</c:f>
              <c:numCache>
                <c:formatCode>General</c:formatCode>
                <c:ptCount val="2"/>
                <c:pt idx="0">
                  <c:v>18</c:v>
                </c:pt>
                <c:pt idx="1">
                  <c:v>1</c:v>
                </c:pt>
              </c:numCache>
            </c:numRef>
          </c:val>
          <c:extLst>
            <c:ext xmlns:c16="http://schemas.microsoft.com/office/drawing/2014/chart" uri="{C3380CC4-5D6E-409C-BE32-E72D297353CC}">
              <c16:uniqueId val="{00000002-EEA7-4087-8A5A-2A8C73E9FDF2}"/>
            </c:ext>
          </c:extLst>
        </c:ser>
        <c:dLbls>
          <c:showLegendKey val="0"/>
          <c:showVal val="1"/>
          <c:showCatName val="0"/>
          <c:showSerName val="0"/>
          <c:showPercent val="0"/>
          <c:showBubbleSize val="0"/>
        </c:dLbls>
        <c:gapWidth val="219"/>
        <c:axId val="803558944"/>
        <c:axId val="803561344"/>
      </c:barChart>
      <c:catAx>
        <c:axId val="80355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803561344"/>
        <c:crosses val="autoZero"/>
        <c:auto val="1"/>
        <c:lblAlgn val="ctr"/>
        <c:lblOffset val="100"/>
        <c:noMultiLvlLbl val="0"/>
      </c:catAx>
      <c:valAx>
        <c:axId val="803561344"/>
        <c:scaling>
          <c:orientation val="minMax"/>
          <c:max val="18"/>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803558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death_copy.xlsx]Kundapura_pivot!HR_death(K2)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chemeClr val="tx1"/>
                </a:solidFill>
                <a:latin typeface="Lato Black" panose="020F0A02020204030203" pitchFamily="34" charset="0"/>
              </a:rPr>
              <a:t>High-Risk Pregnancy on Infant &amp; Neonatal Deaths</a:t>
            </a:r>
          </a:p>
        </c:rich>
      </c:tx>
      <c:layout>
        <c:manualLayout>
          <c:xMode val="edge"/>
          <c:yMode val="edge"/>
          <c:x val="0.11859711286089239"/>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FFAFFF"/>
              </a:gs>
              <a:gs pos="60829">
                <a:srgbClr val="8F008F"/>
              </a:gs>
              <a:gs pos="100000">
                <a:srgbClr val="FF15FF"/>
              </a:gs>
            </a:gsLst>
            <a:lin ang="162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F200F2"/>
              </a:gs>
              <a:gs pos="60829">
                <a:srgbClr val="8F008F"/>
              </a:gs>
              <a:gs pos="100000">
                <a:srgbClr val="500050"/>
              </a:gs>
            </a:gsLst>
            <a:lin ang="162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200F2"/>
              </a:gs>
              <a:gs pos="60829">
                <a:srgbClr val="8F008F"/>
              </a:gs>
              <a:gs pos="100000">
                <a:srgbClr val="500050"/>
              </a:gs>
            </a:gsLst>
            <a:lin ang="16200000" scaled="1"/>
          </a:gradFill>
          <a:ln>
            <a:noFill/>
          </a:ln>
          <a:effectLst/>
          <a:sp3d/>
        </c:spPr>
        <c:dLbl>
          <c:idx val="0"/>
          <c:layout>
            <c:manualLayout>
              <c:x val="0"/>
              <c:y val="-0.12280803441236512"/>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r>
                  <a:rPr lang="en-US"/>
                  <a:t>Neonatal Death</a:t>
                </a:r>
              </a:p>
              <a:p>
                <a:pPr>
                  <a:defRPr>
                    <a:solidFill>
                      <a:sysClr val="windowText" lastClr="000000"/>
                    </a:solidFill>
                    <a:latin typeface="Lato Black" panose="020F0A02020204030203" pitchFamily="34" charset="0"/>
                  </a:defRPr>
                </a:pPr>
                <a:fld id="{8E04D315-A8DE-414C-A68A-7F4321F44F50}" type="VALUE">
                  <a:rPr lang="en-US"/>
                  <a:pPr>
                    <a:defRPr>
                      <a:solidFill>
                        <a:sysClr val="windowText" lastClr="000000"/>
                      </a:solidFill>
                      <a:latin typeface="Lato Black" panose="020F0A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a:gsLst>
              <a:gs pos="0">
                <a:srgbClr val="FFAFFF"/>
              </a:gs>
              <a:gs pos="60829">
                <a:srgbClr val="8F008F"/>
              </a:gs>
              <a:gs pos="100000">
                <a:srgbClr val="FF15FF"/>
              </a:gs>
            </a:gsLst>
            <a:lin ang="16200000" scaled="1"/>
          </a:gradFill>
          <a:ln>
            <a:noFill/>
          </a:ln>
          <a:effectLst/>
          <a:sp3d/>
        </c:spPr>
        <c:dLbl>
          <c:idx val="0"/>
          <c:layout>
            <c:manualLayout>
              <c:x val="3.3333333333333333E-2"/>
              <c:y val="1.38888888888888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a:solidFill>
                      <a:sysClr val="windowText" lastClr="000000"/>
                    </a:solidFill>
                    <a:latin typeface="Lato Black" panose="020F0A02020204030203" pitchFamily="34" charset="0"/>
                  </a:defRPr>
                </a:pPr>
                <a:fld id="{AFA61AD1-F318-44DA-9256-D8BEB824450E}" type="VALUE">
                  <a:rPr lang="en-US"/>
                  <a:pPr>
                    <a:defRPr>
                      <a:solidFill>
                        <a:sysClr val="windowText" lastClr="000000"/>
                      </a:solidFill>
                      <a:latin typeface="Lato Black" panose="020F0A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a:gsLst>
              <a:gs pos="0">
                <a:srgbClr val="F200F2"/>
              </a:gs>
              <a:gs pos="60829">
                <a:srgbClr val="8F008F"/>
              </a:gs>
              <a:gs pos="100000">
                <a:srgbClr val="500050"/>
              </a:gs>
            </a:gsLst>
            <a:lin ang="16200000" scaled="1"/>
          </a:gradFill>
          <a:ln>
            <a:noFill/>
          </a:ln>
          <a:effectLst/>
          <a:sp3d/>
        </c:spPr>
        <c:dLbl>
          <c:idx val="0"/>
          <c:layout>
            <c:manualLayout>
              <c:x val="3.0555555555555555E-2"/>
              <c:y val="-2.3148148148148234E-2"/>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r>
                  <a:rPr lang="en-US"/>
                  <a:t>Neonatal Death</a:t>
                </a:r>
              </a:p>
              <a:p>
                <a:pPr>
                  <a:defRPr>
                    <a:solidFill>
                      <a:sysClr val="windowText" lastClr="000000"/>
                    </a:solidFill>
                    <a:latin typeface="Lato Black" panose="020F0A02020204030203" pitchFamily="34" charset="0"/>
                  </a:defRPr>
                </a:pPr>
                <a:fld id="{BDBC405D-A31B-476B-92A8-DD8C027B258A}" type="VALUE">
                  <a:rPr lang="en-US"/>
                  <a:pPr>
                    <a:defRPr>
                      <a:solidFill>
                        <a:sysClr val="windowText" lastClr="000000"/>
                      </a:solidFill>
                      <a:latin typeface="Lato Black" panose="020F0A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a:gsLst>
              <a:gs pos="0">
                <a:srgbClr val="FFAFFF"/>
              </a:gs>
              <a:gs pos="60829">
                <a:srgbClr val="8F008F"/>
              </a:gs>
              <a:gs pos="100000">
                <a:srgbClr val="FF15FF"/>
              </a:gs>
            </a:gsLst>
            <a:lin ang="16200000" scaled="1"/>
          </a:gradFill>
          <a:ln>
            <a:noFill/>
          </a:ln>
          <a:effectLst/>
          <a:sp3d/>
        </c:spPr>
        <c:dLbl>
          <c:idx val="0"/>
          <c:layout>
            <c:manualLayout>
              <c:x val="3.0555555555555555E-2"/>
              <c:y val="1.38888888888888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a:solidFill>
                      <a:sysClr val="windowText" lastClr="000000"/>
                    </a:solidFill>
                    <a:latin typeface="Lato Black" panose="020F0A02020204030203" pitchFamily="34" charset="0"/>
                  </a:defRPr>
                </a:pPr>
                <a:fld id="{E9D45894-C53B-47C2-8735-BEE792B702EF}" type="VALUE">
                  <a:rPr lang="en-US"/>
                  <a:pPr>
                    <a:defRPr>
                      <a:solidFill>
                        <a:sysClr val="windowText" lastClr="000000"/>
                      </a:solidFill>
                      <a:latin typeface="Lato Black" panose="020F0A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727012248468944"/>
          <c:y val="0.14629629629629629"/>
          <c:w val="0.61717432195975508"/>
          <c:h val="0.84444444444444444"/>
        </c:manualLayout>
      </c:layout>
      <c:bar3DChart>
        <c:barDir val="bar"/>
        <c:grouping val="clustered"/>
        <c:varyColors val="0"/>
        <c:ser>
          <c:idx val="0"/>
          <c:order val="0"/>
          <c:tx>
            <c:strRef>
              <c:f>Kundapura_pivot!$B$30:$B$31</c:f>
              <c:strCache>
                <c:ptCount val="1"/>
                <c:pt idx="0">
                  <c:v>Infant Death</c:v>
                </c:pt>
              </c:strCache>
            </c:strRef>
          </c:tx>
          <c:spPr>
            <a:gradFill>
              <a:gsLst>
                <a:gs pos="0">
                  <a:srgbClr val="FFAFFF"/>
                </a:gs>
                <a:gs pos="60829">
                  <a:srgbClr val="8F008F"/>
                </a:gs>
                <a:gs pos="100000">
                  <a:srgbClr val="FF15FF"/>
                </a:gs>
              </a:gsLst>
              <a:lin ang="16200000" scaled="1"/>
            </a:gradFill>
            <a:ln>
              <a:noFill/>
            </a:ln>
            <a:effectLst/>
            <a:sp3d/>
          </c:spPr>
          <c:invertIfNegative val="0"/>
          <c:dPt>
            <c:idx val="0"/>
            <c:invertIfNegative val="0"/>
            <c:bubble3D val="0"/>
            <c:extLst>
              <c:ext xmlns:c16="http://schemas.microsoft.com/office/drawing/2014/chart" uri="{C3380CC4-5D6E-409C-BE32-E72D297353CC}">
                <c16:uniqueId val="{00000006-18D4-4290-9BDF-D730F0B9E31B}"/>
              </c:ext>
            </c:extLst>
          </c:dPt>
          <c:dPt>
            <c:idx val="1"/>
            <c:invertIfNegative val="0"/>
            <c:bubble3D val="0"/>
            <c:extLst>
              <c:ext xmlns:c16="http://schemas.microsoft.com/office/drawing/2014/chart" uri="{C3380CC4-5D6E-409C-BE32-E72D297353CC}">
                <c16:uniqueId val="{00000004-18D4-4290-9BDF-D730F0B9E31B}"/>
              </c:ext>
            </c:extLst>
          </c:dPt>
          <c:dLbls>
            <c:dLbl>
              <c:idx val="0"/>
              <c:layout>
                <c:manualLayout>
                  <c:x val="3.0555555555555555E-2"/>
                  <c:y val="1.3888888888888888E-2"/>
                </c:manualLayout>
              </c:layout>
              <c:tx>
                <c:rich>
                  <a:bodyPr/>
                  <a:lstStyle/>
                  <a:p>
                    <a:r>
                      <a:rPr lang="en-US"/>
                      <a:t>Infant Death</a:t>
                    </a:r>
                  </a:p>
                  <a:p>
                    <a:fld id="{E9D45894-C53B-47C2-8735-BEE792B702EF}"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18D4-4290-9BDF-D730F0B9E31B}"/>
                </c:ext>
              </c:extLst>
            </c:dLbl>
            <c:dLbl>
              <c:idx val="1"/>
              <c:layout>
                <c:manualLayout>
                  <c:x val="3.3333333333333333E-2"/>
                  <c:y val="1.3888888888888846E-2"/>
                </c:manualLayout>
              </c:layout>
              <c:tx>
                <c:rich>
                  <a:bodyPr/>
                  <a:lstStyle/>
                  <a:p>
                    <a:r>
                      <a:rPr lang="en-US"/>
                      <a:t>Infant Death</a:t>
                    </a:r>
                  </a:p>
                  <a:p>
                    <a:fld id="{AFA61AD1-F318-44DA-9256-D8BEB824450E}"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18D4-4290-9BDF-D730F0B9E3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Kundapura_pivot!$A$32:$A$34</c:f>
              <c:strCache>
                <c:ptCount val="2"/>
                <c:pt idx="0">
                  <c:v>Without High Risk Pregnancy</c:v>
                </c:pt>
                <c:pt idx="1">
                  <c:v>With High Risk Pregnancy</c:v>
                </c:pt>
              </c:strCache>
            </c:strRef>
          </c:cat>
          <c:val>
            <c:numRef>
              <c:f>Kundapura_pivot!$B$32:$B$34</c:f>
              <c:numCache>
                <c:formatCode>General</c:formatCode>
                <c:ptCount val="2"/>
                <c:pt idx="0">
                  <c:v>5</c:v>
                </c:pt>
                <c:pt idx="1">
                  <c:v>7</c:v>
                </c:pt>
              </c:numCache>
            </c:numRef>
          </c:val>
          <c:shape val="cylinder"/>
          <c:extLst>
            <c:ext xmlns:c16="http://schemas.microsoft.com/office/drawing/2014/chart" uri="{C3380CC4-5D6E-409C-BE32-E72D297353CC}">
              <c16:uniqueId val="{00000000-18D4-4290-9BDF-D730F0B9E31B}"/>
            </c:ext>
          </c:extLst>
        </c:ser>
        <c:ser>
          <c:idx val="1"/>
          <c:order val="1"/>
          <c:tx>
            <c:strRef>
              <c:f>Kundapura_pivot!$C$30:$C$31</c:f>
              <c:strCache>
                <c:ptCount val="1"/>
                <c:pt idx="0">
                  <c:v>Neonatal Death</c:v>
                </c:pt>
              </c:strCache>
            </c:strRef>
          </c:tx>
          <c:spPr>
            <a:gradFill>
              <a:gsLst>
                <a:gs pos="0">
                  <a:srgbClr val="F200F2"/>
                </a:gs>
                <a:gs pos="60829">
                  <a:srgbClr val="8F008F"/>
                </a:gs>
                <a:gs pos="100000">
                  <a:srgbClr val="500050"/>
                </a:gs>
              </a:gsLst>
              <a:lin ang="16200000" scaled="1"/>
            </a:gradFill>
            <a:ln>
              <a:noFill/>
            </a:ln>
            <a:effectLst/>
            <a:sp3d/>
          </c:spPr>
          <c:invertIfNegative val="0"/>
          <c:dPt>
            <c:idx val="0"/>
            <c:invertIfNegative val="0"/>
            <c:bubble3D val="0"/>
            <c:extLst>
              <c:ext xmlns:c16="http://schemas.microsoft.com/office/drawing/2014/chart" uri="{C3380CC4-5D6E-409C-BE32-E72D297353CC}">
                <c16:uniqueId val="{00000002-8108-4DE5-8D59-E414976DAA53}"/>
              </c:ext>
            </c:extLst>
          </c:dPt>
          <c:dPt>
            <c:idx val="1"/>
            <c:invertIfNegative val="0"/>
            <c:bubble3D val="0"/>
            <c:extLst>
              <c:ext xmlns:c16="http://schemas.microsoft.com/office/drawing/2014/chart" uri="{C3380CC4-5D6E-409C-BE32-E72D297353CC}">
                <c16:uniqueId val="{00000003-8108-4DE5-8D59-E414976DAA53}"/>
              </c:ext>
            </c:extLst>
          </c:dPt>
          <c:dLbls>
            <c:dLbl>
              <c:idx val="0"/>
              <c:layout>
                <c:manualLayout>
                  <c:x val="3.0555555555555555E-2"/>
                  <c:y val="-2.3148148148148234E-2"/>
                </c:manualLayout>
              </c:layout>
              <c:tx>
                <c:rich>
                  <a:bodyPr/>
                  <a:lstStyle/>
                  <a:p>
                    <a:r>
                      <a:rPr lang="en-US"/>
                      <a:t>Neonatal Death</a:t>
                    </a:r>
                  </a:p>
                  <a:p>
                    <a:fld id="{BDBC405D-A31B-476B-92A8-DD8C027B258A}"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108-4DE5-8D59-E414976DAA53}"/>
                </c:ext>
              </c:extLst>
            </c:dLbl>
            <c:dLbl>
              <c:idx val="1"/>
              <c:layout>
                <c:manualLayout>
                  <c:x val="0"/>
                  <c:y val="-0.12280803441236512"/>
                </c:manualLayout>
              </c:layout>
              <c:tx>
                <c:rich>
                  <a:bodyPr/>
                  <a:lstStyle/>
                  <a:p>
                    <a:r>
                      <a:rPr lang="en-US"/>
                      <a:t>Neonatal Death</a:t>
                    </a:r>
                  </a:p>
                  <a:p>
                    <a:fld id="{8E04D315-A8DE-414C-A68A-7F4321F44F50}"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108-4DE5-8D59-E414976DAA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Kundapura_pivot!$A$32:$A$34</c:f>
              <c:strCache>
                <c:ptCount val="2"/>
                <c:pt idx="0">
                  <c:v>Without High Risk Pregnancy</c:v>
                </c:pt>
                <c:pt idx="1">
                  <c:v>With High Risk Pregnancy</c:v>
                </c:pt>
              </c:strCache>
            </c:strRef>
          </c:cat>
          <c:val>
            <c:numRef>
              <c:f>Kundapura_pivot!$C$32:$C$34</c:f>
              <c:numCache>
                <c:formatCode>General</c:formatCode>
                <c:ptCount val="2"/>
                <c:pt idx="0">
                  <c:v>4</c:v>
                </c:pt>
                <c:pt idx="1">
                  <c:v>15</c:v>
                </c:pt>
              </c:numCache>
            </c:numRef>
          </c:val>
          <c:extLst>
            <c:ext xmlns:c16="http://schemas.microsoft.com/office/drawing/2014/chart" uri="{C3380CC4-5D6E-409C-BE32-E72D297353CC}">
              <c16:uniqueId val="{00000003-9F5E-4B2C-B86D-D476A9482713}"/>
            </c:ext>
          </c:extLst>
        </c:ser>
        <c:dLbls>
          <c:showLegendKey val="0"/>
          <c:showVal val="1"/>
          <c:showCatName val="0"/>
          <c:showSerName val="0"/>
          <c:showPercent val="0"/>
          <c:showBubbleSize val="0"/>
        </c:dLbls>
        <c:gapWidth val="150"/>
        <c:shape val="box"/>
        <c:axId val="1358718080"/>
        <c:axId val="1358709440"/>
        <c:axId val="0"/>
      </c:bar3DChart>
      <c:catAx>
        <c:axId val="1358718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1358709440"/>
        <c:crosses val="autoZero"/>
        <c:auto val="1"/>
        <c:lblAlgn val="ctr"/>
        <c:lblOffset val="100"/>
        <c:noMultiLvlLbl val="0"/>
      </c:catAx>
      <c:valAx>
        <c:axId val="1358709440"/>
        <c:scaling>
          <c:orientation val="minMax"/>
        </c:scaling>
        <c:delete val="1"/>
        <c:axPos val="b"/>
        <c:numFmt formatCode="General" sourceLinked="1"/>
        <c:majorTickMark val="none"/>
        <c:minorTickMark val="none"/>
        <c:tickLblPos val="nextTo"/>
        <c:crossAx val="135871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death_copy.xlsx]Kundapura_pivot!Delivary_type(K2)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kern="1200" baseline="0">
                <a:solidFill>
                  <a:schemeClr val="tx1"/>
                </a:solidFill>
                <a:latin typeface="Lato Black" panose="020F0A02020204030203" pitchFamily="34" charset="0"/>
              </a:rPr>
              <a:t>Delivery Type &amp; Death Category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3.02114803625377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58965102286293E-2"/>
              <c:y val="-4.5317220543806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0084235860409147E-3"/>
              <c:y val="-2.51762336354481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0084235860409147E-3"/>
              <c:y val="-4.53172205438066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310701460151414"/>
          <c:y val="0.23648095725194471"/>
          <c:w val="0.73087613822640396"/>
          <c:h val="0.52403517536138799"/>
        </c:manualLayout>
      </c:layout>
      <c:bar3DChart>
        <c:barDir val="col"/>
        <c:grouping val="clustered"/>
        <c:varyColors val="0"/>
        <c:ser>
          <c:idx val="0"/>
          <c:order val="0"/>
          <c:tx>
            <c:strRef>
              <c:f>Kundapura_pivot!$B$9:$B$10</c:f>
              <c:strCache>
                <c:ptCount val="1"/>
                <c:pt idx="0">
                  <c:v>Infant Death</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E082-477F-8154-8E380C51BDC8}"/>
              </c:ext>
            </c:extLst>
          </c:dPt>
          <c:dPt>
            <c:idx val="1"/>
            <c:invertIfNegative val="0"/>
            <c:bubble3D val="0"/>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082-477F-8154-8E380C51BDC8}"/>
              </c:ext>
            </c:extLst>
          </c:dPt>
          <c:dLbls>
            <c:dLbl>
              <c:idx val="0"/>
              <c:layout>
                <c:manualLayout>
                  <c:x val="-3.0084235860409147E-3"/>
                  <c:y val="-4.53172205438066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82-477F-8154-8E380C51BDC8}"/>
                </c:ext>
              </c:extLst>
            </c:dLbl>
            <c:dLbl>
              <c:idx val="1"/>
              <c:layout>
                <c:manualLayout>
                  <c:x val="0"/>
                  <c:y val="-3.02114803625377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82-477F-8154-8E380C51BD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Kundapura_pivot!$A$11:$A$13</c:f>
              <c:strCache>
                <c:ptCount val="2"/>
                <c:pt idx="0">
                  <c:v>LSCS</c:v>
                </c:pt>
                <c:pt idx="1">
                  <c:v>Normal</c:v>
                </c:pt>
              </c:strCache>
            </c:strRef>
          </c:cat>
          <c:val>
            <c:numRef>
              <c:f>Kundapura_pivot!$B$11:$B$13</c:f>
              <c:numCache>
                <c:formatCode>General</c:formatCode>
                <c:ptCount val="2"/>
                <c:pt idx="0">
                  <c:v>7</c:v>
                </c:pt>
                <c:pt idx="1">
                  <c:v>5</c:v>
                </c:pt>
              </c:numCache>
            </c:numRef>
          </c:val>
          <c:extLst>
            <c:ext xmlns:c16="http://schemas.microsoft.com/office/drawing/2014/chart" uri="{C3380CC4-5D6E-409C-BE32-E72D297353CC}">
              <c16:uniqueId val="{00000000-E082-477F-8154-8E380C51BDC8}"/>
            </c:ext>
          </c:extLst>
        </c:ser>
        <c:ser>
          <c:idx val="1"/>
          <c:order val="1"/>
          <c:tx>
            <c:strRef>
              <c:f>Kundapura_pivot!$C$9:$C$10</c:f>
              <c:strCache>
                <c:ptCount val="1"/>
                <c:pt idx="0">
                  <c:v>Neonatal Death</c:v>
                </c:pt>
              </c:strCache>
            </c:strRef>
          </c:tx>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4-519B-4C3B-BA11-8271B7DD3300}"/>
              </c:ext>
            </c:extLst>
          </c:dPt>
          <c:dPt>
            <c:idx val="1"/>
            <c:invertIfNegative val="0"/>
            <c:bubble3D val="0"/>
            <c:extLst>
              <c:ext xmlns:c16="http://schemas.microsoft.com/office/drawing/2014/chart" uri="{C3380CC4-5D6E-409C-BE32-E72D297353CC}">
                <c16:uniqueId val="{00000005-519B-4C3B-BA11-8271B7DD3300}"/>
              </c:ext>
            </c:extLst>
          </c:dPt>
          <c:dLbls>
            <c:dLbl>
              <c:idx val="0"/>
              <c:layout>
                <c:manualLayout>
                  <c:x val="3.0084235860409147E-3"/>
                  <c:y val="-2.51762336354481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19B-4C3B-BA11-8271B7DD3300}"/>
                </c:ext>
              </c:extLst>
            </c:dLbl>
            <c:dLbl>
              <c:idx val="1"/>
              <c:layout>
                <c:manualLayout>
                  <c:x val="2.1058965102286293E-2"/>
                  <c:y val="-4.53172205438067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9B-4C3B-BA11-8271B7DD33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Kundapura_pivot!$A$11:$A$13</c:f>
              <c:strCache>
                <c:ptCount val="2"/>
                <c:pt idx="0">
                  <c:v>LSCS</c:v>
                </c:pt>
                <c:pt idx="1">
                  <c:v>Normal</c:v>
                </c:pt>
              </c:strCache>
            </c:strRef>
          </c:cat>
          <c:val>
            <c:numRef>
              <c:f>Kundapura_pivot!$C$11:$C$13</c:f>
              <c:numCache>
                <c:formatCode>General</c:formatCode>
                <c:ptCount val="2"/>
                <c:pt idx="0">
                  <c:v>16</c:v>
                </c:pt>
                <c:pt idx="1">
                  <c:v>3</c:v>
                </c:pt>
              </c:numCache>
            </c:numRef>
          </c:val>
          <c:extLst>
            <c:ext xmlns:c16="http://schemas.microsoft.com/office/drawing/2014/chart" uri="{C3380CC4-5D6E-409C-BE32-E72D297353CC}">
              <c16:uniqueId val="{00000007-3F53-4178-9EB5-61CBAD8E63C9}"/>
            </c:ext>
          </c:extLst>
        </c:ser>
        <c:dLbls>
          <c:showLegendKey val="0"/>
          <c:showVal val="1"/>
          <c:showCatName val="0"/>
          <c:showSerName val="0"/>
          <c:showPercent val="0"/>
          <c:showBubbleSize val="0"/>
        </c:dLbls>
        <c:gapWidth val="150"/>
        <c:shape val="box"/>
        <c:axId val="803394048"/>
        <c:axId val="803393568"/>
        <c:axId val="0"/>
      </c:bar3DChart>
      <c:catAx>
        <c:axId val="80339404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393568"/>
        <c:crosses val="autoZero"/>
        <c:auto val="1"/>
        <c:lblAlgn val="ctr"/>
        <c:lblOffset val="100"/>
        <c:noMultiLvlLbl val="0"/>
      </c:catAx>
      <c:valAx>
        <c:axId val="803393568"/>
        <c:scaling>
          <c:orientation val="minMax"/>
        </c:scaling>
        <c:delete val="1"/>
        <c:axPos val="l"/>
        <c:numFmt formatCode="General" sourceLinked="1"/>
        <c:majorTickMark val="out"/>
        <c:minorTickMark val="none"/>
        <c:tickLblPos val="nextTo"/>
        <c:crossAx val="803394048"/>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death_copy.xlsx]Kundapura_pivot!gender(K2)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baseline="0">
                <a:solidFill>
                  <a:schemeClr val="tx1"/>
                </a:solidFill>
                <a:latin typeface="Lato Black" panose="020F0A02020204030203" pitchFamily="34" charset="0"/>
              </a:rPr>
              <a:t>Gender-wise Analysis of Infant &amp; Neonatal Deaths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tx2">
                  <a:lumMod val="60000"/>
                  <a:lumOff val="40000"/>
                </a:schemeClr>
              </a:gs>
              <a:gs pos="100000">
                <a:schemeClr val="tx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60000"/>
                  <a:lumOff val="40000"/>
                </a:schemeClr>
              </a:gs>
              <a:gs pos="100000">
                <a:schemeClr val="tx2">
                  <a:lumMod val="75000"/>
                </a:schemeClr>
              </a:gs>
            </a:gsLst>
            <a:lin ang="5400000" scaled="1"/>
          </a:gradFill>
          <a:ln>
            <a:noFill/>
          </a:ln>
          <a:effectLst/>
        </c:spPr>
        <c:dLbl>
          <c:idx val="0"/>
          <c:layout>
            <c:manualLayout>
              <c:x val="-5.555555555555555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tx2">
                  <a:lumMod val="60000"/>
                  <a:lumOff val="40000"/>
                </a:schemeClr>
              </a:gs>
              <a:gs pos="100000">
                <a:schemeClr val="tx2">
                  <a:lumMod val="75000"/>
                </a:schemeClr>
              </a:gs>
            </a:gsLst>
            <a:lin ang="5400000" scaled="1"/>
          </a:gradFill>
          <a:ln>
            <a:noFill/>
          </a:ln>
          <a:effectLst/>
        </c:spPr>
        <c:dLbl>
          <c:idx val="0"/>
          <c:layout>
            <c:manualLayout>
              <c:x val="6.9444444444444337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3.3333333333333437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1666666666666664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803149606299215E-2"/>
          <c:y val="0.12541666666666668"/>
          <c:w val="0.98341907261592298"/>
          <c:h val="0.7260954359871683"/>
        </c:manualLayout>
      </c:layout>
      <c:barChart>
        <c:barDir val="col"/>
        <c:grouping val="clustered"/>
        <c:varyColors val="0"/>
        <c:ser>
          <c:idx val="0"/>
          <c:order val="0"/>
          <c:tx>
            <c:strRef>
              <c:f>Kundapura_pivot!$B$16:$B$17</c:f>
              <c:strCache>
                <c:ptCount val="1"/>
                <c:pt idx="0">
                  <c:v>Female</c:v>
                </c:pt>
              </c:strCache>
            </c:strRef>
          </c:tx>
          <c:spPr>
            <a:gradFill>
              <a:gsLst>
                <a:gs pos="0">
                  <a:schemeClr val="tx2">
                    <a:lumMod val="60000"/>
                    <a:lumOff val="40000"/>
                  </a:schemeClr>
                </a:gs>
                <a:gs pos="100000">
                  <a:schemeClr val="tx2">
                    <a:lumMod val="75000"/>
                  </a:schemeClr>
                </a:gs>
              </a:gsLst>
              <a:lin ang="5400000" scaled="1"/>
            </a:gradFill>
            <a:ln>
              <a:noFill/>
            </a:ln>
            <a:effectLst/>
          </c:spPr>
          <c:invertIfNegative val="0"/>
          <c:dPt>
            <c:idx val="0"/>
            <c:invertIfNegative val="0"/>
            <c:bubble3D val="0"/>
            <c:extLst>
              <c:ext xmlns:c16="http://schemas.microsoft.com/office/drawing/2014/chart" uri="{C3380CC4-5D6E-409C-BE32-E72D297353CC}">
                <c16:uniqueId val="{00000003-51F8-4DCB-9A8A-A3BEE41C90E7}"/>
              </c:ext>
            </c:extLst>
          </c:dPt>
          <c:dPt>
            <c:idx val="1"/>
            <c:invertIfNegative val="0"/>
            <c:bubble3D val="0"/>
            <c:extLst>
              <c:ext xmlns:c16="http://schemas.microsoft.com/office/drawing/2014/chart" uri="{C3380CC4-5D6E-409C-BE32-E72D297353CC}">
                <c16:uniqueId val="{00000004-51F8-4DCB-9A8A-A3BEE41C90E7}"/>
              </c:ext>
            </c:extLst>
          </c:dPt>
          <c:dLbls>
            <c:dLbl>
              <c:idx val="0"/>
              <c:layout>
                <c:manualLayout>
                  <c:x val="-5.5555555555555552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F8-4DCB-9A8A-A3BEE41C90E7}"/>
                </c:ext>
              </c:extLst>
            </c:dLbl>
            <c:dLbl>
              <c:idx val="1"/>
              <c:layout>
                <c:manualLayout>
                  <c:x val="6.9444444444444337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1F8-4DCB-9A8A-A3BEE41C90E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Kundapura_pivot!$A$18:$A$20</c:f>
              <c:strCache>
                <c:ptCount val="2"/>
                <c:pt idx="0">
                  <c:v>Infant Death</c:v>
                </c:pt>
                <c:pt idx="1">
                  <c:v>Neonatal Death</c:v>
                </c:pt>
              </c:strCache>
            </c:strRef>
          </c:cat>
          <c:val>
            <c:numRef>
              <c:f>Kundapura_pivot!$B$18:$B$20</c:f>
              <c:numCache>
                <c:formatCode>General</c:formatCode>
                <c:ptCount val="2"/>
                <c:pt idx="0">
                  <c:v>5</c:v>
                </c:pt>
                <c:pt idx="1">
                  <c:v>9</c:v>
                </c:pt>
              </c:numCache>
            </c:numRef>
          </c:val>
          <c:extLst>
            <c:ext xmlns:c16="http://schemas.microsoft.com/office/drawing/2014/chart" uri="{C3380CC4-5D6E-409C-BE32-E72D297353CC}">
              <c16:uniqueId val="{00000000-51F8-4DCB-9A8A-A3BEE41C90E7}"/>
            </c:ext>
          </c:extLst>
        </c:ser>
        <c:ser>
          <c:idx val="1"/>
          <c:order val="1"/>
          <c:tx>
            <c:strRef>
              <c:f>Kundapura_pivot!$C$16:$C$17</c:f>
              <c:strCache>
                <c:ptCount val="1"/>
                <c:pt idx="0">
                  <c:v>Male</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2-C50E-43B9-8CE7-2168ED4F77D9}"/>
              </c:ext>
            </c:extLst>
          </c:dPt>
          <c:dPt>
            <c:idx val="1"/>
            <c:invertIfNegative val="0"/>
            <c:bubble3D val="0"/>
            <c:extLst>
              <c:ext xmlns:c16="http://schemas.microsoft.com/office/drawing/2014/chart" uri="{C3380CC4-5D6E-409C-BE32-E72D297353CC}">
                <c16:uniqueId val="{00000003-C50E-43B9-8CE7-2168ED4F77D9}"/>
              </c:ext>
            </c:extLst>
          </c:dPt>
          <c:dLbls>
            <c:dLbl>
              <c:idx val="0"/>
              <c:layout>
                <c:manualLayout>
                  <c:x val="-4.1666666666666664E-2"/>
                  <c:y val="-1.8518518518518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0E-43B9-8CE7-2168ED4F77D9}"/>
                </c:ext>
              </c:extLst>
            </c:dLbl>
            <c:dLbl>
              <c:idx val="1"/>
              <c:layout>
                <c:manualLayout>
                  <c:x val="-3.3333333333333437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0E-43B9-8CE7-2168ED4F77D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Kundapura_pivot!$A$18:$A$20</c:f>
              <c:strCache>
                <c:ptCount val="2"/>
                <c:pt idx="0">
                  <c:v>Infant Death</c:v>
                </c:pt>
                <c:pt idx="1">
                  <c:v>Neonatal Death</c:v>
                </c:pt>
              </c:strCache>
            </c:strRef>
          </c:cat>
          <c:val>
            <c:numRef>
              <c:f>Kundapura_pivot!$C$18:$C$20</c:f>
              <c:numCache>
                <c:formatCode>General</c:formatCode>
                <c:ptCount val="2"/>
                <c:pt idx="0">
                  <c:v>7</c:v>
                </c:pt>
                <c:pt idx="1">
                  <c:v>10</c:v>
                </c:pt>
              </c:numCache>
            </c:numRef>
          </c:val>
          <c:extLst>
            <c:ext xmlns:c16="http://schemas.microsoft.com/office/drawing/2014/chart" uri="{C3380CC4-5D6E-409C-BE32-E72D297353CC}">
              <c16:uniqueId val="{00000003-3B57-4159-B4C4-199BA020E42A}"/>
            </c:ext>
          </c:extLst>
        </c:ser>
        <c:dLbls>
          <c:showLegendKey val="0"/>
          <c:showVal val="1"/>
          <c:showCatName val="0"/>
          <c:showSerName val="0"/>
          <c:showPercent val="0"/>
          <c:showBubbleSize val="0"/>
        </c:dLbls>
        <c:gapWidth val="219"/>
        <c:overlap val="-27"/>
        <c:axId val="1151488736"/>
        <c:axId val="1151494016"/>
      </c:barChart>
      <c:catAx>
        <c:axId val="115148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151494016"/>
        <c:crosses val="autoZero"/>
        <c:auto val="1"/>
        <c:lblAlgn val="ctr"/>
        <c:lblOffset val="100"/>
        <c:noMultiLvlLbl val="0"/>
      </c:catAx>
      <c:valAx>
        <c:axId val="1151494016"/>
        <c:scaling>
          <c:orientation val="minMax"/>
        </c:scaling>
        <c:delete val="1"/>
        <c:axPos val="l"/>
        <c:numFmt formatCode="General" sourceLinked="1"/>
        <c:majorTickMark val="none"/>
        <c:minorTickMark val="none"/>
        <c:tickLblPos val="nextTo"/>
        <c:crossAx val="1151488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death_copy.xlsx]Kundapura_pivot!Preventable(K2)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rgbClr val="E64D10"/>
              </a:gs>
              <a:gs pos="99000">
                <a:srgbClr val="CB0707"/>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E90D22"/>
              </a:gs>
              <a:gs pos="99000">
                <a:srgbClr val="850505"/>
              </a:gs>
            </a:gsLst>
            <a:lin ang="5400000" scaled="1"/>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86900501073731"/>
          <c:y val="0.26025886018633643"/>
          <c:w val="0.70646695299451201"/>
          <c:h val="0.5079599699160412"/>
        </c:manualLayout>
      </c:layout>
      <c:areaChart>
        <c:grouping val="stacked"/>
        <c:varyColors val="0"/>
        <c:ser>
          <c:idx val="0"/>
          <c:order val="0"/>
          <c:tx>
            <c:strRef>
              <c:f>Kundapura_pivot!$B$23:$B$24</c:f>
              <c:strCache>
                <c:ptCount val="1"/>
                <c:pt idx="0">
                  <c:v>Infant Death</c:v>
                </c:pt>
              </c:strCache>
            </c:strRef>
          </c:tx>
          <c:spPr>
            <a:gradFill rotWithShape="1">
              <a:gsLst>
                <a:gs pos="0">
                  <a:srgbClr val="E64D10"/>
                </a:gs>
                <a:gs pos="99000">
                  <a:srgbClr val="CB0707"/>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Kundapura_pivot!$A$25:$A$27</c:f>
              <c:strCache>
                <c:ptCount val="2"/>
                <c:pt idx="0">
                  <c:v>Non-Preventable</c:v>
                </c:pt>
                <c:pt idx="1">
                  <c:v>Preventable</c:v>
                </c:pt>
              </c:strCache>
            </c:strRef>
          </c:cat>
          <c:val>
            <c:numRef>
              <c:f>Kundapura_pivot!$B$25:$B$27</c:f>
              <c:numCache>
                <c:formatCode>General</c:formatCode>
                <c:ptCount val="2"/>
                <c:pt idx="0">
                  <c:v>5</c:v>
                </c:pt>
                <c:pt idx="1">
                  <c:v>7</c:v>
                </c:pt>
              </c:numCache>
            </c:numRef>
          </c:val>
          <c:extLst>
            <c:ext xmlns:c16="http://schemas.microsoft.com/office/drawing/2014/chart" uri="{C3380CC4-5D6E-409C-BE32-E72D297353CC}">
              <c16:uniqueId val="{00000000-F077-438D-BFA5-4C11A70F5C16}"/>
            </c:ext>
          </c:extLst>
        </c:ser>
        <c:ser>
          <c:idx val="1"/>
          <c:order val="1"/>
          <c:tx>
            <c:strRef>
              <c:f>Kundapura_pivot!$C$23:$C$24</c:f>
              <c:strCache>
                <c:ptCount val="1"/>
                <c:pt idx="0">
                  <c:v>Neonatal Death</c:v>
                </c:pt>
              </c:strCache>
            </c:strRef>
          </c:tx>
          <c:spPr>
            <a:gradFill rotWithShape="1">
              <a:gsLst>
                <a:gs pos="0">
                  <a:srgbClr val="E90D22"/>
                </a:gs>
                <a:gs pos="99000">
                  <a:srgbClr val="850505"/>
                </a:gs>
              </a:gsLst>
              <a:lin ang="5400000" scaled="1"/>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Kundapura_pivot!$A$25:$A$27</c:f>
              <c:strCache>
                <c:ptCount val="2"/>
                <c:pt idx="0">
                  <c:v>Non-Preventable</c:v>
                </c:pt>
                <c:pt idx="1">
                  <c:v>Preventable</c:v>
                </c:pt>
              </c:strCache>
            </c:strRef>
          </c:cat>
          <c:val>
            <c:numRef>
              <c:f>Kundapura_pivot!$C$25:$C$27</c:f>
              <c:numCache>
                <c:formatCode>General</c:formatCode>
                <c:ptCount val="2"/>
                <c:pt idx="0">
                  <c:v>18</c:v>
                </c:pt>
                <c:pt idx="1">
                  <c:v>1</c:v>
                </c:pt>
              </c:numCache>
            </c:numRef>
          </c:val>
          <c:extLst>
            <c:ext xmlns:c16="http://schemas.microsoft.com/office/drawing/2014/chart" uri="{C3380CC4-5D6E-409C-BE32-E72D297353CC}">
              <c16:uniqueId val="{00000001-98F2-4F89-951F-BB5C9BB2BA62}"/>
            </c:ext>
          </c:extLst>
        </c:ser>
        <c:dLbls>
          <c:showLegendKey val="0"/>
          <c:showVal val="0"/>
          <c:showCatName val="0"/>
          <c:showSerName val="0"/>
          <c:showPercent val="0"/>
          <c:showBubbleSize val="0"/>
        </c:dLbls>
        <c:axId val="1151485856"/>
        <c:axId val="1151484416"/>
      </c:areaChart>
      <c:valAx>
        <c:axId val="1151484416"/>
        <c:scaling>
          <c:orientation val="minMax"/>
          <c:max val="7"/>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151485856"/>
        <c:crosses val="max"/>
        <c:crossBetween val="between"/>
      </c:valAx>
      <c:catAx>
        <c:axId val="1151485856"/>
        <c:scaling>
          <c:orientation val="minMax"/>
        </c:scaling>
        <c:delete val="1"/>
        <c:axPos val="b"/>
        <c:numFmt formatCode="General" sourceLinked="1"/>
        <c:majorTickMark val="none"/>
        <c:minorTickMark val="none"/>
        <c:tickLblPos val="nextTo"/>
        <c:crossAx val="1151484416"/>
        <c:crosses val="autoZero"/>
        <c:auto val="1"/>
        <c:lblAlgn val="ctr"/>
        <c:lblOffset val="100"/>
        <c:noMultiLvlLbl val="0"/>
      </c:cat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legend>
      <c:legendPos val="t"/>
      <c:layout>
        <c:manualLayout>
          <c:xMode val="edge"/>
          <c:yMode val="edge"/>
          <c:x val="0.28500262467191601"/>
          <c:y val="0.15365497076023391"/>
          <c:w val="0.57881842042471965"/>
          <c:h val="9.0028932786910404E-2"/>
        </c:manualLayout>
      </c:layou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death_copy.xlsx]Udupi_pivot!LBW_ud</c:name>
    <c:fmtId val="0"/>
  </c:pivotSource>
  <c:chart>
    <c:title>
      <c:tx>
        <c:rich>
          <a:bodyPr rot="0" spcFirstLastPara="1" vertOverflow="ellipsis" vert="horz" wrap="square" anchor="ctr" anchorCtr="1"/>
          <a:lstStyle/>
          <a:p>
            <a:pPr>
              <a:defRPr sz="1260" b="1" i="0" u="none" strike="noStrike" kern="1200" baseline="0">
                <a:solidFill>
                  <a:sysClr val="windowText" lastClr="000000"/>
                </a:solidFill>
                <a:latin typeface="Lato Black" panose="020F0A02020204030203" pitchFamily="34" charset="0"/>
                <a:ea typeface="+mn-ea"/>
                <a:cs typeface="+mn-cs"/>
              </a:defRPr>
            </a:pPr>
            <a:r>
              <a:rPr lang="en-IN"/>
              <a:t>Infant Deaths by LBW Status</a:t>
            </a:r>
          </a:p>
        </c:rich>
      </c:tx>
      <c:overlay val="0"/>
      <c:spPr>
        <a:noFill/>
        <a:ln>
          <a:noFill/>
        </a:ln>
        <a:effectLst/>
      </c:spPr>
      <c:txPr>
        <a:bodyPr rot="0" spcFirstLastPara="1" vertOverflow="ellipsis" vert="horz" wrap="square" anchor="ctr" anchorCtr="1"/>
        <a:lstStyle/>
        <a:p>
          <a:pPr>
            <a:defRPr sz="126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8587105624142658E-3"/>
              <c:y val="-1.7182130584192441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303419634274114"/>
          <c:y val="0.17485681557846505"/>
          <c:w val="0.81818665413736869"/>
          <c:h val="0.5450564169169575"/>
        </c:manualLayout>
      </c:layout>
      <c:bar3DChart>
        <c:barDir val="bar"/>
        <c:grouping val="clustered"/>
        <c:varyColors val="0"/>
        <c:ser>
          <c:idx val="0"/>
          <c:order val="0"/>
          <c:tx>
            <c:strRef>
              <c:f>Udupi_pivot!$B$52:$B$53</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Udupi_pivot!$A$54:$A$56</c:f>
              <c:strCache>
                <c:ptCount val="2"/>
                <c:pt idx="0">
                  <c:v>LBW: NO</c:v>
                </c:pt>
                <c:pt idx="1">
                  <c:v>LBW: YES</c:v>
                </c:pt>
              </c:strCache>
            </c:strRef>
          </c:cat>
          <c:val>
            <c:numRef>
              <c:f>Udupi_pivot!$B$54:$B$56</c:f>
              <c:numCache>
                <c:formatCode>General</c:formatCode>
                <c:ptCount val="2"/>
                <c:pt idx="0">
                  <c:v>9</c:v>
                </c:pt>
              </c:numCache>
            </c:numRef>
          </c:val>
          <c:extLst>
            <c:ext xmlns:c16="http://schemas.microsoft.com/office/drawing/2014/chart" uri="{C3380CC4-5D6E-409C-BE32-E72D297353CC}">
              <c16:uniqueId val="{00000000-C1DB-4FB7-B2AC-2592E0D96116}"/>
            </c:ext>
          </c:extLst>
        </c:ser>
        <c:ser>
          <c:idx val="1"/>
          <c:order val="1"/>
          <c:tx>
            <c:strRef>
              <c:f>Udupi_pivot!$C$52:$C$53</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53CB-43FC-96F7-E81CA8968E3B}"/>
              </c:ext>
            </c:extLst>
          </c:dPt>
          <c:dLbls>
            <c:dLbl>
              <c:idx val="0"/>
              <c:layout>
                <c:manualLayout>
                  <c:x val="6.8587105624142658E-3"/>
                  <c:y val="-1.71821305841924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3CB-43FC-96F7-E81CA8968E3B}"/>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Udupi_pivot!$A$54:$A$56</c:f>
              <c:strCache>
                <c:ptCount val="2"/>
                <c:pt idx="0">
                  <c:v>LBW: NO</c:v>
                </c:pt>
                <c:pt idx="1">
                  <c:v>LBW: YES</c:v>
                </c:pt>
              </c:strCache>
            </c:strRef>
          </c:cat>
          <c:val>
            <c:numRef>
              <c:f>Udupi_pivot!$C$54:$C$56</c:f>
              <c:numCache>
                <c:formatCode>General</c:formatCode>
                <c:ptCount val="2"/>
                <c:pt idx="0">
                  <c:v>5</c:v>
                </c:pt>
                <c:pt idx="1">
                  <c:v>9</c:v>
                </c:pt>
              </c:numCache>
            </c:numRef>
          </c:val>
          <c:extLst>
            <c:ext xmlns:c16="http://schemas.microsoft.com/office/drawing/2014/chart" uri="{C3380CC4-5D6E-409C-BE32-E72D297353CC}">
              <c16:uniqueId val="{00000001-F65D-46BE-911F-04F38DBFA462}"/>
            </c:ext>
          </c:extLst>
        </c:ser>
        <c:dLbls>
          <c:showLegendKey val="0"/>
          <c:showVal val="1"/>
          <c:showCatName val="0"/>
          <c:showSerName val="0"/>
          <c:showPercent val="0"/>
          <c:showBubbleSize val="0"/>
        </c:dLbls>
        <c:gapWidth val="150"/>
        <c:shape val="box"/>
        <c:axId val="1383473248"/>
        <c:axId val="1383485248"/>
        <c:axId val="0"/>
      </c:bar3DChart>
      <c:catAx>
        <c:axId val="13834732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383485248"/>
        <c:crosses val="autoZero"/>
        <c:auto val="1"/>
        <c:lblAlgn val="ctr"/>
        <c:lblOffset val="100"/>
        <c:noMultiLvlLbl val="0"/>
      </c:catAx>
      <c:valAx>
        <c:axId val="1383485248"/>
        <c:scaling>
          <c:orientation val="minMax"/>
        </c:scaling>
        <c:delete val="1"/>
        <c:axPos val="b"/>
        <c:numFmt formatCode="General" sourceLinked="1"/>
        <c:majorTickMark val="none"/>
        <c:minorTickMark val="none"/>
        <c:tickLblPos val="nextTo"/>
        <c:crossAx val="1383473248"/>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sz="1050">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death_copy.xlsx]Udupi_pivot!extreme_ud</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sng" strike="noStrike" kern="1200" baseline="0">
                <a:solidFill>
                  <a:sysClr val="windowText" lastClr="000000"/>
                </a:solidFill>
                <a:latin typeface="Lato Black" panose="020F0A02020204030203" pitchFamily="34" charset="0"/>
              </a:rPr>
              <a:t>Infant Deaths by Extreme Premature Status</a:t>
            </a:r>
          </a:p>
        </c:rich>
      </c:tx>
      <c:layout>
        <c:manualLayout>
          <c:xMode val="edge"/>
          <c:yMode val="edge"/>
          <c:x val="0.11912489063867017"/>
          <c:y val="1.3888888888888888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2309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2309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Udupi_pivot!$B$59:$B$60</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4-2440-4176-846B-AA3E90A97A8A}"/>
              </c:ext>
            </c:extLst>
          </c:dPt>
          <c:dLbls>
            <c:dLbl>
              <c:idx val="0"/>
              <c:layout>
                <c:manualLayout>
                  <c:x val="8.3333333333332309E-3"/>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40-4176-846B-AA3E90A97A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Udupi_pivot!$A$61:$A$63</c:f>
              <c:strCache>
                <c:ptCount val="2"/>
                <c:pt idx="0">
                  <c:v>Extreme preterm (&lt;28 weeks): NO</c:v>
                </c:pt>
                <c:pt idx="1">
                  <c:v>Extreme preterm (&lt;28 weeks): YES</c:v>
                </c:pt>
              </c:strCache>
            </c:strRef>
          </c:cat>
          <c:val>
            <c:numRef>
              <c:f>Udupi_pivot!$B$61:$B$63</c:f>
              <c:numCache>
                <c:formatCode>General</c:formatCode>
                <c:ptCount val="2"/>
                <c:pt idx="0">
                  <c:v>9</c:v>
                </c:pt>
              </c:numCache>
            </c:numRef>
          </c:val>
          <c:extLst>
            <c:ext xmlns:c16="http://schemas.microsoft.com/office/drawing/2014/chart" uri="{C3380CC4-5D6E-409C-BE32-E72D297353CC}">
              <c16:uniqueId val="{00000000-2440-4176-846B-AA3E90A97A8A}"/>
            </c:ext>
          </c:extLst>
        </c:ser>
        <c:ser>
          <c:idx val="1"/>
          <c:order val="1"/>
          <c:tx>
            <c:strRef>
              <c:f>Udupi_pivot!$C$59:$C$60</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D3BD-46D4-9D19-DE52A9B2401D}"/>
              </c:ext>
            </c:extLst>
          </c:dPt>
          <c:dLbls>
            <c:dLbl>
              <c:idx val="0"/>
              <c:layout>
                <c:manualLayout>
                  <c:x val="8.3333333333332309E-3"/>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BD-46D4-9D19-DE52A9B240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Udupi_pivot!$A$61:$A$63</c:f>
              <c:strCache>
                <c:ptCount val="2"/>
                <c:pt idx="0">
                  <c:v>Extreme preterm (&lt;28 weeks): NO</c:v>
                </c:pt>
                <c:pt idx="1">
                  <c:v>Extreme preterm (&lt;28 weeks): YES</c:v>
                </c:pt>
              </c:strCache>
            </c:strRef>
          </c:cat>
          <c:val>
            <c:numRef>
              <c:f>Udupi_pivot!$C$61:$C$63</c:f>
              <c:numCache>
                <c:formatCode>General</c:formatCode>
                <c:ptCount val="2"/>
                <c:pt idx="0">
                  <c:v>7</c:v>
                </c:pt>
                <c:pt idx="1">
                  <c:v>7</c:v>
                </c:pt>
              </c:numCache>
            </c:numRef>
          </c:val>
          <c:extLst>
            <c:ext xmlns:c16="http://schemas.microsoft.com/office/drawing/2014/chart" uri="{C3380CC4-5D6E-409C-BE32-E72D297353CC}">
              <c16:uniqueId val="{00000002-BAEE-4AFF-AD49-B33725287F63}"/>
            </c:ext>
          </c:extLst>
        </c:ser>
        <c:dLbls>
          <c:showLegendKey val="0"/>
          <c:showVal val="1"/>
          <c:showCatName val="0"/>
          <c:showSerName val="0"/>
          <c:showPercent val="0"/>
          <c:showBubbleSize val="0"/>
        </c:dLbls>
        <c:gapWidth val="150"/>
        <c:shape val="box"/>
        <c:axId val="798034048"/>
        <c:axId val="798034528"/>
        <c:axId val="0"/>
      </c:bar3DChart>
      <c:catAx>
        <c:axId val="7980340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798034528"/>
        <c:crosses val="autoZero"/>
        <c:auto val="1"/>
        <c:lblAlgn val="ctr"/>
        <c:lblOffset val="100"/>
        <c:noMultiLvlLbl val="0"/>
      </c:catAx>
      <c:valAx>
        <c:axId val="798034528"/>
        <c:scaling>
          <c:orientation val="minMax"/>
        </c:scaling>
        <c:delete val="1"/>
        <c:axPos val="b"/>
        <c:numFmt formatCode="General" sourceLinked="1"/>
        <c:majorTickMark val="none"/>
        <c:minorTickMark val="none"/>
        <c:tickLblPos val="nextTo"/>
        <c:crossAx val="798034048"/>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death_copy.xlsx]Udupi_pivot!Early_ud</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sng" strike="noStrike" kern="1200" baseline="0">
                <a:solidFill>
                  <a:sysClr val="windowText" lastClr="000000"/>
                </a:solidFill>
                <a:latin typeface="Lato Black" panose="020F0A02020204030203" pitchFamily="34" charset="0"/>
              </a:rPr>
              <a:t>Infant Deaths by Early Premature Status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Udupi_pivot!$B$66:$B$67</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Udupi_pivot!$A$68:$A$70</c:f>
              <c:strCache>
                <c:ptCount val="2"/>
                <c:pt idx="0">
                  <c:v>Early Premature (28-31 weeks): NO</c:v>
                </c:pt>
                <c:pt idx="1">
                  <c:v>Early Premature (28-31 weeks): YES</c:v>
                </c:pt>
              </c:strCache>
            </c:strRef>
          </c:cat>
          <c:val>
            <c:numRef>
              <c:f>Udupi_pivot!$B$68:$B$70</c:f>
              <c:numCache>
                <c:formatCode>General</c:formatCode>
                <c:ptCount val="2"/>
                <c:pt idx="0">
                  <c:v>9</c:v>
                </c:pt>
              </c:numCache>
            </c:numRef>
          </c:val>
          <c:extLst>
            <c:ext xmlns:c16="http://schemas.microsoft.com/office/drawing/2014/chart" uri="{C3380CC4-5D6E-409C-BE32-E72D297353CC}">
              <c16:uniqueId val="{00000000-2826-449D-8957-6325FB6EA399}"/>
            </c:ext>
          </c:extLst>
        </c:ser>
        <c:ser>
          <c:idx val="1"/>
          <c:order val="1"/>
          <c:tx>
            <c:strRef>
              <c:f>Udupi_pivot!$C$66:$C$67</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Udupi_pivot!$A$68:$A$70</c:f>
              <c:strCache>
                <c:ptCount val="2"/>
                <c:pt idx="0">
                  <c:v>Early Premature (28-31 weeks): NO</c:v>
                </c:pt>
                <c:pt idx="1">
                  <c:v>Early Premature (28-31 weeks): YES</c:v>
                </c:pt>
              </c:strCache>
            </c:strRef>
          </c:cat>
          <c:val>
            <c:numRef>
              <c:f>Udupi_pivot!$C$68:$C$70</c:f>
              <c:numCache>
                <c:formatCode>General</c:formatCode>
                <c:ptCount val="2"/>
                <c:pt idx="0">
                  <c:v>13</c:v>
                </c:pt>
                <c:pt idx="1">
                  <c:v>1</c:v>
                </c:pt>
              </c:numCache>
            </c:numRef>
          </c:val>
          <c:extLst>
            <c:ext xmlns:c16="http://schemas.microsoft.com/office/drawing/2014/chart" uri="{C3380CC4-5D6E-409C-BE32-E72D297353CC}">
              <c16:uniqueId val="{00000000-AF2D-49D7-814D-B900674871CB}"/>
            </c:ext>
          </c:extLst>
        </c:ser>
        <c:dLbls>
          <c:showLegendKey val="0"/>
          <c:showVal val="1"/>
          <c:showCatName val="0"/>
          <c:showSerName val="0"/>
          <c:showPercent val="0"/>
          <c:showBubbleSize val="0"/>
        </c:dLbls>
        <c:gapWidth val="150"/>
        <c:shape val="box"/>
        <c:axId val="1158690256"/>
        <c:axId val="1158701776"/>
        <c:axId val="0"/>
      </c:bar3DChart>
      <c:catAx>
        <c:axId val="11586902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1158701776"/>
        <c:crosses val="autoZero"/>
        <c:auto val="1"/>
        <c:lblAlgn val="ctr"/>
        <c:lblOffset val="100"/>
        <c:noMultiLvlLbl val="0"/>
      </c:catAx>
      <c:valAx>
        <c:axId val="1158701776"/>
        <c:scaling>
          <c:orientation val="minMax"/>
        </c:scaling>
        <c:delete val="1"/>
        <c:axPos val="b"/>
        <c:numFmt formatCode="General" sourceLinked="1"/>
        <c:majorTickMark val="none"/>
        <c:minorTickMark val="none"/>
        <c:tickLblPos val="nextTo"/>
        <c:crossAx val="1158690256"/>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death_copy.xlsx]Udupi_pivot!Moderate_ud</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sng" strike="noStrike" kern="1200" baseline="0">
                <a:solidFill>
                  <a:sysClr val="windowText" lastClr="000000"/>
                </a:solidFill>
                <a:latin typeface="Lato Black" panose="020F0A02020204030203" pitchFamily="34" charset="0"/>
              </a:rPr>
              <a:t>Infant Deaths by Moderate Premature Status</a:t>
            </a:r>
          </a:p>
        </c:rich>
      </c:tx>
      <c:layout>
        <c:manualLayout>
          <c:xMode val="edge"/>
          <c:yMode val="edge"/>
          <c:x val="0.13325174027159647"/>
          <c:y val="3.9331366764995081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44444444444434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44444444444434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Udupi_pivot!$B$73:$B$74</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3-0E56-442B-ACA0-01CA9FBDC551}"/>
              </c:ext>
            </c:extLst>
          </c:dPt>
          <c:dLbls>
            <c:dLbl>
              <c:idx val="0"/>
              <c:layout>
                <c:manualLayout>
                  <c:x val="4.4444444444444342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56-442B-ACA0-01CA9FBDC5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Udupi_pivot!$A$75:$A$76</c:f>
              <c:strCache>
                <c:ptCount val="1"/>
                <c:pt idx="0">
                  <c:v>Morderate Premature (&lt;32-33 weeks): NO</c:v>
                </c:pt>
              </c:strCache>
            </c:strRef>
          </c:cat>
          <c:val>
            <c:numRef>
              <c:f>Udupi_pivot!$B$75:$B$76</c:f>
              <c:numCache>
                <c:formatCode>General</c:formatCode>
                <c:ptCount val="1"/>
                <c:pt idx="0">
                  <c:v>9</c:v>
                </c:pt>
              </c:numCache>
            </c:numRef>
          </c:val>
          <c:extLst>
            <c:ext xmlns:c16="http://schemas.microsoft.com/office/drawing/2014/chart" uri="{C3380CC4-5D6E-409C-BE32-E72D297353CC}">
              <c16:uniqueId val="{00000000-0E56-442B-ACA0-01CA9FBDC551}"/>
            </c:ext>
          </c:extLst>
        </c:ser>
        <c:ser>
          <c:idx val="1"/>
          <c:order val="1"/>
          <c:tx>
            <c:strRef>
              <c:f>Udupi_pivot!$C$73:$C$74</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1AC8-4DA5-930E-676EE402BE4B}"/>
              </c:ext>
            </c:extLst>
          </c:dPt>
          <c:dLbls>
            <c:dLbl>
              <c:idx val="0"/>
              <c:layout>
                <c:manualLayout>
                  <c:x val="4.4444444444444342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C8-4DA5-930E-676EE402BE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Udupi_pivot!$A$75:$A$76</c:f>
              <c:strCache>
                <c:ptCount val="1"/>
                <c:pt idx="0">
                  <c:v>Morderate Premature (&lt;32-33 weeks): NO</c:v>
                </c:pt>
              </c:strCache>
            </c:strRef>
          </c:cat>
          <c:val>
            <c:numRef>
              <c:f>Udupi_pivot!$C$75:$C$76</c:f>
              <c:numCache>
                <c:formatCode>General</c:formatCode>
                <c:ptCount val="1"/>
                <c:pt idx="0">
                  <c:v>14</c:v>
                </c:pt>
              </c:numCache>
            </c:numRef>
          </c:val>
          <c:extLst>
            <c:ext xmlns:c16="http://schemas.microsoft.com/office/drawing/2014/chart" uri="{C3380CC4-5D6E-409C-BE32-E72D297353CC}">
              <c16:uniqueId val="{00000002-7F28-4BAF-B896-8AB461819429}"/>
            </c:ext>
          </c:extLst>
        </c:ser>
        <c:dLbls>
          <c:showLegendKey val="0"/>
          <c:showVal val="1"/>
          <c:showCatName val="0"/>
          <c:showSerName val="0"/>
          <c:showPercent val="0"/>
          <c:showBubbleSize val="0"/>
        </c:dLbls>
        <c:gapWidth val="150"/>
        <c:shape val="box"/>
        <c:axId val="1158705136"/>
        <c:axId val="1158697456"/>
        <c:axId val="0"/>
      </c:bar3DChart>
      <c:catAx>
        <c:axId val="11587051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1158697456"/>
        <c:crosses val="autoZero"/>
        <c:auto val="1"/>
        <c:lblAlgn val="ctr"/>
        <c:lblOffset val="100"/>
        <c:noMultiLvlLbl val="0"/>
      </c:catAx>
      <c:valAx>
        <c:axId val="1158697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1158705136"/>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death_copy.xlsx]Udupi_pivot!Late_ud</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sng" strike="noStrike" kern="1200" baseline="0">
                <a:solidFill>
                  <a:sysClr val="windowText" lastClr="000000"/>
                </a:solidFill>
                <a:latin typeface="Lato Black" panose="020F0A02020204030203" pitchFamily="34" charset="0"/>
              </a:rPr>
              <a:t>Infant Deaths by Late Premature Status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Udupi_pivot!$B$79:$B$80</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Udupi_pivot!$A$81:$A$83</c:f>
              <c:strCache>
                <c:ptCount val="2"/>
                <c:pt idx="0">
                  <c:v>Late Pre-term (34-36 weeks): NO</c:v>
                </c:pt>
                <c:pt idx="1">
                  <c:v>Late Pre-term (34-36 weeks): YES</c:v>
                </c:pt>
              </c:strCache>
            </c:strRef>
          </c:cat>
          <c:val>
            <c:numRef>
              <c:f>Udupi_pivot!$B$81:$B$83</c:f>
              <c:numCache>
                <c:formatCode>General</c:formatCode>
                <c:ptCount val="2"/>
                <c:pt idx="0">
                  <c:v>8</c:v>
                </c:pt>
                <c:pt idx="1">
                  <c:v>1</c:v>
                </c:pt>
              </c:numCache>
            </c:numRef>
          </c:val>
          <c:extLst>
            <c:ext xmlns:c16="http://schemas.microsoft.com/office/drawing/2014/chart" uri="{C3380CC4-5D6E-409C-BE32-E72D297353CC}">
              <c16:uniqueId val="{00000000-DFC1-4D7F-B00C-CBD82D261662}"/>
            </c:ext>
          </c:extLst>
        </c:ser>
        <c:ser>
          <c:idx val="1"/>
          <c:order val="1"/>
          <c:tx>
            <c:strRef>
              <c:f>Udupi_pivot!$C$79:$C$80</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Udupi_pivot!$A$81:$A$83</c:f>
              <c:strCache>
                <c:ptCount val="2"/>
                <c:pt idx="0">
                  <c:v>Late Pre-term (34-36 weeks): NO</c:v>
                </c:pt>
                <c:pt idx="1">
                  <c:v>Late Pre-term (34-36 weeks): YES</c:v>
                </c:pt>
              </c:strCache>
            </c:strRef>
          </c:cat>
          <c:val>
            <c:numRef>
              <c:f>Udupi_pivot!$C$81:$C$83</c:f>
              <c:numCache>
                <c:formatCode>General</c:formatCode>
                <c:ptCount val="2"/>
                <c:pt idx="0">
                  <c:v>14</c:v>
                </c:pt>
              </c:numCache>
            </c:numRef>
          </c:val>
          <c:extLst>
            <c:ext xmlns:c16="http://schemas.microsoft.com/office/drawing/2014/chart" uri="{C3380CC4-5D6E-409C-BE32-E72D297353CC}">
              <c16:uniqueId val="{00000000-BB80-4E98-A3E5-453BAF5C3B31}"/>
            </c:ext>
          </c:extLst>
        </c:ser>
        <c:dLbls>
          <c:showLegendKey val="0"/>
          <c:showVal val="1"/>
          <c:showCatName val="0"/>
          <c:showSerName val="0"/>
          <c:showPercent val="0"/>
          <c:showBubbleSize val="0"/>
        </c:dLbls>
        <c:gapWidth val="150"/>
        <c:shape val="box"/>
        <c:axId val="1327907872"/>
        <c:axId val="1327908352"/>
        <c:axId val="0"/>
      </c:bar3DChart>
      <c:catAx>
        <c:axId val="13279078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1327908352"/>
        <c:crosses val="autoZero"/>
        <c:auto val="1"/>
        <c:lblAlgn val="ctr"/>
        <c:lblOffset val="100"/>
        <c:noMultiLvlLbl val="0"/>
      </c:catAx>
      <c:valAx>
        <c:axId val="1327908352"/>
        <c:scaling>
          <c:orientation val="minMax"/>
        </c:scaling>
        <c:delete val="1"/>
        <c:axPos val="b"/>
        <c:numFmt formatCode="General" sourceLinked="1"/>
        <c:majorTickMark val="none"/>
        <c:minorTickMark val="none"/>
        <c:tickLblPos val="nextTo"/>
        <c:crossAx val="1327907872"/>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death_copy.xlsx]Udupi_pivot!High_risk(Ud)</c:name>
    <c:fmtId val="0"/>
  </c:pivotSource>
  <c:chart>
    <c:title>
      <c:tx>
        <c:rich>
          <a:bodyPr rot="0" spcFirstLastPara="1" vertOverflow="ellipsis" vert="horz" wrap="square" anchor="ctr" anchorCtr="1"/>
          <a:lstStyle/>
          <a:p>
            <a:pPr>
              <a:defRPr sz="1260" b="0" i="0" u="none" strike="noStrike" kern="1200" spc="0" baseline="0">
                <a:solidFill>
                  <a:sysClr val="windowText" lastClr="000000"/>
                </a:solidFill>
                <a:latin typeface="Lato Black" panose="020F0A02020204030203" pitchFamily="34" charset="0"/>
                <a:ea typeface="+mn-ea"/>
                <a:cs typeface="+mn-cs"/>
              </a:defRPr>
            </a:pPr>
            <a:r>
              <a:rPr lang="en-IN" sz="1400" b="1" i="0" u="none" strike="noStrike" kern="1200" baseline="0">
                <a:solidFill>
                  <a:schemeClr val="tx1"/>
                </a:solidFill>
                <a:latin typeface="Lato Black" panose="020F0A02020204030203" pitchFamily="34" charset="0"/>
              </a:rPr>
              <a:t>Delivery Type &amp; Death Category Analysis</a:t>
            </a:r>
          </a:p>
        </c:rich>
      </c:tx>
      <c:layout>
        <c:manualLayout>
          <c:xMode val="edge"/>
          <c:yMode val="edge"/>
          <c:x val="0.13260411198600175"/>
          <c:y val="1.3888888888888888E-2"/>
        </c:manualLayout>
      </c:layout>
      <c:overlay val="0"/>
      <c:spPr>
        <a:noFill/>
        <a:ln>
          <a:noFill/>
        </a:ln>
        <a:effectLst/>
      </c:spPr>
      <c:txPr>
        <a:bodyPr rot="0" spcFirstLastPara="1" vertOverflow="ellipsis" vert="horz" wrap="square" anchor="ctr" anchorCtr="1"/>
        <a:lstStyle/>
        <a:p>
          <a:pPr>
            <a:defRPr sz="1260" b="0" i="0" u="none"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a:gsLst>
              <a:gs pos="0">
                <a:srgbClr val="4CD46C"/>
              </a:gs>
              <a:gs pos="100000">
                <a:srgbClr val="1C8519"/>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4CD46C"/>
              </a:gs>
              <a:gs pos="100000">
                <a:srgbClr val="1C8519"/>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4CD46C"/>
              </a:gs>
              <a:gs pos="100000">
                <a:srgbClr val="1C8519"/>
              </a:gs>
            </a:gsLst>
            <a:lin ang="5400000" scaled="1"/>
          </a:gradFill>
          <a:ln>
            <a:noFill/>
          </a:ln>
          <a:effectLst/>
          <a:sp3d/>
        </c:spPr>
        <c:dLbl>
          <c:idx val="0"/>
          <c:layout>
            <c:manualLayout>
              <c:x val="2.7777777777777267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4CD46C"/>
              </a:gs>
              <a:gs pos="100000">
                <a:srgbClr val="1C8519"/>
              </a:gs>
            </a:gsLst>
            <a:lin ang="5400000" scaled="1"/>
          </a:gradFill>
          <a:ln>
            <a:noFill/>
          </a:ln>
          <a:effectLst/>
          <a:sp3d/>
        </c:spPr>
        <c:dLbl>
          <c:idx val="0"/>
          <c:layout>
            <c:manualLayout>
              <c:x val="-8.3333333333333592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B9EA60"/>
              </a:gs>
              <a:gs pos="100000">
                <a:srgbClr val="88A51F"/>
              </a:gs>
            </a:gsLst>
            <a:lin ang="5400000" scaled="1"/>
          </a:gradFill>
          <a:ln>
            <a:noFill/>
          </a:ln>
          <a:effectLst/>
          <a:sp3d/>
        </c:spPr>
        <c:dLbl>
          <c:idx val="0"/>
          <c:layout>
            <c:manualLayout>
              <c:x val="2.7777777777777267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4CD46C"/>
              </a:gs>
              <a:gs pos="100000">
                <a:srgbClr val="1C8519"/>
              </a:gs>
            </a:gsLst>
            <a:lin ang="5400000" scaled="1"/>
          </a:gradFill>
          <a:ln>
            <a:noFill/>
          </a:ln>
          <a:effectLst/>
          <a:sp3d/>
        </c:spPr>
        <c:dLbl>
          <c:idx val="0"/>
          <c:layout>
            <c:manualLayout>
              <c:x val="-8.3333333333333592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780314960629921E-2"/>
          <c:y val="7.407407407407407E-2"/>
          <c:w val="0.87831014873140856"/>
          <c:h val="0.76766987459900848"/>
        </c:manualLayout>
      </c:layout>
      <c:bar3DChart>
        <c:barDir val="col"/>
        <c:grouping val="standard"/>
        <c:varyColors val="0"/>
        <c:ser>
          <c:idx val="0"/>
          <c:order val="0"/>
          <c:tx>
            <c:strRef>
              <c:f>Udupi_pivot!$B$3:$B$4</c:f>
              <c:strCache>
                <c:ptCount val="1"/>
                <c:pt idx="0">
                  <c:v>LSCS</c:v>
                </c:pt>
              </c:strCache>
            </c:strRef>
          </c:tx>
          <c:spPr>
            <a:gradFill>
              <a:gsLst>
                <a:gs pos="0">
                  <a:srgbClr val="4CD46C"/>
                </a:gs>
                <a:gs pos="100000">
                  <a:srgbClr val="1C8519"/>
                </a:gs>
              </a:gsLst>
              <a:lin ang="5400000" scaled="1"/>
            </a:gradFill>
            <a:ln>
              <a:noFill/>
            </a:ln>
            <a:effectLst/>
            <a:sp3d/>
          </c:spPr>
          <c:invertIfNegative val="0"/>
          <c:dPt>
            <c:idx val="0"/>
            <c:invertIfNegative val="0"/>
            <c:bubble3D val="0"/>
            <c:extLst>
              <c:ext xmlns:c16="http://schemas.microsoft.com/office/drawing/2014/chart" uri="{C3380CC4-5D6E-409C-BE32-E72D297353CC}">
                <c16:uniqueId val="{00000006-479F-49FC-9535-060BB6AD72BE}"/>
              </c:ext>
            </c:extLst>
          </c:dPt>
          <c:dPt>
            <c:idx val="1"/>
            <c:invertIfNegative val="0"/>
            <c:bubble3D val="0"/>
            <c:extLst>
              <c:ext xmlns:c16="http://schemas.microsoft.com/office/drawing/2014/chart" uri="{C3380CC4-5D6E-409C-BE32-E72D297353CC}">
                <c16:uniqueId val="{00000003-479F-49FC-9535-060BB6AD72BE}"/>
              </c:ext>
            </c:extLst>
          </c:dPt>
          <c:dLbls>
            <c:dLbl>
              <c:idx val="0"/>
              <c:layout>
                <c:manualLayout>
                  <c:x val="-8.3333333333333592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79F-49FC-9535-060BB6AD72BE}"/>
                </c:ext>
              </c:extLst>
            </c:dLbl>
            <c:dLbl>
              <c:idx val="1"/>
              <c:layout>
                <c:manualLayout>
                  <c:x val="2.7777777777777267E-3"/>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9F-49FC-9535-060BB6AD72BE}"/>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Udupi_pivot!$A$5:$A$7</c:f>
              <c:strCache>
                <c:ptCount val="2"/>
                <c:pt idx="0">
                  <c:v>Without High Risk Pregnancy</c:v>
                </c:pt>
                <c:pt idx="1">
                  <c:v>With High Risk Pregnancy</c:v>
                </c:pt>
              </c:strCache>
            </c:strRef>
          </c:cat>
          <c:val>
            <c:numRef>
              <c:f>Udupi_pivot!$B$5:$B$7</c:f>
              <c:numCache>
                <c:formatCode>General</c:formatCode>
                <c:ptCount val="2"/>
                <c:pt idx="0">
                  <c:v>4</c:v>
                </c:pt>
                <c:pt idx="1">
                  <c:v>6</c:v>
                </c:pt>
              </c:numCache>
            </c:numRef>
          </c:val>
          <c:extLst>
            <c:ext xmlns:c16="http://schemas.microsoft.com/office/drawing/2014/chart" uri="{C3380CC4-5D6E-409C-BE32-E72D297353CC}">
              <c16:uniqueId val="{00000000-479F-49FC-9535-060BB6AD72BE}"/>
            </c:ext>
          </c:extLst>
        </c:ser>
        <c:ser>
          <c:idx val="1"/>
          <c:order val="1"/>
          <c:tx>
            <c:strRef>
              <c:f>Udupi_pivot!$C$3:$C$4</c:f>
              <c:strCache>
                <c:ptCount val="1"/>
                <c:pt idx="0">
                  <c:v>Normal</c:v>
                </c:pt>
              </c:strCache>
            </c:strRef>
          </c:tx>
          <c:spPr>
            <a:gradFill>
              <a:gsLst>
                <a:gs pos="0">
                  <a:srgbClr val="4CD46C"/>
                </a:gs>
                <a:gs pos="100000">
                  <a:srgbClr val="1C8519"/>
                </a:gs>
              </a:gsLst>
              <a:lin ang="5400000" scaled="1"/>
            </a:gradFill>
            <a:ln>
              <a:noFill/>
            </a:ln>
            <a:effectLst/>
            <a:sp3d/>
          </c:spPr>
          <c:invertIfNegative val="0"/>
          <c:dPt>
            <c:idx val="0"/>
            <c:invertIfNegative val="0"/>
            <c:bubble3D val="0"/>
            <c:spPr>
              <a:gradFill>
                <a:gsLst>
                  <a:gs pos="0">
                    <a:srgbClr val="B9EA60"/>
                  </a:gs>
                  <a:gs pos="100000">
                    <a:srgbClr val="88A51F"/>
                  </a:gs>
                </a:gsLst>
                <a:lin ang="5400000" scaled="1"/>
              </a:gradFill>
              <a:ln>
                <a:noFill/>
              </a:ln>
              <a:effectLst/>
              <a:sp3d/>
            </c:spPr>
            <c:extLst>
              <c:ext xmlns:c16="http://schemas.microsoft.com/office/drawing/2014/chart" uri="{C3380CC4-5D6E-409C-BE32-E72D297353CC}">
                <c16:uniqueId val="{00000003-8DD0-4EFF-B72C-9EED242CA0D0}"/>
              </c:ext>
            </c:extLst>
          </c:dPt>
          <c:dPt>
            <c:idx val="1"/>
            <c:invertIfNegative val="0"/>
            <c:bubble3D val="0"/>
            <c:extLst>
              <c:ext xmlns:c16="http://schemas.microsoft.com/office/drawing/2014/chart" uri="{C3380CC4-5D6E-409C-BE32-E72D297353CC}">
                <c16:uniqueId val="{00000004-8DD0-4EFF-B72C-9EED242CA0D0}"/>
              </c:ext>
            </c:extLst>
          </c:dPt>
          <c:dLbls>
            <c:dLbl>
              <c:idx val="0"/>
              <c:layout>
                <c:manualLayout>
                  <c:x val="2.7777777777777267E-3"/>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D0-4EFF-B72C-9EED242CA0D0}"/>
                </c:ext>
              </c:extLst>
            </c:dLbl>
            <c:dLbl>
              <c:idx val="1"/>
              <c:layout>
                <c:manualLayout>
                  <c:x val="-8.3333333333333592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D0-4EFF-B72C-9EED242CA0D0}"/>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Udupi_pivot!$A$5:$A$7</c:f>
              <c:strCache>
                <c:ptCount val="2"/>
                <c:pt idx="0">
                  <c:v>Without High Risk Pregnancy</c:v>
                </c:pt>
                <c:pt idx="1">
                  <c:v>With High Risk Pregnancy</c:v>
                </c:pt>
              </c:strCache>
            </c:strRef>
          </c:cat>
          <c:val>
            <c:numRef>
              <c:f>Udupi_pivot!$C$5:$C$7</c:f>
              <c:numCache>
                <c:formatCode>General</c:formatCode>
                <c:ptCount val="2"/>
                <c:pt idx="0">
                  <c:v>9</c:v>
                </c:pt>
                <c:pt idx="1">
                  <c:v>4</c:v>
                </c:pt>
              </c:numCache>
            </c:numRef>
          </c:val>
          <c:extLst>
            <c:ext xmlns:c16="http://schemas.microsoft.com/office/drawing/2014/chart" uri="{C3380CC4-5D6E-409C-BE32-E72D297353CC}">
              <c16:uniqueId val="{00000004-1E89-4C71-8A97-F4CC6B0F85C6}"/>
            </c:ext>
          </c:extLst>
        </c:ser>
        <c:dLbls>
          <c:showLegendKey val="0"/>
          <c:showVal val="1"/>
          <c:showCatName val="0"/>
          <c:showSerName val="0"/>
          <c:showPercent val="0"/>
          <c:showBubbleSize val="0"/>
        </c:dLbls>
        <c:gapWidth val="150"/>
        <c:shape val="box"/>
        <c:axId val="1358767040"/>
        <c:axId val="1358774720"/>
        <c:axId val="808217968"/>
      </c:bar3DChart>
      <c:catAx>
        <c:axId val="1358767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358774720"/>
        <c:crosses val="autoZero"/>
        <c:auto val="1"/>
        <c:lblAlgn val="ctr"/>
        <c:lblOffset val="100"/>
        <c:noMultiLvlLbl val="0"/>
      </c:catAx>
      <c:valAx>
        <c:axId val="1358774720"/>
        <c:scaling>
          <c:orientation val="minMax"/>
        </c:scaling>
        <c:delete val="1"/>
        <c:axPos val="l"/>
        <c:numFmt formatCode="General" sourceLinked="1"/>
        <c:majorTickMark val="none"/>
        <c:minorTickMark val="none"/>
        <c:tickLblPos val="nextTo"/>
        <c:crossAx val="1358767040"/>
        <c:crosses val="autoZero"/>
        <c:crossBetween val="between"/>
      </c:valAx>
      <c:serAx>
        <c:axId val="8082179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35877472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death_copy.xlsx]Udupi_pivot!Hypertension(Ud)</c:name>
    <c:fmtId val="0"/>
  </c:pivotSource>
  <c:chart>
    <c:title>
      <c:overlay val="0"/>
      <c:spPr>
        <a:noFill/>
        <a:ln>
          <a:noFill/>
        </a:ln>
        <a:effectLst/>
      </c:spPr>
      <c:txPr>
        <a:bodyPr rot="0" spcFirstLastPara="1" vertOverflow="ellipsis" vert="horz" wrap="square" anchor="ctr" anchorCtr="1"/>
        <a:lstStyle/>
        <a:p>
          <a:pPr>
            <a:defRPr sz="1260" b="0" i="0" u="none"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tx1"/>
            </a:solidFill>
          </a:ln>
          <a:effectLst/>
        </c:spPr>
      </c:pivotFmt>
    </c:pivotFmts>
    <c:plotArea>
      <c:layout/>
      <c:barChart>
        <c:barDir val="col"/>
        <c:grouping val="clustered"/>
        <c:varyColors val="0"/>
        <c:ser>
          <c:idx val="0"/>
          <c:order val="0"/>
          <c:tx>
            <c:strRef>
              <c:f>Udupi_pivot!$B$43:$B$44</c:f>
              <c:strCache>
                <c:ptCount val="1"/>
                <c:pt idx="0">
                  <c:v>Infant Death</c:v>
                </c:pt>
              </c:strCache>
            </c:strRef>
          </c:tx>
          <c:spPr>
            <a:solidFill>
              <a:schemeClr val="accent1"/>
            </a:solidFill>
            <a:ln>
              <a:solidFill>
                <a:schemeClr val="tx1"/>
              </a:solidFill>
            </a:ln>
            <a:effectLst/>
          </c:spPr>
          <c:invertIfNegative val="0"/>
          <c:dPt>
            <c:idx val="1"/>
            <c:invertIfNegative val="0"/>
            <c:bubble3D val="0"/>
            <c:extLst>
              <c:ext xmlns:c16="http://schemas.microsoft.com/office/drawing/2014/chart" uri="{C3380CC4-5D6E-409C-BE32-E72D297353CC}">
                <c16:uniqueId val="{00000000-E6E4-42F7-A9F4-96C35965BC85}"/>
              </c:ext>
            </c:extLst>
          </c:dPt>
          <c:cat>
            <c:strRef>
              <c:f>Udupi_pivot!$A$45:$A$47</c:f>
              <c:strCache>
                <c:ptCount val="2"/>
                <c:pt idx="0">
                  <c:v>Without hypertensive Disorder</c:v>
                </c:pt>
                <c:pt idx="1">
                  <c:v>With hypertensive Disorder</c:v>
                </c:pt>
              </c:strCache>
            </c:strRef>
          </c:cat>
          <c:val>
            <c:numRef>
              <c:f>Udupi_pivot!$B$45:$B$47</c:f>
              <c:numCache>
                <c:formatCode>General</c:formatCode>
                <c:ptCount val="2"/>
                <c:pt idx="0">
                  <c:v>8</c:v>
                </c:pt>
                <c:pt idx="1">
                  <c:v>1</c:v>
                </c:pt>
              </c:numCache>
            </c:numRef>
          </c:val>
          <c:extLst>
            <c:ext xmlns:c16="http://schemas.microsoft.com/office/drawing/2014/chart" uri="{C3380CC4-5D6E-409C-BE32-E72D297353CC}">
              <c16:uniqueId val="{00000000-FAA0-48AD-A5F4-9B7623A484E8}"/>
            </c:ext>
          </c:extLst>
        </c:ser>
        <c:ser>
          <c:idx val="1"/>
          <c:order val="1"/>
          <c:tx>
            <c:strRef>
              <c:f>Udupi_pivot!$C$43:$C$44</c:f>
              <c:strCache>
                <c:ptCount val="1"/>
                <c:pt idx="0">
                  <c:v>Neonatal Death</c:v>
                </c:pt>
              </c:strCache>
            </c:strRef>
          </c:tx>
          <c:spPr>
            <a:solidFill>
              <a:schemeClr val="accent2"/>
            </a:solidFill>
            <a:ln>
              <a:solidFill>
                <a:schemeClr val="tx1"/>
              </a:solidFill>
            </a:ln>
            <a:effectLst/>
          </c:spPr>
          <c:invertIfNegative val="0"/>
          <c:cat>
            <c:strRef>
              <c:f>Udupi_pivot!$A$45:$A$47</c:f>
              <c:strCache>
                <c:ptCount val="2"/>
                <c:pt idx="0">
                  <c:v>Without hypertensive Disorder</c:v>
                </c:pt>
                <c:pt idx="1">
                  <c:v>With hypertensive Disorder</c:v>
                </c:pt>
              </c:strCache>
            </c:strRef>
          </c:cat>
          <c:val>
            <c:numRef>
              <c:f>Udupi_pivot!$C$45:$C$47</c:f>
              <c:numCache>
                <c:formatCode>General</c:formatCode>
                <c:ptCount val="2"/>
                <c:pt idx="0">
                  <c:v>14</c:v>
                </c:pt>
              </c:numCache>
            </c:numRef>
          </c:val>
          <c:extLst>
            <c:ext xmlns:c16="http://schemas.microsoft.com/office/drawing/2014/chart" uri="{C3380CC4-5D6E-409C-BE32-E72D297353CC}">
              <c16:uniqueId val="{00000000-84F7-4CA9-9F11-3751270E7D5F}"/>
            </c:ext>
          </c:extLst>
        </c:ser>
        <c:dLbls>
          <c:showLegendKey val="0"/>
          <c:showVal val="0"/>
          <c:showCatName val="0"/>
          <c:showSerName val="0"/>
          <c:showPercent val="0"/>
          <c:showBubbleSize val="0"/>
        </c:dLbls>
        <c:gapWidth val="219"/>
        <c:axId val="1661776720"/>
        <c:axId val="1661777200"/>
      </c:barChart>
      <c:catAx>
        <c:axId val="166177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661777200"/>
        <c:crosses val="autoZero"/>
        <c:auto val="1"/>
        <c:lblAlgn val="ctr"/>
        <c:lblOffset val="100"/>
        <c:noMultiLvlLbl val="0"/>
      </c:catAx>
      <c:valAx>
        <c:axId val="1661777200"/>
        <c:scaling>
          <c:orientation val="minMax"/>
          <c:max val="1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661776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death_copy.xlsx]Udupi_pivot!PivotTable22</c:name>
    <c:fmtId val="0"/>
  </c:pivotSource>
  <c:chart>
    <c:title>
      <c:tx>
        <c:rich>
          <a:bodyPr rot="0" spcFirstLastPara="1" vertOverflow="ellipsis" vert="horz" wrap="square" anchor="ctr" anchorCtr="1"/>
          <a:lstStyle/>
          <a:p>
            <a:pPr>
              <a:defRPr sz="1260" b="0" i="0" u="none" strike="noStrike" kern="1200" spc="0" baseline="0">
                <a:solidFill>
                  <a:sysClr val="windowText" lastClr="000000"/>
                </a:solidFill>
                <a:latin typeface="Lato Black" panose="020F0A02020204030203" pitchFamily="34" charset="0"/>
                <a:ea typeface="+mn-ea"/>
                <a:cs typeface="+mn-cs"/>
              </a:defRPr>
            </a:pPr>
            <a:r>
              <a:rPr lang="en-IN" sz="1400" b="0" i="0" u="none" strike="noStrike" kern="1200" spc="0" baseline="0">
                <a:solidFill>
                  <a:schemeClr val="tx1"/>
                </a:solidFill>
                <a:latin typeface="Lato Black" panose="020F0A02020204030203" pitchFamily="34" charset="0"/>
              </a:rPr>
              <a:t>High-Risk Pregnancy on Infant &amp; Neonatal Deaths</a:t>
            </a:r>
          </a:p>
        </c:rich>
      </c:tx>
      <c:layout>
        <c:manualLayout>
          <c:xMode val="edge"/>
          <c:yMode val="edge"/>
          <c:x val="0.12693044619422572"/>
          <c:y val="9.2592592592592587E-3"/>
        </c:manualLayout>
      </c:layout>
      <c:overlay val="0"/>
      <c:spPr>
        <a:noFill/>
        <a:ln>
          <a:noFill/>
        </a:ln>
        <a:effectLst/>
      </c:spPr>
      <c:txPr>
        <a:bodyPr rot="0" spcFirstLastPara="1" vertOverflow="ellipsis" vert="horz" wrap="square" anchor="ctr" anchorCtr="1"/>
        <a:lstStyle/>
        <a:p>
          <a:pPr>
            <a:defRPr sz="1260" b="0" i="0" u="none"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a:gsLst>
              <a:gs pos="0">
                <a:srgbClr val="FFAFFF"/>
              </a:gs>
              <a:gs pos="60829">
                <a:srgbClr val="8F008F"/>
              </a:gs>
              <a:gs pos="100000">
                <a:srgbClr val="FF15FF"/>
              </a:gs>
            </a:gsLst>
            <a:lin ang="162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FFAFFF"/>
              </a:gs>
              <a:gs pos="60829">
                <a:srgbClr val="8F008F"/>
              </a:gs>
              <a:gs pos="100000">
                <a:srgbClr val="FF15FF"/>
              </a:gs>
            </a:gsLst>
            <a:lin ang="162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FAFFF"/>
              </a:gs>
              <a:gs pos="60829">
                <a:srgbClr val="8F008F"/>
              </a:gs>
              <a:gs pos="100000">
                <a:srgbClr val="FF15FF"/>
              </a:gs>
            </a:gsLst>
            <a:lin ang="16200000" scaled="1"/>
          </a:gradFill>
          <a:ln>
            <a:noFill/>
          </a:ln>
          <a:effectLst/>
          <a:sp3d/>
        </c:spPr>
        <c:dLbl>
          <c:idx val="0"/>
          <c:layout>
            <c:manualLayout>
              <c:x val="1.9444444444444445E-2"/>
              <c:y val="4.6296296296295444E-3"/>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a:pPr>
                <a:fld id="{86345BD8-A762-48D9-BD9A-8077ED484834}" type="VALUE">
                  <a:rPr lang="en-US"/>
                  <a:pPr>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a:gsLst>
              <a:gs pos="0">
                <a:srgbClr val="FFAFFF"/>
              </a:gs>
              <a:gs pos="60829">
                <a:srgbClr val="8F008F"/>
              </a:gs>
              <a:gs pos="100000">
                <a:srgbClr val="FF15FF"/>
              </a:gs>
            </a:gsLst>
            <a:lin ang="16200000" scaled="1"/>
          </a:gradFill>
          <a:ln>
            <a:noFill/>
          </a:ln>
          <a:effectLst/>
          <a:sp3d/>
        </c:spPr>
        <c:dLbl>
          <c:idx val="0"/>
          <c:layout>
            <c:manualLayout>
              <c:x val="1.3888888888888888E-2"/>
              <c:y val="9.2592592592592587E-3"/>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a:pPr>
                <a:fld id="{F3D4E315-FFE5-4DC3-BE8B-BFDC18175C5C}" type="VALUE">
                  <a:rPr lang="en-US"/>
                  <a:pPr>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a:gsLst>
              <a:gs pos="0">
                <a:srgbClr val="F200F2"/>
              </a:gs>
              <a:gs pos="60829">
                <a:srgbClr val="8F008F"/>
              </a:gs>
              <a:gs pos="100000">
                <a:srgbClr val="500050"/>
              </a:gs>
            </a:gsLst>
            <a:lin ang="16200000" scaled="1"/>
          </a:gradFill>
          <a:ln>
            <a:noFill/>
          </a:ln>
          <a:effectLst/>
          <a:sp3d/>
        </c:spPr>
        <c:dLbl>
          <c:idx val="0"/>
          <c:layout>
            <c:manualLayout>
              <c:x val="-1.0185067526415994E-16"/>
              <c:y val="-4.1666666666666664E-2"/>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Neonatal Death</a:t>
                </a:r>
              </a:p>
              <a:p>
                <a:pPr>
                  <a:defRPr/>
                </a:pPr>
                <a:fld id="{BFFCEFD1-06E5-4A2F-9258-8345C07D51A9}" type="VALUE">
                  <a:rPr lang="en-US"/>
                  <a:pPr>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a:gsLst>
              <a:gs pos="0">
                <a:srgbClr val="FFAFFF"/>
              </a:gs>
              <a:gs pos="60829">
                <a:srgbClr val="8F008F"/>
              </a:gs>
              <a:gs pos="100000">
                <a:srgbClr val="FF15FF"/>
              </a:gs>
            </a:gsLst>
            <a:lin ang="16200000" scaled="1"/>
          </a:gradFill>
          <a:ln>
            <a:noFill/>
          </a:ln>
          <a:effectLst/>
          <a:sp3d/>
        </c:spPr>
        <c:dLbl>
          <c:idx val="0"/>
          <c:layout>
            <c:manualLayout>
              <c:x val="1.9444444444444445E-2"/>
              <c:y val="4.6296296296295444E-3"/>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a:pPr>
                <a:fld id="{86345BD8-A762-48D9-BD9A-8077ED484834}" type="VALUE">
                  <a:rPr lang="en-US"/>
                  <a:pPr>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Udupi_pivot!$B$35:$B$36</c:f>
              <c:strCache>
                <c:ptCount val="1"/>
                <c:pt idx="0">
                  <c:v>Infant Death</c:v>
                </c:pt>
              </c:strCache>
            </c:strRef>
          </c:tx>
          <c:spPr>
            <a:gradFill>
              <a:gsLst>
                <a:gs pos="0">
                  <a:srgbClr val="FFAFFF"/>
                </a:gs>
                <a:gs pos="60829">
                  <a:srgbClr val="8F008F"/>
                </a:gs>
                <a:gs pos="100000">
                  <a:srgbClr val="FF15FF"/>
                </a:gs>
              </a:gsLst>
              <a:lin ang="16200000" scaled="1"/>
            </a:gradFill>
            <a:ln>
              <a:noFill/>
            </a:ln>
            <a:effectLst/>
            <a:sp3d/>
          </c:spPr>
          <c:invertIfNegative val="0"/>
          <c:dPt>
            <c:idx val="0"/>
            <c:invertIfNegative val="0"/>
            <c:bubble3D val="0"/>
            <c:extLst>
              <c:ext xmlns:c16="http://schemas.microsoft.com/office/drawing/2014/chart" uri="{C3380CC4-5D6E-409C-BE32-E72D297353CC}">
                <c16:uniqueId val="{00000006-3F12-4FF2-AFF6-2AAD6547D4AC}"/>
              </c:ext>
            </c:extLst>
          </c:dPt>
          <c:dPt>
            <c:idx val="1"/>
            <c:invertIfNegative val="0"/>
            <c:bubble3D val="0"/>
            <c:extLst>
              <c:ext xmlns:c16="http://schemas.microsoft.com/office/drawing/2014/chart" uri="{C3380CC4-5D6E-409C-BE32-E72D297353CC}">
                <c16:uniqueId val="{00000004-3F12-4FF2-AFF6-2AAD6547D4AC}"/>
              </c:ext>
            </c:extLst>
          </c:dPt>
          <c:dLbls>
            <c:dLbl>
              <c:idx val="0"/>
              <c:layout>
                <c:manualLayout>
                  <c:x val="1.9444444444444445E-2"/>
                  <c:y val="4.6296296296295444E-3"/>
                </c:manualLayout>
              </c:layout>
              <c:tx>
                <c:rich>
                  <a:bodyPr/>
                  <a:lstStyle/>
                  <a:p>
                    <a:r>
                      <a:rPr lang="en-US"/>
                      <a:t>Infant Death</a:t>
                    </a:r>
                  </a:p>
                  <a:p>
                    <a:fld id="{86345BD8-A762-48D9-BD9A-8077ED484834}"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3F12-4FF2-AFF6-2AAD6547D4AC}"/>
                </c:ext>
              </c:extLst>
            </c:dLbl>
            <c:dLbl>
              <c:idx val="1"/>
              <c:layout>
                <c:manualLayout>
                  <c:x val="1.3888888888888888E-2"/>
                  <c:y val="9.2592592592592587E-3"/>
                </c:manualLayout>
              </c:layout>
              <c:tx>
                <c:rich>
                  <a:bodyPr/>
                  <a:lstStyle/>
                  <a:p>
                    <a:r>
                      <a:rPr lang="en-US"/>
                      <a:t>Infant Death</a:t>
                    </a:r>
                  </a:p>
                  <a:p>
                    <a:fld id="{F3D4E315-FFE5-4DC3-BE8B-BFDC18175C5C}"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F12-4FF2-AFF6-2AAD6547D4AC}"/>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Udupi_pivot!$A$37:$A$39</c:f>
              <c:strCache>
                <c:ptCount val="2"/>
                <c:pt idx="0">
                  <c:v>Without High Risk Pregnancy</c:v>
                </c:pt>
                <c:pt idx="1">
                  <c:v>With High Risk Pregnancy</c:v>
                </c:pt>
              </c:strCache>
            </c:strRef>
          </c:cat>
          <c:val>
            <c:numRef>
              <c:f>Udupi_pivot!$B$37:$B$39</c:f>
              <c:numCache>
                <c:formatCode>General</c:formatCode>
                <c:ptCount val="2"/>
                <c:pt idx="0">
                  <c:v>4</c:v>
                </c:pt>
                <c:pt idx="1">
                  <c:v>5</c:v>
                </c:pt>
              </c:numCache>
            </c:numRef>
          </c:val>
          <c:shape val="cylinder"/>
          <c:extLst>
            <c:ext xmlns:c16="http://schemas.microsoft.com/office/drawing/2014/chart" uri="{C3380CC4-5D6E-409C-BE32-E72D297353CC}">
              <c16:uniqueId val="{00000000-3F12-4FF2-AFF6-2AAD6547D4AC}"/>
            </c:ext>
          </c:extLst>
        </c:ser>
        <c:ser>
          <c:idx val="1"/>
          <c:order val="1"/>
          <c:tx>
            <c:strRef>
              <c:f>Udupi_pivot!$C$35:$C$36</c:f>
              <c:strCache>
                <c:ptCount val="1"/>
                <c:pt idx="0">
                  <c:v>Neonatal Death</c:v>
                </c:pt>
              </c:strCache>
            </c:strRef>
          </c:tx>
          <c:spPr>
            <a:gradFill>
              <a:gsLst>
                <a:gs pos="0">
                  <a:srgbClr val="FFAFFF"/>
                </a:gs>
                <a:gs pos="60829">
                  <a:srgbClr val="8F008F"/>
                </a:gs>
                <a:gs pos="100000">
                  <a:srgbClr val="FF15FF"/>
                </a:gs>
              </a:gsLst>
              <a:lin ang="16200000" scaled="1"/>
            </a:gradFill>
            <a:ln>
              <a:noFill/>
            </a:ln>
            <a:effectLst/>
            <a:sp3d/>
          </c:spPr>
          <c:invertIfNegative val="0"/>
          <c:dPt>
            <c:idx val="0"/>
            <c:invertIfNegative val="0"/>
            <c:bubble3D val="0"/>
            <c:spPr>
              <a:gradFill>
                <a:gsLst>
                  <a:gs pos="0">
                    <a:srgbClr val="F200F2"/>
                  </a:gs>
                  <a:gs pos="60829">
                    <a:srgbClr val="8F008F"/>
                  </a:gs>
                  <a:gs pos="100000">
                    <a:srgbClr val="500050"/>
                  </a:gs>
                </a:gsLst>
                <a:lin ang="16200000" scaled="1"/>
              </a:gradFill>
              <a:ln>
                <a:noFill/>
              </a:ln>
              <a:effectLst/>
              <a:sp3d/>
            </c:spPr>
            <c:extLst>
              <c:ext xmlns:c16="http://schemas.microsoft.com/office/drawing/2014/chart" uri="{C3380CC4-5D6E-409C-BE32-E72D297353CC}">
                <c16:uniqueId val="{00000003-F644-4651-8A45-264EE95957C8}"/>
              </c:ext>
            </c:extLst>
          </c:dPt>
          <c:dPt>
            <c:idx val="1"/>
            <c:invertIfNegative val="0"/>
            <c:bubble3D val="0"/>
            <c:extLst>
              <c:ext xmlns:c16="http://schemas.microsoft.com/office/drawing/2014/chart" uri="{C3380CC4-5D6E-409C-BE32-E72D297353CC}">
                <c16:uniqueId val="{00000004-F644-4651-8A45-264EE95957C8}"/>
              </c:ext>
            </c:extLst>
          </c:dPt>
          <c:dLbls>
            <c:dLbl>
              <c:idx val="0"/>
              <c:layout>
                <c:manualLayout>
                  <c:x val="-1.0185067526415994E-16"/>
                  <c:y val="-4.1666666666666664E-2"/>
                </c:manualLayout>
              </c:layout>
              <c:tx>
                <c:rich>
                  <a:bodyPr/>
                  <a:lstStyle/>
                  <a:p>
                    <a:r>
                      <a:rPr lang="en-US"/>
                      <a:t>Neonatal Death</a:t>
                    </a:r>
                  </a:p>
                  <a:p>
                    <a:fld id="{BFFCEFD1-06E5-4A2F-9258-8345C07D51A9}"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644-4651-8A45-264EE95957C8}"/>
                </c:ext>
              </c:extLst>
            </c:dLbl>
            <c:dLbl>
              <c:idx val="1"/>
              <c:layout>
                <c:manualLayout>
                  <c:x val="1.9444444444444445E-2"/>
                  <c:y val="4.6296296296295444E-3"/>
                </c:manualLayout>
              </c:layout>
              <c:tx>
                <c:rich>
                  <a:bodyPr/>
                  <a:lstStyle/>
                  <a:p>
                    <a:r>
                      <a:rPr lang="en-US"/>
                      <a:t>Infant Death</a:t>
                    </a:r>
                  </a:p>
                  <a:p>
                    <a:fld id="{86345BD8-A762-48D9-BD9A-8077ED484834}"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F644-4651-8A45-264EE95957C8}"/>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Udupi_pivot!$A$37:$A$39</c:f>
              <c:strCache>
                <c:ptCount val="2"/>
                <c:pt idx="0">
                  <c:v>Without High Risk Pregnancy</c:v>
                </c:pt>
                <c:pt idx="1">
                  <c:v>With High Risk Pregnancy</c:v>
                </c:pt>
              </c:strCache>
            </c:strRef>
          </c:cat>
          <c:val>
            <c:numRef>
              <c:f>Udupi_pivot!$C$37:$C$39</c:f>
              <c:numCache>
                <c:formatCode>General</c:formatCode>
                <c:ptCount val="2"/>
                <c:pt idx="0">
                  <c:v>9</c:v>
                </c:pt>
                <c:pt idx="1">
                  <c:v>5</c:v>
                </c:pt>
              </c:numCache>
            </c:numRef>
          </c:val>
          <c:extLst>
            <c:ext xmlns:c16="http://schemas.microsoft.com/office/drawing/2014/chart" uri="{C3380CC4-5D6E-409C-BE32-E72D297353CC}">
              <c16:uniqueId val="{00000004-B767-47B2-BF96-CC644E904226}"/>
            </c:ext>
          </c:extLst>
        </c:ser>
        <c:dLbls>
          <c:showLegendKey val="0"/>
          <c:showVal val="1"/>
          <c:showCatName val="0"/>
          <c:showSerName val="0"/>
          <c:showPercent val="0"/>
          <c:showBubbleSize val="0"/>
        </c:dLbls>
        <c:gapWidth val="150"/>
        <c:shape val="box"/>
        <c:axId val="1327902592"/>
        <c:axId val="1327905472"/>
        <c:axId val="0"/>
      </c:bar3DChart>
      <c:catAx>
        <c:axId val="1327902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327905472"/>
        <c:crosses val="autoZero"/>
        <c:auto val="1"/>
        <c:lblAlgn val="ctr"/>
        <c:lblOffset val="100"/>
        <c:noMultiLvlLbl val="0"/>
      </c:catAx>
      <c:valAx>
        <c:axId val="1327905472"/>
        <c:scaling>
          <c:orientation val="minMax"/>
        </c:scaling>
        <c:delete val="1"/>
        <c:axPos val="b"/>
        <c:numFmt formatCode="General" sourceLinked="1"/>
        <c:majorTickMark val="none"/>
        <c:minorTickMark val="none"/>
        <c:tickLblPos val="nextTo"/>
        <c:crossAx val="1327902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death_copy.xlsx]Udupi_pivot!Delivary_type(Ud)</c:name>
    <c:fmtId val="0"/>
  </c:pivotSource>
  <c:chart>
    <c:title>
      <c:tx>
        <c:rich>
          <a:bodyPr rot="0" spcFirstLastPara="1" vertOverflow="ellipsis" vert="horz" wrap="square" anchor="ctr" anchorCtr="1"/>
          <a:lstStyle/>
          <a:p>
            <a:pPr>
              <a:defRPr sz="1260" b="1" i="0" u="none" strike="noStrike" kern="1200" baseline="0">
                <a:solidFill>
                  <a:sysClr val="windowText" lastClr="000000"/>
                </a:solidFill>
                <a:latin typeface="Lato Black" panose="020F0A02020204030203" pitchFamily="34" charset="0"/>
                <a:ea typeface="+mn-ea"/>
                <a:cs typeface="+mn-cs"/>
              </a:defRPr>
            </a:pPr>
            <a:r>
              <a:rPr lang="en-IN" sz="1400" b="1" i="0" u="none" strike="noStrike" kern="1200" baseline="0">
                <a:solidFill>
                  <a:schemeClr val="tx1"/>
                </a:solidFill>
                <a:latin typeface="Lato Black" panose="020F0A02020204030203" pitchFamily="34" charset="0"/>
              </a:rPr>
              <a:t>Delivery Type &amp; Death Category Analysis</a:t>
            </a:r>
          </a:p>
        </c:rich>
      </c:tx>
      <c:layout>
        <c:manualLayout>
          <c:xMode val="edge"/>
          <c:yMode val="edge"/>
          <c:x val="0.15204855643044621"/>
          <c:y val="1.8518518518518517E-2"/>
        </c:manualLayout>
      </c:layout>
      <c:overlay val="0"/>
      <c:spPr>
        <a:noFill/>
        <a:ln>
          <a:noFill/>
        </a:ln>
        <a:effectLst/>
      </c:spPr>
      <c:txPr>
        <a:bodyPr rot="0" spcFirstLastPara="1" vertOverflow="ellipsis" vert="horz" wrap="square" anchor="ctr" anchorCtr="1"/>
        <a:lstStyle/>
        <a:p>
          <a:pPr>
            <a:defRPr sz="126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2309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293547681539807"/>
          <c:y val="0.21483850976961216"/>
          <c:w val="0.72650896762904638"/>
          <c:h val="0.56496937882764642"/>
        </c:manualLayout>
      </c:layout>
      <c:bar3DChart>
        <c:barDir val="col"/>
        <c:grouping val="clustered"/>
        <c:varyColors val="0"/>
        <c:ser>
          <c:idx val="0"/>
          <c:order val="0"/>
          <c:tx>
            <c:strRef>
              <c:f>Udupi_pivot!$B$11:$B$12</c:f>
              <c:strCache>
                <c:ptCount val="1"/>
                <c:pt idx="0">
                  <c:v>Infant Death</c:v>
                </c:pt>
              </c:strCache>
            </c:strRef>
          </c:tx>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4-FB3B-40FF-82F2-A28A6E9B36EA}"/>
              </c:ext>
            </c:extLst>
          </c:dPt>
          <c:dPt>
            <c:idx val="1"/>
            <c:invertIfNegative val="0"/>
            <c:bubble3D val="0"/>
            <c:extLst>
              <c:ext xmlns:c16="http://schemas.microsoft.com/office/drawing/2014/chart" uri="{C3380CC4-5D6E-409C-BE32-E72D297353CC}">
                <c16:uniqueId val="{00000003-FB3B-40FF-82F2-A28A6E9B36EA}"/>
              </c:ext>
            </c:extLst>
          </c:dPt>
          <c:dLbls>
            <c:dLbl>
              <c:idx val="0"/>
              <c:layout>
                <c:manualLayout>
                  <c:x val="0"/>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3B-40FF-82F2-A28A6E9B36EA}"/>
                </c:ext>
              </c:extLst>
            </c:dLbl>
            <c:dLbl>
              <c:idx val="1"/>
              <c:layout>
                <c:manualLayout>
                  <c:x val="8.3333333333333332E-3"/>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3B-40FF-82F2-A28A6E9B36EA}"/>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Udupi_pivot!$A$13:$A$15</c:f>
              <c:strCache>
                <c:ptCount val="2"/>
                <c:pt idx="0">
                  <c:v>LSCS</c:v>
                </c:pt>
                <c:pt idx="1">
                  <c:v>Normal</c:v>
                </c:pt>
              </c:strCache>
            </c:strRef>
          </c:cat>
          <c:val>
            <c:numRef>
              <c:f>Udupi_pivot!$B$13:$B$15</c:f>
              <c:numCache>
                <c:formatCode>General</c:formatCode>
                <c:ptCount val="2"/>
                <c:pt idx="0">
                  <c:v>3</c:v>
                </c:pt>
                <c:pt idx="1">
                  <c:v>6</c:v>
                </c:pt>
              </c:numCache>
            </c:numRef>
          </c:val>
          <c:extLst>
            <c:ext xmlns:c16="http://schemas.microsoft.com/office/drawing/2014/chart" uri="{C3380CC4-5D6E-409C-BE32-E72D297353CC}">
              <c16:uniqueId val="{00000000-FB3B-40FF-82F2-A28A6E9B36EA}"/>
            </c:ext>
          </c:extLst>
        </c:ser>
        <c:ser>
          <c:idx val="1"/>
          <c:order val="1"/>
          <c:tx>
            <c:strRef>
              <c:f>Udupi_pivot!$C$11:$C$12</c:f>
              <c:strCache>
                <c:ptCount val="1"/>
                <c:pt idx="0">
                  <c:v>Neonatal Death</c:v>
                </c:pt>
              </c:strCache>
            </c:strRef>
          </c:tx>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887-4305-9952-CC560522BCFC}"/>
              </c:ext>
            </c:extLst>
          </c:dPt>
          <c:dPt>
            <c:idx val="1"/>
            <c:invertIfNegative val="0"/>
            <c:bubble3D val="0"/>
            <c:extLst>
              <c:ext xmlns:c16="http://schemas.microsoft.com/office/drawing/2014/chart" uri="{C3380CC4-5D6E-409C-BE32-E72D297353CC}">
                <c16:uniqueId val="{00000004-A887-4305-9952-CC560522BCFC}"/>
              </c:ext>
            </c:extLst>
          </c:dPt>
          <c:dLbls>
            <c:dLbl>
              <c:idx val="0"/>
              <c:layout>
                <c:manualLayout>
                  <c:x val="8.3333333333332309E-3"/>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87-4305-9952-CC560522BCFC}"/>
                </c:ext>
              </c:extLst>
            </c:dLbl>
            <c:dLbl>
              <c:idx val="1"/>
              <c:layout>
                <c:manualLayout>
                  <c:x val="0"/>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887-4305-9952-CC560522BCF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Udupi_pivot!$A$13:$A$15</c:f>
              <c:strCache>
                <c:ptCount val="2"/>
                <c:pt idx="0">
                  <c:v>LSCS</c:v>
                </c:pt>
                <c:pt idx="1">
                  <c:v>Normal</c:v>
                </c:pt>
              </c:strCache>
            </c:strRef>
          </c:cat>
          <c:val>
            <c:numRef>
              <c:f>Udupi_pivot!$C$13:$C$15</c:f>
              <c:numCache>
                <c:formatCode>General</c:formatCode>
                <c:ptCount val="2"/>
                <c:pt idx="0">
                  <c:v>7</c:v>
                </c:pt>
                <c:pt idx="1">
                  <c:v>7</c:v>
                </c:pt>
              </c:numCache>
            </c:numRef>
          </c:val>
          <c:extLst>
            <c:ext xmlns:c16="http://schemas.microsoft.com/office/drawing/2014/chart" uri="{C3380CC4-5D6E-409C-BE32-E72D297353CC}">
              <c16:uniqueId val="{00000004-E32C-4E6D-80EF-486E9AD5F9A6}"/>
            </c:ext>
          </c:extLst>
        </c:ser>
        <c:dLbls>
          <c:showLegendKey val="0"/>
          <c:showVal val="1"/>
          <c:showCatName val="0"/>
          <c:showSerName val="0"/>
          <c:showPercent val="0"/>
          <c:showBubbleSize val="0"/>
        </c:dLbls>
        <c:gapWidth val="150"/>
        <c:shape val="box"/>
        <c:axId val="1358775680"/>
        <c:axId val="1358779040"/>
        <c:axId val="0"/>
      </c:bar3DChart>
      <c:catAx>
        <c:axId val="13587756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358779040"/>
        <c:crosses val="autoZero"/>
        <c:auto val="1"/>
        <c:lblAlgn val="ctr"/>
        <c:lblOffset val="100"/>
        <c:noMultiLvlLbl val="0"/>
      </c:catAx>
      <c:valAx>
        <c:axId val="1358779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358775680"/>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death_copy.xlsx]Udupi_pivot!Gender(Ud)</c:name>
    <c:fmtId val="0"/>
  </c:pivotSource>
  <c:chart>
    <c:title>
      <c:tx>
        <c:rich>
          <a:bodyPr rot="0" spcFirstLastPara="1" vertOverflow="ellipsis" vert="horz" wrap="square" anchor="ctr" anchorCtr="1"/>
          <a:lstStyle/>
          <a:p>
            <a:pPr>
              <a:defRPr sz="1260" b="0" i="0" u="none" strike="noStrike" kern="1200" spc="0" baseline="0">
                <a:solidFill>
                  <a:sysClr val="windowText" lastClr="000000"/>
                </a:solidFill>
                <a:latin typeface="Lato Black" panose="020F0A02020204030203" pitchFamily="34" charset="0"/>
                <a:ea typeface="+mn-ea"/>
                <a:cs typeface="+mn-cs"/>
              </a:defRPr>
            </a:pPr>
            <a:r>
              <a:rPr lang="en-IN" sz="1400" b="1" i="0" u="none" strike="noStrike" kern="1200" baseline="0">
                <a:solidFill>
                  <a:schemeClr val="tx1"/>
                </a:solidFill>
                <a:latin typeface="Lato Black" panose="020F0A02020204030203" pitchFamily="34" charset="0"/>
              </a:rPr>
              <a:t>Gender-wise Analysis of Infant &amp; Neonatal Deaths</a:t>
            </a:r>
          </a:p>
        </c:rich>
      </c:tx>
      <c:layout>
        <c:manualLayout>
          <c:xMode val="edge"/>
          <c:yMode val="edge"/>
          <c:x val="0.12161789151356081"/>
          <c:y val="1.8518518518518517E-2"/>
        </c:manualLayout>
      </c:layout>
      <c:overlay val="0"/>
      <c:spPr>
        <a:noFill/>
        <a:ln>
          <a:noFill/>
        </a:ln>
        <a:effectLst/>
      </c:spPr>
      <c:txPr>
        <a:bodyPr rot="0" spcFirstLastPara="1" vertOverflow="ellipsis" vert="horz" wrap="square" anchor="ctr" anchorCtr="1"/>
        <a:lstStyle/>
        <a:p>
          <a:pPr>
            <a:defRPr sz="1260" b="0" i="0" u="none"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a:gsLst>
              <a:gs pos="0">
                <a:schemeClr val="tx2">
                  <a:lumMod val="60000"/>
                  <a:lumOff val="40000"/>
                </a:schemeClr>
              </a:gs>
              <a:gs pos="100000">
                <a:schemeClr val="tx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tx2">
                  <a:lumMod val="60000"/>
                  <a:lumOff val="40000"/>
                </a:schemeClr>
              </a:gs>
              <a:gs pos="100000">
                <a:schemeClr val="tx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layout>
            <c:manualLayout>
              <c:x val="-5.833333333333333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tx2">
                  <a:lumMod val="60000"/>
                  <a:lumOff val="40000"/>
                </a:schemeClr>
              </a:gs>
              <a:gs pos="100000">
                <a:schemeClr val="tx2">
                  <a:lumMod val="75000"/>
                </a:schemeClr>
              </a:gs>
            </a:gsLst>
            <a:lin ang="5400000" scaled="1"/>
          </a:gradFill>
          <a:ln>
            <a:noFill/>
          </a:ln>
          <a:effectLst/>
        </c:spPr>
        <c:marker>
          <c:symbol val="none"/>
        </c:marker>
        <c:dLbl>
          <c:idx val="0"/>
          <c:layout>
            <c:manualLayout>
              <c:x val="0"/>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tx2">
                  <a:lumMod val="60000"/>
                  <a:lumOff val="40000"/>
                </a:schemeClr>
              </a:gs>
              <a:gs pos="100000">
                <a:schemeClr val="tx2">
                  <a:lumMod val="75000"/>
                </a:schemeClr>
              </a:gs>
            </a:gsLst>
            <a:lin ang="5400000" scaled="1"/>
          </a:gradFill>
          <a:ln>
            <a:noFill/>
          </a:ln>
          <a:effectLst/>
        </c:spPr>
        <c:dLbl>
          <c:idx val="0"/>
          <c:layout>
            <c:manualLayout>
              <c:x val="8.3333333333332309E-3"/>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tx2">
                  <a:lumMod val="60000"/>
                  <a:lumOff val="40000"/>
                </a:schemeClr>
              </a:gs>
              <a:gs pos="100000">
                <a:schemeClr val="tx2">
                  <a:lumMod val="75000"/>
                </a:schemeClr>
              </a:gs>
            </a:gsLst>
            <a:lin ang="5400000" scaled="1"/>
          </a:gradFill>
          <a:ln>
            <a:noFill/>
          </a:ln>
          <a:effectLst/>
        </c:spPr>
        <c:dLbl>
          <c:idx val="0"/>
          <c:layout>
            <c:manualLayout>
              <c:x val="0"/>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Udupi_pivot!$B$19:$B$20</c:f>
              <c:strCache>
                <c:ptCount val="1"/>
                <c:pt idx="0">
                  <c:v>Female</c:v>
                </c:pt>
              </c:strCache>
            </c:strRef>
          </c:tx>
          <c:spPr>
            <a:gradFill>
              <a:gsLst>
                <a:gs pos="0">
                  <a:schemeClr val="tx2">
                    <a:lumMod val="60000"/>
                    <a:lumOff val="40000"/>
                  </a:schemeClr>
                </a:gs>
                <a:gs pos="100000">
                  <a:schemeClr val="tx2">
                    <a:lumMod val="75000"/>
                  </a:schemeClr>
                </a:gs>
              </a:gsLst>
              <a:lin ang="5400000" scaled="1"/>
            </a:gradFill>
            <a:ln>
              <a:noFill/>
            </a:ln>
            <a:effectLst/>
          </c:spPr>
          <c:invertIfNegative val="0"/>
          <c:dPt>
            <c:idx val="0"/>
            <c:invertIfNegative val="0"/>
            <c:bubble3D val="0"/>
            <c:extLst>
              <c:ext xmlns:c16="http://schemas.microsoft.com/office/drawing/2014/chart" uri="{C3380CC4-5D6E-409C-BE32-E72D297353CC}">
                <c16:uniqueId val="{00000006-BDA9-45D9-A817-2A01480EB18D}"/>
              </c:ext>
            </c:extLst>
          </c:dPt>
          <c:dPt>
            <c:idx val="1"/>
            <c:invertIfNegative val="0"/>
            <c:bubble3D val="0"/>
            <c:extLst>
              <c:ext xmlns:c16="http://schemas.microsoft.com/office/drawing/2014/chart" uri="{C3380CC4-5D6E-409C-BE32-E72D297353CC}">
                <c16:uniqueId val="{00000005-BDA9-45D9-A817-2A01480EB18D}"/>
              </c:ext>
            </c:extLst>
          </c:dPt>
          <c:dLbls>
            <c:dLbl>
              <c:idx val="0"/>
              <c:layout>
                <c:manualLayout>
                  <c:x val="0"/>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A9-45D9-A817-2A01480EB18D}"/>
                </c:ext>
              </c:extLst>
            </c:dLbl>
            <c:dLbl>
              <c:idx val="1"/>
              <c:layout>
                <c:manualLayout>
                  <c:x val="8.3333333333332309E-3"/>
                  <c:y val="1.38888888888888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DA9-45D9-A817-2A01480EB18D}"/>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Udupi_pivot!$A$21:$A$23</c:f>
              <c:strCache>
                <c:ptCount val="2"/>
                <c:pt idx="0">
                  <c:v>Infant Death</c:v>
                </c:pt>
                <c:pt idx="1">
                  <c:v>Neonatal Death</c:v>
                </c:pt>
              </c:strCache>
            </c:strRef>
          </c:cat>
          <c:val>
            <c:numRef>
              <c:f>Udupi_pivot!$B$21:$B$23</c:f>
              <c:numCache>
                <c:formatCode>General</c:formatCode>
                <c:ptCount val="2"/>
                <c:pt idx="0">
                  <c:v>3</c:v>
                </c:pt>
                <c:pt idx="1">
                  <c:v>6</c:v>
                </c:pt>
              </c:numCache>
            </c:numRef>
          </c:val>
          <c:extLst>
            <c:ext xmlns:c16="http://schemas.microsoft.com/office/drawing/2014/chart" uri="{C3380CC4-5D6E-409C-BE32-E72D297353CC}">
              <c16:uniqueId val="{00000000-BDA9-45D9-A817-2A01480EB18D}"/>
            </c:ext>
          </c:extLst>
        </c:ser>
        <c:ser>
          <c:idx val="1"/>
          <c:order val="1"/>
          <c:tx>
            <c:strRef>
              <c:f>Udupi_pivot!$C$19:$C$20</c:f>
              <c:strCache>
                <c:ptCount val="1"/>
                <c:pt idx="0">
                  <c:v>Male</c:v>
                </c:pt>
              </c:strCache>
            </c:strRef>
          </c:tx>
          <c:spPr>
            <a:gradFill>
              <a:gsLst>
                <a:gs pos="0">
                  <a:schemeClr val="tx2">
                    <a:lumMod val="60000"/>
                    <a:lumOff val="40000"/>
                  </a:schemeClr>
                </a:gs>
                <a:gs pos="100000">
                  <a:schemeClr val="tx2">
                    <a:lumMod val="75000"/>
                  </a:schemeClr>
                </a:gs>
              </a:gsLst>
              <a:lin ang="5400000" scaled="1"/>
            </a:gra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EC04-4C67-BF53-8A1BCAA9890F}"/>
              </c:ext>
            </c:extLst>
          </c:dPt>
          <c:dPt>
            <c:idx val="1"/>
            <c:invertIfNegative val="0"/>
            <c:bubble3D val="0"/>
            <c:extLst>
              <c:ext xmlns:c16="http://schemas.microsoft.com/office/drawing/2014/chart" uri="{C3380CC4-5D6E-409C-BE32-E72D297353CC}">
                <c16:uniqueId val="{00000004-EC04-4C67-BF53-8A1BCAA9890F}"/>
              </c:ext>
            </c:extLst>
          </c:dPt>
          <c:dLbls>
            <c:dLbl>
              <c:idx val="0"/>
              <c:layout>
                <c:manualLayout>
                  <c:x val="-5.8333333333333334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04-4C67-BF53-8A1BCAA9890F}"/>
                </c:ext>
              </c:extLst>
            </c:dLbl>
            <c:dLbl>
              <c:idx val="1"/>
              <c:layout>
                <c:manualLayout>
                  <c:x val="0"/>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04-4C67-BF53-8A1BCAA9890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Udupi_pivot!$A$21:$A$23</c:f>
              <c:strCache>
                <c:ptCount val="2"/>
                <c:pt idx="0">
                  <c:v>Infant Death</c:v>
                </c:pt>
                <c:pt idx="1">
                  <c:v>Neonatal Death</c:v>
                </c:pt>
              </c:strCache>
            </c:strRef>
          </c:cat>
          <c:val>
            <c:numRef>
              <c:f>Udupi_pivot!$C$21:$C$23</c:f>
              <c:numCache>
                <c:formatCode>General</c:formatCode>
                <c:ptCount val="2"/>
                <c:pt idx="0">
                  <c:v>6</c:v>
                </c:pt>
                <c:pt idx="1">
                  <c:v>8</c:v>
                </c:pt>
              </c:numCache>
            </c:numRef>
          </c:val>
          <c:extLst>
            <c:ext xmlns:c16="http://schemas.microsoft.com/office/drawing/2014/chart" uri="{C3380CC4-5D6E-409C-BE32-E72D297353CC}">
              <c16:uniqueId val="{00000004-893B-4669-B25C-0353E87C6BB1}"/>
            </c:ext>
          </c:extLst>
        </c:ser>
        <c:dLbls>
          <c:showLegendKey val="0"/>
          <c:showVal val="1"/>
          <c:showCatName val="0"/>
          <c:showSerName val="0"/>
          <c:showPercent val="0"/>
          <c:showBubbleSize val="0"/>
        </c:dLbls>
        <c:gapWidth val="219"/>
        <c:overlap val="-27"/>
        <c:axId val="1158711856"/>
        <c:axId val="1158695536"/>
      </c:barChart>
      <c:catAx>
        <c:axId val="115871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158695536"/>
        <c:crosses val="autoZero"/>
        <c:auto val="1"/>
        <c:lblAlgn val="ctr"/>
        <c:lblOffset val="100"/>
        <c:noMultiLvlLbl val="0"/>
      </c:catAx>
      <c:valAx>
        <c:axId val="1158695536"/>
        <c:scaling>
          <c:orientation val="minMax"/>
        </c:scaling>
        <c:delete val="1"/>
        <c:axPos val="l"/>
        <c:numFmt formatCode="General" sourceLinked="1"/>
        <c:majorTickMark val="none"/>
        <c:minorTickMark val="none"/>
        <c:tickLblPos val="nextTo"/>
        <c:crossAx val="1158711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death_copy.xlsx]Udupi_pivot!Preventable(Ud)</c:name>
    <c:fmtId val="0"/>
  </c:pivotSource>
  <c:chart>
    <c:title>
      <c:tx>
        <c:rich>
          <a:bodyPr rot="0" spcFirstLastPara="1" vertOverflow="ellipsis" vert="horz" wrap="square" anchor="ctr" anchorCtr="1"/>
          <a:lstStyle/>
          <a:p>
            <a:pPr>
              <a:defRPr sz="1260" b="1" i="0" u="none" strike="noStrike" kern="1200" baseline="0">
                <a:solidFill>
                  <a:sysClr val="windowText" lastClr="000000"/>
                </a:solidFill>
                <a:latin typeface="Lato Black" panose="020F0A02020204030203" pitchFamily="34" charset="0"/>
                <a:ea typeface="+mn-ea"/>
                <a:cs typeface="+mn-cs"/>
              </a:defRPr>
            </a:pPr>
            <a:r>
              <a:rPr lang="en-IN" sz="1400" b="1" i="0" u="none" strike="noStrike" kern="1200" baseline="0">
                <a:solidFill>
                  <a:schemeClr val="tx1"/>
                </a:solidFill>
                <a:latin typeface="Lato Black" panose="020F0A02020204030203" pitchFamily="34" charset="0"/>
              </a:rPr>
              <a:t>Preventability of Infant &amp; Neonatal Deaths</a:t>
            </a:r>
          </a:p>
        </c:rich>
      </c:tx>
      <c:overlay val="0"/>
      <c:spPr>
        <a:noFill/>
        <a:ln>
          <a:noFill/>
        </a:ln>
        <a:effectLst/>
      </c:spPr>
      <c:txPr>
        <a:bodyPr rot="0" spcFirstLastPara="1" vertOverflow="ellipsis" vert="horz" wrap="square" anchor="ctr" anchorCtr="1"/>
        <a:lstStyle/>
        <a:p>
          <a:pPr>
            <a:defRPr sz="126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rgbClr val="F06128"/>
              </a:gs>
              <a:gs pos="99000">
                <a:srgbClr val="9C060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F06128"/>
              </a:gs>
              <a:gs pos="99000">
                <a:srgbClr val="9C0606"/>
              </a:gs>
            </a:gsLst>
            <a:lin ang="5400000" scaled="1"/>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Udupi_pivot!$B$27:$B$28</c:f>
              <c:strCache>
                <c:ptCount val="1"/>
                <c:pt idx="0">
                  <c:v>Infant Death</c:v>
                </c:pt>
              </c:strCache>
            </c:strRef>
          </c:tx>
          <c:spPr>
            <a:gradFill rotWithShape="1">
              <a:gsLst>
                <a:gs pos="0">
                  <a:srgbClr val="F06128"/>
                </a:gs>
                <a:gs pos="99000">
                  <a:srgbClr val="9C060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Udupi_pivot!$A$29:$A$31</c:f>
              <c:strCache>
                <c:ptCount val="2"/>
                <c:pt idx="0">
                  <c:v>Non-Preventable</c:v>
                </c:pt>
                <c:pt idx="1">
                  <c:v>Preventable</c:v>
                </c:pt>
              </c:strCache>
            </c:strRef>
          </c:cat>
          <c:val>
            <c:numRef>
              <c:f>Udupi_pivot!$B$29:$B$31</c:f>
              <c:numCache>
                <c:formatCode>General</c:formatCode>
                <c:ptCount val="2"/>
                <c:pt idx="0">
                  <c:v>5</c:v>
                </c:pt>
                <c:pt idx="1">
                  <c:v>4</c:v>
                </c:pt>
              </c:numCache>
            </c:numRef>
          </c:val>
          <c:extLst>
            <c:ext xmlns:c16="http://schemas.microsoft.com/office/drawing/2014/chart" uri="{C3380CC4-5D6E-409C-BE32-E72D297353CC}">
              <c16:uniqueId val="{00000000-FA82-4809-BF37-110CCA65ED69}"/>
            </c:ext>
          </c:extLst>
        </c:ser>
        <c:ser>
          <c:idx val="1"/>
          <c:order val="1"/>
          <c:tx>
            <c:strRef>
              <c:f>Udupi_pivot!$C$27:$C$28</c:f>
              <c:strCache>
                <c:ptCount val="1"/>
                <c:pt idx="0">
                  <c:v>Neonatal Death</c:v>
                </c:pt>
              </c:strCache>
            </c:strRef>
          </c:tx>
          <c:spPr>
            <a:gradFill rotWithShape="1">
              <a:gsLst>
                <a:gs pos="0">
                  <a:srgbClr val="F06128"/>
                </a:gs>
                <a:gs pos="99000">
                  <a:srgbClr val="9C0606"/>
                </a:gs>
              </a:gsLst>
              <a:lin ang="5400000" scaled="1"/>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Udupi_pivot!$A$29:$A$31</c:f>
              <c:strCache>
                <c:ptCount val="2"/>
                <c:pt idx="0">
                  <c:v>Non-Preventable</c:v>
                </c:pt>
                <c:pt idx="1">
                  <c:v>Preventable</c:v>
                </c:pt>
              </c:strCache>
            </c:strRef>
          </c:cat>
          <c:val>
            <c:numRef>
              <c:f>Udupi_pivot!$C$29:$C$31</c:f>
              <c:numCache>
                <c:formatCode>General</c:formatCode>
                <c:ptCount val="2"/>
                <c:pt idx="0">
                  <c:v>8</c:v>
                </c:pt>
                <c:pt idx="1">
                  <c:v>6</c:v>
                </c:pt>
              </c:numCache>
            </c:numRef>
          </c:val>
          <c:extLst>
            <c:ext xmlns:c16="http://schemas.microsoft.com/office/drawing/2014/chart" uri="{C3380CC4-5D6E-409C-BE32-E72D297353CC}">
              <c16:uniqueId val="{00000000-2CE7-413C-B683-CB095A2E7DA1}"/>
            </c:ext>
          </c:extLst>
        </c:ser>
        <c:dLbls>
          <c:showLegendKey val="0"/>
          <c:showVal val="0"/>
          <c:showCatName val="0"/>
          <c:showSerName val="0"/>
          <c:showPercent val="0"/>
          <c:showBubbleSize val="0"/>
        </c:dLbls>
        <c:axId val="829772256"/>
        <c:axId val="829769856"/>
      </c:areaChart>
      <c:valAx>
        <c:axId val="829769856"/>
        <c:scaling>
          <c:orientation val="minMax"/>
          <c:max val="5"/>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829772256"/>
        <c:crosses val="max"/>
        <c:crossBetween val="between"/>
      </c:valAx>
      <c:catAx>
        <c:axId val="829772256"/>
        <c:scaling>
          <c:orientation val="minMax"/>
        </c:scaling>
        <c:delete val="1"/>
        <c:axPos val="b"/>
        <c:numFmt formatCode="General" sourceLinked="1"/>
        <c:majorTickMark val="none"/>
        <c:minorTickMark val="none"/>
        <c:tickLblPos val="nextTo"/>
        <c:crossAx val="829769856"/>
        <c:crosses val="autoZero"/>
        <c:auto val="1"/>
        <c:lblAlgn val="ctr"/>
        <c:lblOffset val="100"/>
        <c:noMultiLvlLbl val="0"/>
      </c:cat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death_copy.xlsx]District pivot!PivotTable5</c:name>
    <c:fmtId val="8"/>
  </c:pivotSource>
  <c:chart>
    <c:title>
      <c:overlay val="0"/>
      <c:spPr>
        <a:noFill/>
        <a:ln>
          <a:noFill/>
        </a:ln>
        <a:effectLst/>
      </c:spPr>
      <c:txPr>
        <a:bodyPr rot="0" spcFirstLastPara="1" vertOverflow="ellipsis" vert="horz" wrap="square" anchor="ctr" anchorCtr="1"/>
        <a:lstStyle/>
        <a:p>
          <a:pPr>
            <a:defRPr sz="126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'District pivot'!$AA$13:$AA$14</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'District pivot'!$Z$15:$Z$17</c:f>
              <c:strCache>
                <c:ptCount val="2"/>
                <c:pt idx="0">
                  <c:v>Late Pre-term (34-36 weeks): NO</c:v>
                </c:pt>
                <c:pt idx="1">
                  <c:v>Late Pre-term (34-36 weeks): YES</c:v>
                </c:pt>
              </c:strCache>
            </c:strRef>
          </c:cat>
          <c:val>
            <c:numRef>
              <c:f>'District pivot'!$AA$15:$AA$17</c:f>
              <c:numCache>
                <c:formatCode>General</c:formatCode>
                <c:ptCount val="2"/>
                <c:pt idx="0">
                  <c:v>26</c:v>
                </c:pt>
                <c:pt idx="1">
                  <c:v>1</c:v>
                </c:pt>
              </c:numCache>
            </c:numRef>
          </c:val>
          <c:extLst>
            <c:ext xmlns:c16="http://schemas.microsoft.com/office/drawing/2014/chart" uri="{C3380CC4-5D6E-409C-BE32-E72D297353CC}">
              <c16:uniqueId val="{00000000-3B92-4E9D-88C8-C4EEA7227A00}"/>
            </c:ext>
          </c:extLst>
        </c:ser>
        <c:ser>
          <c:idx val="1"/>
          <c:order val="1"/>
          <c:tx>
            <c:strRef>
              <c:f>'District pivot'!$AB$13:$AB$14</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'District pivot'!$Z$15:$Z$17</c:f>
              <c:strCache>
                <c:ptCount val="2"/>
                <c:pt idx="0">
                  <c:v>Late Pre-term (34-36 weeks): NO</c:v>
                </c:pt>
                <c:pt idx="1">
                  <c:v>Late Pre-term (34-36 weeks): YES</c:v>
                </c:pt>
              </c:strCache>
            </c:strRef>
          </c:cat>
          <c:val>
            <c:numRef>
              <c:f>'District pivot'!$AB$15:$AB$17</c:f>
              <c:numCache>
                <c:formatCode>General</c:formatCode>
                <c:ptCount val="2"/>
                <c:pt idx="0">
                  <c:v>45</c:v>
                </c:pt>
                <c:pt idx="1">
                  <c:v>1</c:v>
                </c:pt>
              </c:numCache>
            </c:numRef>
          </c:val>
          <c:extLst>
            <c:ext xmlns:c16="http://schemas.microsoft.com/office/drawing/2014/chart" uri="{C3380CC4-5D6E-409C-BE32-E72D297353CC}">
              <c16:uniqueId val="{00000001-3B92-4E9D-88C8-C4EEA7227A00}"/>
            </c:ext>
          </c:extLst>
        </c:ser>
        <c:dLbls>
          <c:showLegendKey val="0"/>
          <c:showVal val="1"/>
          <c:showCatName val="0"/>
          <c:showSerName val="0"/>
          <c:showPercent val="0"/>
          <c:showBubbleSize val="0"/>
        </c:dLbls>
        <c:gapWidth val="150"/>
        <c:shape val="box"/>
        <c:axId val="64092192"/>
        <c:axId val="64087872"/>
        <c:axId val="0"/>
      </c:bar3DChart>
      <c:catAx>
        <c:axId val="640921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64087872"/>
        <c:crosses val="autoZero"/>
        <c:auto val="1"/>
        <c:lblAlgn val="ctr"/>
        <c:lblOffset val="100"/>
        <c:noMultiLvlLbl val="0"/>
      </c:catAx>
      <c:valAx>
        <c:axId val="6408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64092192"/>
        <c:crosses val="autoZero"/>
        <c:crossBetween val="between"/>
      </c:valAx>
      <c:dTable>
        <c:showHorzBorder val="1"/>
        <c:showVertBorder val="1"/>
        <c:showOutline val="1"/>
        <c:showKeys val="1"/>
        <c:spPr>
          <a:noFill/>
          <a:ln w="9525" cap="flat" cmpd="sng" algn="ctr">
            <a:solidFill>
              <a:sysClr val="windowText" lastClr="000000"/>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sz="1050">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death_copy.xlsx]District pivot!PivotTable1</c:name>
    <c:fmtId val="14"/>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sng" strike="noStrike" kern="1200" baseline="0">
                <a:solidFill>
                  <a:sysClr val="windowText" lastClr="000000"/>
                </a:solidFill>
                <a:latin typeface="Lato Black" panose="020F0A02020204030203" pitchFamily="34" charset="0"/>
              </a:rPr>
              <a:t>Infant Deaths by LBW Status</a:t>
            </a:r>
          </a:p>
        </c:rich>
      </c:tx>
      <c:layout>
        <c:manualLayout>
          <c:xMode val="edge"/>
          <c:yMode val="edge"/>
          <c:x val="0.24144955365427812"/>
          <c:y val="2.2534324133050246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15113735783025"/>
          <c:y val="0.15217373869932924"/>
          <c:w val="0.82663560804899383"/>
          <c:h val="0.74042687372411775"/>
        </c:manualLayout>
      </c:layout>
      <c:bar3DChart>
        <c:barDir val="bar"/>
        <c:grouping val="clustered"/>
        <c:varyColors val="0"/>
        <c:ser>
          <c:idx val="0"/>
          <c:order val="0"/>
          <c:tx>
            <c:strRef>
              <c:f>'District pivot'!$G$13:$G$14</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'District pivot'!$F$15:$F$17</c:f>
              <c:strCache>
                <c:ptCount val="2"/>
                <c:pt idx="0">
                  <c:v>LBW: NO</c:v>
                </c:pt>
                <c:pt idx="1">
                  <c:v>LBW: YES</c:v>
                </c:pt>
              </c:strCache>
            </c:strRef>
          </c:cat>
          <c:val>
            <c:numRef>
              <c:f>'District pivot'!$G$15:$G$17</c:f>
              <c:numCache>
                <c:formatCode>General</c:formatCode>
                <c:ptCount val="2"/>
                <c:pt idx="0">
                  <c:v>26</c:v>
                </c:pt>
                <c:pt idx="1">
                  <c:v>1</c:v>
                </c:pt>
              </c:numCache>
            </c:numRef>
          </c:val>
          <c:extLst>
            <c:ext xmlns:c16="http://schemas.microsoft.com/office/drawing/2014/chart" uri="{C3380CC4-5D6E-409C-BE32-E72D297353CC}">
              <c16:uniqueId val="{00000000-1EC8-4D9D-8B39-F7D59F415772}"/>
            </c:ext>
          </c:extLst>
        </c:ser>
        <c:ser>
          <c:idx val="1"/>
          <c:order val="1"/>
          <c:tx>
            <c:strRef>
              <c:f>'District pivot'!$H$13:$H$14</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'District pivot'!$F$15:$F$17</c:f>
              <c:strCache>
                <c:ptCount val="2"/>
                <c:pt idx="0">
                  <c:v>LBW: NO</c:v>
                </c:pt>
                <c:pt idx="1">
                  <c:v>LBW: YES</c:v>
                </c:pt>
              </c:strCache>
            </c:strRef>
          </c:cat>
          <c:val>
            <c:numRef>
              <c:f>'District pivot'!$H$15:$H$17</c:f>
              <c:numCache>
                <c:formatCode>General</c:formatCode>
                <c:ptCount val="2"/>
                <c:pt idx="0">
                  <c:v>12</c:v>
                </c:pt>
                <c:pt idx="1">
                  <c:v>34</c:v>
                </c:pt>
              </c:numCache>
            </c:numRef>
          </c:val>
          <c:extLst>
            <c:ext xmlns:c16="http://schemas.microsoft.com/office/drawing/2014/chart" uri="{C3380CC4-5D6E-409C-BE32-E72D297353CC}">
              <c16:uniqueId val="{00000001-1EC8-4D9D-8B39-F7D59F415772}"/>
            </c:ext>
          </c:extLst>
        </c:ser>
        <c:dLbls>
          <c:showLegendKey val="0"/>
          <c:showVal val="1"/>
          <c:showCatName val="0"/>
          <c:showSerName val="0"/>
          <c:showPercent val="0"/>
          <c:showBubbleSize val="0"/>
        </c:dLbls>
        <c:gapWidth val="150"/>
        <c:shape val="box"/>
        <c:axId val="395982496"/>
        <c:axId val="395981056"/>
        <c:axId val="0"/>
      </c:bar3DChart>
      <c:catAx>
        <c:axId val="395982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395981056"/>
        <c:crosses val="autoZero"/>
        <c:auto val="1"/>
        <c:lblAlgn val="ctr"/>
        <c:lblOffset val="100"/>
        <c:noMultiLvlLbl val="0"/>
      </c:catAx>
      <c:valAx>
        <c:axId val="395981056"/>
        <c:scaling>
          <c:orientation val="minMax"/>
        </c:scaling>
        <c:delete val="1"/>
        <c:axPos val="b"/>
        <c:numFmt formatCode="General" sourceLinked="1"/>
        <c:majorTickMark val="none"/>
        <c:minorTickMark val="none"/>
        <c:tickLblPos val="nextTo"/>
        <c:crossAx val="395982496"/>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sz="1050">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death_copy.xlsx]District pivot!PivotTable2</c:name>
    <c:fmtId val="7"/>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sng" strike="noStrike" kern="1200" baseline="0">
                <a:solidFill>
                  <a:sysClr val="windowText" lastClr="000000"/>
                </a:solidFill>
                <a:latin typeface="Lato Black" panose="020F0A02020204030203" pitchFamily="34" charset="0"/>
              </a:rPr>
              <a:t>Infant Deaths by Extreme Premature Status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6762744316646282"/>
          <c:y val="0.16966183574879226"/>
          <c:w val="0.52364655334313581"/>
          <c:h val="0.47212522347750008"/>
        </c:manualLayout>
      </c:layout>
      <c:bar3DChart>
        <c:barDir val="bar"/>
        <c:grouping val="clustered"/>
        <c:varyColors val="0"/>
        <c:ser>
          <c:idx val="0"/>
          <c:order val="0"/>
          <c:tx>
            <c:strRef>
              <c:f>'District pivot'!$L$13:$L$14</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'District pivot'!$K$15:$K$17</c:f>
              <c:strCache>
                <c:ptCount val="2"/>
                <c:pt idx="0">
                  <c:v>Extreme preterm (&lt;28 weeks): NO</c:v>
                </c:pt>
                <c:pt idx="1">
                  <c:v>Extreme preterm (&lt;28 weeks): YES</c:v>
                </c:pt>
              </c:strCache>
            </c:strRef>
          </c:cat>
          <c:val>
            <c:numRef>
              <c:f>'District pivot'!$L$15:$L$17</c:f>
              <c:numCache>
                <c:formatCode>General</c:formatCode>
                <c:ptCount val="2"/>
                <c:pt idx="0">
                  <c:v>26</c:v>
                </c:pt>
                <c:pt idx="1">
                  <c:v>1</c:v>
                </c:pt>
              </c:numCache>
            </c:numRef>
          </c:val>
          <c:extLst>
            <c:ext xmlns:c16="http://schemas.microsoft.com/office/drawing/2014/chart" uri="{C3380CC4-5D6E-409C-BE32-E72D297353CC}">
              <c16:uniqueId val="{00000000-00A9-468D-A63C-09E60D7EABB8}"/>
            </c:ext>
          </c:extLst>
        </c:ser>
        <c:ser>
          <c:idx val="1"/>
          <c:order val="1"/>
          <c:tx>
            <c:strRef>
              <c:f>'District pivot'!$M$13:$M$14</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'District pivot'!$K$15:$K$17</c:f>
              <c:strCache>
                <c:ptCount val="2"/>
                <c:pt idx="0">
                  <c:v>Extreme preterm (&lt;28 weeks): NO</c:v>
                </c:pt>
                <c:pt idx="1">
                  <c:v>Extreme preterm (&lt;28 weeks): YES</c:v>
                </c:pt>
              </c:strCache>
            </c:strRef>
          </c:cat>
          <c:val>
            <c:numRef>
              <c:f>'District pivot'!$M$15:$M$17</c:f>
              <c:numCache>
                <c:formatCode>General</c:formatCode>
                <c:ptCount val="2"/>
                <c:pt idx="0">
                  <c:v>27</c:v>
                </c:pt>
                <c:pt idx="1">
                  <c:v>19</c:v>
                </c:pt>
              </c:numCache>
            </c:numRef>
          </c:val>
          <c:extLst>
            <c:ext xmlns:c16="http://schemas.microsoft.com/office/drawing/2014/chart" uri="{C3380CC4-5D6E-409C-BE32-E72D297353CC}">
              <c16:uniqueId val="{00000001-00A9-468D-A63C-09E60D7EABB8}"/>
            </c:ext>
          </c:extLst>
        </c:ser>
        <c:dLbls>
          <c:showLegendKey val="0"/>
          <c:showVal val="1"/>
          <c:showCatName val="0"/>
          <c:showSerName val="0"/>
          <c:showPercent val="0"/>
          <c:showBubbleSize val="0"/>
        </c:dLbls>
        <c:gapWidth val="150"/>
        <c:shape val="box"/>
        <c:axId val="1924460992"/>
        <c:axId val="1924454752"/>
        <c:axId val="0"/>
      </c:bar3DChart>
      <c:catAx>
        <c:axId val="19244609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924454752"/>
        <c:crosses val="autoZero"/>
        <c:auto val="1"/>
        <c:lblAlgn val="ctr"/>
        <c:lblOffset val="100"/>
        <c:noMultiLvlLbl val="0"/>
      </c:catAx>
      <c:valAx>
        <c:axId val="1924454752"/>
        <c:scaling>
          <c:orientation val="minMax"/>
        </c:scaling>
        <c:delete val="1"/>
        <c:axPos val="b"/>
        <c:numFmt formatCode="General" sourceLinked="1"/>
        <c:majorTickMark val="none"/>
        <c:minorTickMark val="none"/>
        <c:tickLblPos val="nextTo"/>
        <c:crossAx val="1924460992"/>
        <c:crosses val="autoZero"/>
        <c:crossBetween val="between"/>
      </c:valAx>
      <c:dTable>
        <c:showHorzBorder val="1"/>
        <c:showVertBorder val="1"/>
        <c:showOutline val="1"/>
        <c:showKeys val="1"/>
        <c:spPr>
          <a:noFill/>
          <a:ln w="9525" cap="flat" cmpd="sng" algn="ctr">
            <a:solidFill>
              <a:sysClr val="windowText" lastClr="000000"/>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sz="1050">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death_copy.xlsx]District pivot!PivotTable3</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sng" strike="noStrike" kern="1200" baseline="0">
                <a:solidFill>
                  <a:sysClr val="windowText" lastClr="000000"/>
                </a:solidFill>
                <a:latin typeface="Lato Black" panose="020F0A02020204030203" pitchFamily="34" charset="0"/>
              </a:rPr>
              <a:t>Infant Deaths by Early Premature Status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225087489063866"/>
          <c:y val="0.12092592592592592"/>
          <c:w val="0.61583245844269463"/>
          <c:h val="0.46629593175853018"/>
        </c:manualLayout>
      </c:layout>
      <c:bar3DChart>
        <c:barDir val="bar"/>
        <c:grouping val="clustered"/>
        <c:varyColors val="0"/>
        <c:ser>
          <c:idx val="0"/>
          <c:order val="0"/>
          <c:tx>
            <c:strRef>
              <c:f>'District pivot'!$Q$13:$Q$14</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'District pivot'!$P$15:$P$17</c:f>
              <c:strCache>
                <c:ptCount val="2"/>
                <c:pt idx="0">
                  <c:v>Early Premature (28-31 weeks): NO</c:v>
                </c:pt>
                <c:pt idx="1">
                  <c:v>Early Premature (28-31 weeks): YES</c:v>
                </c:pt>
              </c:strCache>
            </c:strRef>
          </c:cat>
          <c:val>
            <c:numRef>
              <c:f>'District pivot'!$Q$15:$Q$17</c:f>
              <c:numCache>
                <c:formatCode>General</c:formatCode>
                <c:ptCount val="2"/>
                <c:pt idx="0">
                  <c:v>27</c:v>
                </c:pt>
              </c:numCache>
            </c:numRef>
          </c:val>
          <c:extLst>
            <c:ext xmlns:c16="http://schemas.microsoft.com/office/drawing/2014/chart" uri="{C3380CC4-5D6E-409C-BE32-E72D297353CC}">
              <c16:uniqueId val="{00000000-33F2-40A0-AAAF-4EC9BEA29B91}"/>
            </c:ext>
          </c:extLst>
        </c:ser>
        <c:ser>
          <c:idx val="1"/>
          <c:order val="1"/>
          <c:tx>
            <c:strRef>
              <c:f>'District pivot'!$R$13:$R$14</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'District pivot'!$P$15:$P$17</c:f>
              <c:strCache>
                <c:ptCount val="2"/>
                <c:pt idx="0">
                  <c:v>Early Premature (28-31 weeks): NO</c:v>
                </c:pt>
                <c:pt idx="1">
                  <c:v>Early Premature (28-31 weeks): YES</c:v>
                </c:pt>
              </c:strCache>
            </c:strRef>
          </c:cat>
          <c:val>
            <c:numRef>
              <c:f>'District pivot'!$R$15:$R$17</c:f>
              <c:numCache>
                <c:formatCode>General</c:formatCode>
                <c:ptCount val="2"/>
                <c:pt idx="0">
                  <c:v>40</c:v>
                </c:pt>
                <c:pt idx="1">
                  <c:v>6</c:v>
                </c:pt>
              </c:numCache>
            </c:numRef>
          </c:val>
          <c:extLst>
            <c:ext xmlns:c16="http://schemas.microsoft.com/office/drawing/2014/chart" uri="{C3380CC4-5D6E-409C-BE32-E72D297353CC}">
              <c16:uniqueId val="{00000001-33F2-40A0-AAAF-4EC9BEA29B91}"/>
            </c:ext>
          </c:extLst>
        </c:ser>
        <c:dLbls>
          <c:showLegendKey val="0"/>
          <c:showVal val="1"/>
          <c:showCatName val="0"/>
          <c:showSerName val="0"/>
          <c:showPercent val="0"/>
          <c:showBubbleSize val="0"/>
        </c:dLbls>
        <c:gapWidth val="150"/>
        <c:shape val="box"/>
        <c:axId val="397585376"/>
        <c:axId val="397586336"/>
        <c:axId val="0"/>
      </c:bar3DChart>
      <c:catAx>
        <c:axId val="3975853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397586336"/>
        <c:crosses val="autoZero"/>
        <c:auto val="1"/>
        <c:lblAlgn val="ctr"/>
        <c:lblOffset val="100"/>
        <c:noMultiLvlLbl val="0"/>
      </c:catAx>
      <c:valAx>
        <c:axId val="397586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397585376"/>
        <c:crosses val="autoZero"/>
        <c:crossBetween val="between"/>
      </c:valAx>
      <c:dTable>
        <c:showHorzBorder val="1"/>
        <c:showVertBorder val="1"/>
        <c:showOutline val="1"/>
        <c:showKeys val="1"/>
        <c:spPr>
          <a:noFill/>
          <a:ln w="9525" cap="flat" cmpd="sng" algn="ctr">
            <a:solidFill>
              <a:sysClr val="windowText" lastClr="000000"/>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sz="1050">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death_copy.xlsx]District pivot!PivotTable4</c:name>
    <c:fmtId val="4"/>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sng" strike="noStrike" kern="1200" baseline="0">
                <a:solidFill>
                  <a:sysClr val="windowText" lastClr="000000"/>
                </a:solidFill>
                <a:latin typeface="Lato Black" panose="020F0A02020204030203" pitchFamily="34" charset="0"/>
              </a:rPr>
              <a:t>Infant Deaths by Moderate Premature Status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'District pivot'!$V$13:$V$14</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'District pivot'!$U$15:$U$17</c:f>
              <c:strCache>
                <c:ptCount val="2"/>
                <c:pt idx="0">
                  <c:v>Morderate Premature (&lt;32-33 weeks): NO</c:v>
                </c:pt>
                <c:pt idx="1">
                  <c:v>Morderate Premature (&lt;32-33 weeks): YES</c:v>
                </c:pt>
              </c:strCache>
            </c:strRef>
          </c:cat>
          <c:val>
            <c:numRef>
              <c:f>'District pivot'!$V$15:$V$17</c:f>
              <c:numCache>
                <c:formatCode>General</c:formatCode>
                <c:ptCount val="2"/>
                <c:pt idx="0">
                  <c:v>26</c:v>
                </c:pt>
                <c:pt idx="1">
                  <c:v>1</c:v>
                </c:pt>
              </c:numCache>
            </c:numRef>
          </c:val>
          <c:extLst>
            <c:ext xmlns:c16="http://schemas.microsoft.com/office/drawing/2014/chart" uri="{C3380CC4-5D6E-409C-BE32-E72D297353CC}">
              <c16:uniqueId val="{00000000-B62D-4249-8F2D-BEB1A4A07389}"/>
            </c:ext>
          </c:extLst>
        </c:ser>
        <c:ser>
          <c:idx val="1"/>
          <c:order val="1"/>
          <c:tx>
            <c:strRef>
              <c:f>'District pivot'!$W$13:$W$14</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'District pivot'!$U$15:$U$17</c:f>
              <c:strCache>
                <c:ptCount val="2"/>
                <c:pt idx="0">
                  <c:v>Morderate Premature (&lt;32-33 weeks): NO</c:v>
                </c:pt>
                <c:pt idx="1">
                  <c:v>Morderate Premature (&lt;32-33 weeks): YES</c:v>
                </c:pt>
              </c:strCache>
            </c:strRef>
          </c:cat>
          <c:val>
            <c:numRef>
              <c:f>'District pivot'!$W$15:$W$17</c:f>
              <c:numCache>
                <c:formatCode>General</c:formatCode>
                <c:ptCount val="2"/>
                <c:pt idx="0">
                  <c:v>41</c:v>
                </c:pt>
                <c:pt idx="1">
                  <c:v>5</c:v>
                </c:pt>
              </c:numCache>
            </c:numRef>
          </c:val>
          <c:extLst>
            <c:ext xmlns:c16="http://schemas.microsoft.com/office/drawing/2014/chart" uri="{C3380CC4-5D6E-409C-BE32-E72D297353CC}">
              <c16:uniqueId val="{00000001-B62D-4249-8F2D-BEB1A4A07389}"/>
            </c:ext>
          </c:extLst>
        </c:ser>
        <c:dLbls>
          <c:showLegendKey val="0"/>
          <c:showVal val="1"/>
          <c:showCatName val="0"/>
          <c:showSerName val="0"/>
          <c:showPercent val="0"/>
          <c:showBubbleSize val="0"/>
        </c:dLbls>
        <c:gapWidth val="150"/>
        <c:shape val="box"/>
        <c:axId val="466117168"/>
        <c:axId val="466110448"/>
        <c:axId val="0"/>
      </c:bar3DChart>
      <c:catAx>
        <c:axId val="4661171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466110448"/>
        <c:crosses val="autoZero"/>
        <c:auto val="1"/>
        <c:lblAlgn val="ctr"/>
        <c:lblOffset val="100"/>
        <c:noMultiLvlLbl val="0"/>
      </c:catAx>
      <c:valAx>
        <c:axId val="466110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466117168"/>
        <c:crosses val="autoZero"/>
        <c:crossBetween val="between"/>
      </c:valAx>
      <c:dTable>
        <c:showHorzBorder val="1"/>
        <c:showVertBorder val="1"/>
        <c:showOutline val="1"/>
        <c:showKeys val="1"/>
        <c:spPr>
          <a:noFill/>
          <a:ln w="9525" cap="flat" cmpd="sng" algn="ctr">
            <a:solidFill>
              <a:sysClr val="windowText" lastClr="000000"/>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sz="1050">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death_copy.xlsx]District pivot!PivotTable5</c:name>
    <c:fmtId val="12"/>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sng" strike="noStrike" kern="1200" baseline="0">
                <a:solidFill>
                  <a:sysClr val="windowText" lastClr="000000"/>
                </a:solidFill>
                <a:latin typeface="Lato Black" panose="020F0A02020204030203" pitchFamily="34" charset="0"/>
              </a:rPr>
              <a:t>Infant Deaths by Late Premature Status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'District pivot'!$AA$13:$AA$14</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'District pivot'!$Z$15:$Z$17</c:f>
              <c:strCache>
                <c:ptCount val="2"/>
                <c:pt idx="0">
                  <c:v>Late Pre-term (34-36 weeks): NO</c:v>
                </c:pt>
                <c:pt idx="1">
                  <c:v>Late Pre-term (34-36 weeks): YES</c:v>
                </c:pt>
              </c:strCache>
            </c:strRef>
          </c:cat>
          <c:val>
            <c:numRef>
              <c:f>'District pivot'!$AA$15:$AA$17</c:f>
              <c:numCache>
                <c:formatCode>General</c:formatCode>
                <c:ptCount val="2"/>
                <c:pt idx="0">
                  <c:v>26</c:v>
                </c:pt>
                <c:pt idx="1">
                  <c:v>1</c:v>
                </c:pt>
              </c:numCache>
            </c:numRef>
          </c:val>
          <c:extLst>
            <c:ext xmlns:c16="http://schemas.microsoft.com/office/drawing/2014/chart" uri="{C3380CC4-5D6E-409C-BE32-E72D297353CC}">
              <c16:uniqueId val="{00000000-0B9E-4F1D-9FA6-7B19C8EDD99A}"/>
            </c:ext>
          </c:extLst>
        </c:ser>
        <c:ser>
          <c:idx val="1"/>
          <c:order val="1"/>
          <c:tx>
            <c:strRef>
              <c:f>'District pivot'!$AB$13:$AB$14</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'District pivot'!$Z$15:$Z$17</c:f>
              <c:strCache>
                <c:ptCount val="2"/>
                <c:pt idx="0">
                  <c:v>Late Pre-term (34-36 weeks): NO</c:v>
                </c:pt>
                <c:pt idx="1">
                  <c:v>Late Pre-term (34-36 weeks): YES</c:v>
                </c:pt>
              </c:strCache>
            </c:strRef>
          </c:cat>
          <c:val>
            <c:numRef>
              <c:f>'District pivot'!$AB$15:$AB$17</c:f>
              <c:numCache>
                <c:formatCode>General</c:formatCode>
                <c:ptCount val="2"/>
                <c:pt idx="0">
                  <c:v>45</c:v>
                </c:pt>
                <c:pt idx="1">
                  <c:v>1</c:v>
                </c:pt>
              </c:numCache>
            </c:numRef>
          </c:val>
          <c:extLst>
            <c:ext xmlns:c16="http://schemas.microsoft.com/office/drawing/2014/chart" uri="{C3380CC4-5D6E-409C-BE32-E72D297353CC}">
              <c16:uniqueId val="{00000001-0B9E-4F1D-9FA6-7B19C8EDD99A}"/>
            </c:ext>
          </c:extLst>
        </c:ser>
        <c:dLbls>
          <c:showLegendKey val="0"/>
          <c:showVal val="1"/>
          <c:showCatName val="0"/>
          <c:showSerName val="0"/>
          <c:showPercent val="0"/>
          <c:showBubbleSize val="0"/>
        </c:dLbls>
        <c:gapWidth val="150"/>
        <c:shape val="box"/>
        <c:axId val="64092192"/>
        <c:axId val="64087872"/>
        <c:axId val="0"/>
      </c:bar3DChart>
      <c:catAx>
        <c:axId val="640921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64087872"/>
        <c:crosses val="autoZero"/>
        <c:auto val="1"/>
        <c:lblAlgn val="ctr"/>
        <c:lblOffset val="100"/>
        <c:noMultiLvlLbl val="0"/>
      </c:catAx>
      <c:valAx>
        <c:axId val="6408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64092192"/>
        <c:crosses val="autoZero"/>
        <c:crossBetween val="between"/>
      </c:valAx>
      <c:dTable>
        <c:showHorzBorder val="1"/>
        <c:showVertBorder val="1"/>
        <c:showOutline val="1"/>
        <c:showKeys val="1"/>
        <c:spPr>
          <a:noFill/>
          <a:ln w="9525" cap="flat" cmpd="sng" algn="ctr">
            <a:solidFill>
              <a:sysClr val="windowText" lastClr="000000"/>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sz="1050">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death_copy.xlsx]District pivot!PivotTable6</c:name>
    <c:fmtId val="3"/>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Lato Black" panose="020F0A02020204030203" pitchFamily="34" charset="0"/>
                <a:ea typeface="+mn-ea"/>
                <a:cs typeface="+mn-cs"/>
              </a:defRPr>
            </a:pPr>
            <a:r>
              <a:rPr lang="en-IN" sz="1600" b="1" i="0" u="none" strike="noStrike" kern="1200" baseline="0">
                <a:solidFill>
                  <a:schemeClr val="tx1"/>
                </a:solidFill>
                <a:latin typeface="Lato Black" panose="020F0A02020204030203" pitchFamily="34" charset="0"/>
              </a:rPr>
              <a:t>HRP &amp; Delivery Type Analysis</a:t>
            </a: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a:gsLst>
              <a:gs pos="0">
                <a:srgbClr val="4CD46C"/>
              </a:gs>
              <a:gs pos="100000">
                <a:srgbClr val="1C8519"/>
              </a:gs>
            </a:gsLst>
            <a:lin ang="54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B9EA60"/>
              </a:gs>
              <a:gs pos="100000">
                <a:srgbClr val="88A51F"/>
              </a:gs>
            </a:gsLst>
            <a:lin ang="54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4CD46C"/>
              </a:gs>
              <a:gs pos="100000">
                <a:srgbClr val="1C8519"/>
              </a:gs>
            </a:gsLst>
            <a:lin ang="5400000" scaled="1"/>
          </a:gradFill>
          <a:ln>
            <a:noFill/>
          </a:ln>
          <a:effectLst/>
          <a:sp3d/>
        </c:spPr>
        <c:dLbl>
          <c:idx val="0"/>
          <c:layout>
            <c:manualLayout>
              <c:x val="8.7260034904013961E-3"/>
              <c:y val="-7.4850299401197598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B9EA60"/>
              </a:gs>
              <a:gs pos="100000">
                <a:srgbClr val="88A51F"/>
              </a:gs>
            </a:gsLst>
            <a:lin ang="5400000" scaled="1"/>
          </a:gradFill>
          <a:ln>
            <a:noFill/>
          </a:ln>
          <a:effectLst/>
          <a:sp3d/>
        </c:spPr>
        <c:dLbl>
          <c:idx val="0"/>
          <c:layout>
            <c:manualLayout>
              <c:x val="1.1634671320535141E-2"/>
              <c:y val="-6.4870259481037973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B9EA60"/>
              </a:gs>
              <a:gs pos="100000">
                <a:srgbClr val="88A51F"/>
              </a:gs>
            </a:gsLst>
            <a:lin ang="5400000" scaled="1"/>
          </a:gradFill>
          <a:ln>
            <a:noFill/>
          </a:ln>
          <a:effectLst/>
          <a:sp3d/>
        </c:spPr>
        <c:dLbl>
          <c:idx val="0"/>
          <c:layout>
            <c:manualLayout>
              <c:x val="3.7812681791739279E-2"/>
              <c:y val="-3.4930139720558882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4CD46C"/>
              </a:gs>
              <a:gs pos="100000">
                <a:srgbClr val="1C8519"/>
              </a:gs>
            </a:gsLst>
            <a:lin ang="5400000" scaled="1"/>
          </a:gradFill>
          <a:ln>
            <a:noFill/>
          </a:ln>
          <a:effectLst/>
          <a:sp3d/>
        </c:spPr>
        <c:dLbl>
          <c:idx val="0"/>
          <c:layout>
            <c:manualLayout>
              <c:x val="-5.8173356602676243E-3"/>
              <c:y val="-4.9900199600798494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4CD46C"/>
              </a:gs>
              <a:gs pos="100000">
                <a:srgbClr val="1C8519"/>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4CD46C"/>
              </a:gs>
              <a:gs pos="100000">
                <a:srgbClr val="1C8519"/>
              </a:gs>
            </a:gsLst>
            <a:lin ang="5400000" scaled="1"/>
          </a:gradFill>
          <a:ln>
            <a:noFill/>
          </a:ln>
          <a:effectLst/>
          <a:sp3d/>
        </c:spPr>
        <c:dLbl>
          <c:idx val="0"/>
          <c:layout>
            <c:manualLayout>
              <c:x val="-5.8173356602676243E-3"/>
              <c:y val="-4.9900199600798494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rgbClr val="4CD46C"/>
              </a:gs>
              <a:gs pos="100000">
                <a:srgbClr val="1C8519"/>
              </a:gs>
            </a:gsLst>
            <a:lin ang="5400000" scaled="1"/>
          </a:gradFill>
          <a:ln>
            <a:noFill/>
          </a:ln>
          <a:effectLst/>
          <a:sp3d/>
        </c:spPr>
        <c:dLbl>
          <c:idx val="0"/>
          <c:layout>
            <c:manualLayout>
              <c:x val="8.7259467946958959E-3"/>
              <c:y val="-6.1076223943081508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B9EA60"/>
              </a:gs>
              <a:gs pos="100000">
                <a:srgbClr val="88A51F"/>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B9EA60"/>
              </a:gs>
              <a:gs pos="100000">
                <a:srgbClr val="88A51F"/>
              </a:gs>
            </a:gsLst>
            <a:lin ang="5400000" scaled="1"/>
          </a:gradFill>
          <a:ln>
            <a:noFill/>
          </a:ln>
          <a:effectLst/>
          <a:sp3d/>
        </c:spPr>
        <c:dLbl>
          <c:idx val="0"/>
          <c:layout>
            <c:manualLayout>
              <c:x val="1.1634671320535141E-2"/>
              <c:y val="-6.4870259481037973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rgbClr val="B9EA60"/>
              </a:gs>
              <a:gs pos="100000">
                <a:srgbClr val="88A51F"/>
              </a:gs>
            </a:gsLst>
            <a:lin ang="5400000" scaled="1"/>
          </a:gradFill>
          <a:ln>
            <a:noFill/>
          </a:ln>
          <a:effectLst/>
          <a:sp3d/>
        </c:spPr>
        <c:dLbl>
          <c:idx val="0"/>
          <c:layout>
            <c:manualLayout>
              <c:x val="3.7812681791739279E-2"/>
              <c:y val="-3.4930139720558882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290835306053433E-2"/>
          <c:y val="0.14659180498729976"/>
          <c:w val="0.86504322231956376"/>
          <c:h val="0.7578030043396643"/>
        </c:manualLayout>
      </c:layout>
      <c:barChart>
        <c:barDir val="col"/>
        <c:grouping val="clustered"/>
        <c:varyColors val="0"/>
        <c:ser>
          <c:idx val="0"/>
          <c:order val="0"/>
          <c:tx>
            <c:strRef>
              <c:f>'District pivot'!$B$21:$B$22</c:f>
              <c:strCache>
                <c:ptCount val="1"/>
                <c:pt idx="0">
                  <c:v>LSCS</c:v>
                </c:pt>
              </c:strCache>
            </c:strRef>
          </c:tx>
          <c:spPr>
            <a:gradFill>
              <a:gsLst>
                <a:gs pos="0">
                  <a:srgbClr val="4CD46C"/>
                </a:gs>
                <a:gs pos="100000">
                  <a:srgbClr val="1C8519"/>
                </a:gs>
              </a:gsLst>
              <a:lin ang="5400000" scaled="1"/>
            </a:gradFill>
            <a:ln>
              <a:noFill/>
            </a:ln>
            <a:effectLst/>
          </c:spPr>
          <c:invertIfNegative val="0"/>
          <c:dPt>
            <c:idx val="0"/>
            <c:invertIfNegative val="0"/>
            <c:bubble3D val="0"/>
            <c:spPr>
              <a:gradFill>
                <a:gsLst>
                  <a:gs pos="0">
                    <a:srgbClr val="4CD46C"/>
                  </a:gs>
                  <a:gs pos="100000">
                    <a:srgbClr val="1C8519"/>
                  </a:gs>
                </a:gsLst>
                <a:lin ang="5400000" scaled="1"/>
              </a:gradFill>
              <a:ln>
                <a:noFill/>
              </a:ln>
              <a:effectLst/>
              <a:sp3d/>
            </c:spPr>
            <c:extLst>
              <c:ext xmlns:c16="http://schemas.microsoft.com/office/drawing/2014/chart" uri="{C3380CC4-5D6E-409C-BE32-E72D297353CC}">
                <c16:uniqueId val="{00000000-A557-4B28-89FC-0CC6AF870321}"/>
              </c:ext>
            </c:extLst>
          </c:dPt>
          <c:dPt>
            <c:idx val="1"/>
            <c:invertIfNegative val="0"/>
            <c:bubble3D val="0"/>
            <c:spPr>
              <a:gradFill>
                <a:gsLst>
                  <a:gs pos="0">
                    <a:srgbClr val="4CD46C"/>
                  </a:gs>
                  <a:gs pos="100000">
                    <a:srgbClr val="1C8519"/>
                  </a:gs>
                </a:gsLst>
                <a:lin ang="5400000" scaled="1"/>
              </a:gradFill>
              <a:ln>
                <a:noFill/>
              </a:ln>
              <a:effectLst/>
              <a:sp3d/>
            </c:spPr>
            <c:extLst>
              <c:ext xmlns:c16="http://schemas.microsoft.com/office/drawing/2014/chart" uri="{C3380CC4-5D6E-409C-BE32-E72D297353CC}">
                <c16:uniqueId val="{00000001-A557-4B28-89FC-0CC6AF870321}"/>
              </c:ext>
            </c:extLst>
          </c:dPt>
          <c:dLbls>
            <c:dLbl>
              <c:idx val="0"/>
              <c:layout>
                <c:manualLayout>
                  <c:x val="-5.8173356602676243E-3"/>
                  <c:y val="-4.99001996007984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557-4B28-89FC-0CC6AF870321}"/>
                </c:ext>
              </c:extLst>
            </c:dLbl>
            <c:dLbl>
              <c:idx val="1"/>
              <c:layout>
                <c:manualLayout>
                  <c:x val="8.7259467946958959E-3"/>
                  <c:y val="-6.10762239430815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57-4B28-89FC-0CC6AF870321}"/>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'District pivot'!$A$23:$A$25</c:f>
              <c:strCache>
                <c:ptCount val="2"/>
                <c:pt idx="0">
                  <c:v>Without High Risk Pregnancy</c:v>
                </c:pt>
                <c:pt idx="1">
                  <c:v>With High Risk Pregnancy</c:v>
                </c:pt>
              </c:strCache>
            </c:strRef>
          </c:cat>
          <c:val>
            <c:numRef>
              <c:f>'District pivot'!$B$23:$B$25</c:f>
              <c:numCache>
                <c:formatCode>General</c:formatCode>
                <c:ptCount val="2"/>
                <c:pt idx="0">
                  <c:v>16</c:v>
                </c:pt>
                <c:pt idx="1">
                  <c:v>29</c:v>
                </c:pt>
              </c:numCache>
            </c:numRef>
          </c:val>
          <c:extLst>
            <c:ext xmlns:c16="http://schemas.microsoft.com/office/drawing/2014/chart" uri="{C3380CC4-5D6E-409C-BE32-E72D297353CC}">
              <c16:uniqueId val="{00000002-A557-4B28-89FC-0CC6AF870321}"/>
            </c:ext>
          </c:extLst>
        </c:ser>
        <c:ser>
          <c:idx val="1"/>
          <c:order val="1"/>
          <c:tx>
            <c:strRef>
              <c:f>'District pivot'!$C$21:$C$22</c:f>
              <c:strCache>
                <c:ptCount val="1"/>
                <c:pt idx="0">
                  <c:v>Normal</c:v>
                </c:pt>
              </c:strCache>
            </c:strRef>
          </c:tx>
          <c:spPr>
            <a:gradFill>
              <a:gsLst>
                <a:gs pos="0">
                  <a:srgbClr val="B9EA60"/>
                </a:gs>
                <a:gs pos="100000">
                  <a:srgbClr val="88A51F"/>
                </a:gs>
              </a:gsLst>
              <a:lin ang="5400000" scaled="1"/>
            </a:gradFill>
            <a:ln>
              <a:noFill/>
            </a:ln>
            <a:effectLst/>
          </c:spPr>
          <c:invertIfNegative val="0"/>
          <c:dPt>
            <c:idx val="0"/>
            <c:invertIfNegative val="0"/>
            <c:bubble3D val="0"/>
            <c:spPr>
              <a:gradFill>
                <a:gsLst>
                  <a:gs pos="0">
                    <a:srgbClr val="B9EA60"/>
                  </a:gs>
                  <a:gs pos="100000">
                    <a:srgbClr val="88A51F"/>
                  </a:gs>
                </a:gsLst>
                <a:lin ang="5400000" scaled="1"/>
              </a:gradFill>
              <a:ln>
                <a:noFill/>
              </a:ln>
              <a:effectLst/>
              <a:sp3d/>
            </c:spPr>
            <c:extLst>
              <c:ext xmlns:c16="http://schemas.microsoft.com/office/drawing/2014/chart" uri="{C3380CC4-5D6E-409C-BE32-E72D297353CC}">
                <c16:uniqueId val="{00000003-A557-4B28-89FC-0CC6AF870321}"/>
              </c:ext>
            </c:extLst>
          </c:dPt>
          <c:dPt>
            <c:idx val="1"/>
            <c:invertIfNegative val="0"/>
            <c:bubble3D val="0"/>
            <c:spPr>
              <a:gradFill>
                <a:gsLst>
                  <a:gs pos="0">
                    <a:srgbClr val="B9EA60"/>
                  </a:gs>
                  <a:gs pos="100000">
                    <a:srgbClr val="88A51F"/>
                  </a:gs>
                </a:gsLst>
                <a:lin ang="5400000" scaled="1"/>
              </a:gradFill>
              <a:ln>
                <a:noFill/>
              </a:ln>
              <a:effectLst/>
              <a:sp3d/>
            </c:spPr>
            <c:extLst>
              <c:ext xmlns:c16="http://schemas.microsoft.com/office/drawing/2014/chart" uri="{C3380CC4-5D6E-409C-BE32-E72D297353CC}">
                <c16:uniqueId val="{00000004-A557-4B28-89FC-0CC6AF870321}"/>
              </c:ext>
            </c:extLst>
          </c:dPt>
          <c:dLbls>
            <c:dLbl>
              <c:idx val="0"/>
              <c:layout>
                <c:manualLayout>
                  <c:x val="1.1634671320535141E-2"/>
                  <c:y val="-6.4870259481037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57-4B28-89FC-0CC6AF870321}"/>
                </c:ext>
              </c:extLst>
            </c:dLbl>
            <c:dLbl>
              <c:idx val="1"/>
              <c:layout>
                <c:manualLayout>
                  <c:x val="3.7812681791739279E-2"/>
                  <c:y val="-3.49301397205588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557-4B28-89FC-0CC6AF870321}"/>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'District pivot'!$A$23:$A$25</c:f>
              <c:strCache>
                <c:ptCount val="2"/>
                <c:pt idx="0">
                  <c:v>Without High Risk Pregnancy</c:v>
                </c:pt>
                <c:pt idx="1">
                  <c:v>With High Risk Pregnancy</c:v>
                </c:pt>
              </c:strCache>
            </c:strRef>
          </c:cat>
          <c:val>
            <c:numRef>
              <c:f>'District pivot'!$C$23:$C$25</c:f>
              <c:numCache>
                <c:formatCode>General</c:formatCode>
                <c:ptCount val="2"/>
                <c:pt idx="0">
                  <c:v>14</c:v>
                </c:pt>
                <c:pt idx="1">
                  <c:v>14</c:v>
                </c:pt>
              </c:numCache>
            </c:numRef>
          </c:val>
          <c:extLst>
            <c:ext xmlns:c16="http://schemas.microsoft.com/office/drawing/2014/chart" uri="{C3380CC4-5D6E-409C-BE32-E72D297353CC}">
              <c16:uniqueId val="{00000005-A557-4B28-89FC-0CC6AF870321}"/>
            </c:ext>
          </c:extLst>
        </c:ser>
        <c:dLbls>
          <c:showLegendKey val="0"/>
          <c:showVal val="1"/>
          <c:showCatName val="0"/>
          <c:showSerName val="0"/>
          <c:showPercent val="0"/>
          <c:showBubbleSize val="0"/>
        </c:dLbls>
        <c:gapWidth val="150"/>
        <c:axId val="1299556207"/>
        <c:axId val="1299549007"/>
      </c:barChart>
      <c:catAx>
        <c:axId val="1299556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299549007"/>
        <c:crosses val="autoZero"/>
        <c:auto val="1"/>
        <c:lblAlgn val="ctr"/>
        <c:lblOffset val="100"/>
        <c:noMultiLvlLbl val="0"/>
      </c:catAx>
      <c:valAx>
        <c:axId val="1299549007"/>
        <c:scaling>
          <c:orientation val="minMax"/>
        </c:scaling>
        <c:delete val="1"/>
        <c:axPos val="l"/>
        <c:numFmt formatCode="General" sourceLinked="1"/>
        <c:majorTickMark val="none"/>
        <c:minorTickMark val="none"/>
        <c:tickLblPos val="nextTo"/>
        <c:crossAx val="129955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death_copy.xlsx]District pivot!PivotTable11</c:name>
    <c:fmtId val="4"/>
  </c:pivotSource>
  <c:chart>
    <c:title>
      <c:tx>
        <c:rich>
          <a:bodyPr rot="0" spcFirstLastPara="1" vertOverflow="ellipsis" vert="horz" wrap="square" anchor="ctr" anchorCtr="1"/>
          <a:lstStyle/>
          <a:p>
            <a:pPr>
              <a:defRPr sz="1260" b="1" i="0" u="none" strike="noStrike" kern="1200" baseline="0">
                <a:solidFill>
                  <a:sysClr val="windowText" lastClr="000000"/>
                </a:solidFill>
                <a:latin typeface="Lato Black" panose="020F0A02020204030203" pitchFamily="34" charset="0"/>
                <a:ea typeface="+mn-ea"/>
                <a:cs typeface="+mn-cs"/>
              </a:defRPr>
            </a:pPr>
            <a:r>
              <a:rPr lang="en-IN" sz="1600" b="1" i="0" u="none" strike="noStrike" kern="1200" baseline="0">
                <a:solidFill>
                  <a:schemeClr val="tx1"/>
                </a:solidFill>
                <a:latin typeface="Lato Black" panose="020F0A02020204030203" pitchFamily="34" charset="0"/>
              </a:rPr>
              <a:t>Cause of Infant &amp; Neonatal Deaths due to Hypertensive Disorders</a:t>
            </a:r>
          </a:p>
        </c:rich>
      </c:tx>
      <c:overlay val="0"/>
      <c:spPr>
        <a:noFill/>
        <a:ln>
          <a:noFill/>
        </a:ln>
        <a:effectLst/>
      </c:spPr>
      <c:txPr>
        <a:bodyPr rot="0" spcFirstLastPara="1" vertOverflow="ellipsis" vert="horz" wrap="square" anchor="ctr" anchorCtr="1"/>
        <a:lstStyle/>
        <a:p>
          <a:pPr>
            <a:defRPr sz="126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solidFill>
            <a:srgbClr val="F4954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7D0516"/>
              </a:gs>
              <a:gs pos="100000">
                <a:srgbClr val="7D051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4954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7D0516"/>
              </a:gs>
              <a:gs pos="100000">
                <a:srgbClr val="7D051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Lato Black" panose="020F0A0202020403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7D0516"/>
              </a:gs>
              <a:gs pos="100000">
                <a:srgbClr val="7D051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rgbClr val="F4954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rgbClr val="7D0516"/>
              </a:gs>
              <a:gs pos="100000">
                <a:srgbClr val="7D051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solidFill>
            <a:srgbClr val="F4954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percentStacked"/>
        <c:varyColors val="0"/>
        <c:ser>
          <c:idx val="0"/>
          <c:order val="0"/>
          <c:tx>
            <c:strRef>
              <c:f>'District pivot'!$AA$21:$AA$22</c:f>
              <c:strCache>
                <c:ptCount val="1"/>
                <c:pt idx="0">
                  <c:v>Infant Death</c:v>
                </c:pt>
              </c:strCache>
            </c:strRef>
          </c:tx>
          <c:spPr>
            <a:solidFill>
              <a:srgbClr val="F4954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F4954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D63-42C1-8975-915581DA537D}"/>
              </c:ext>
            </c:extLst>
          </c:dPt>
          <c:dPt>
            <c:idx val="1"/>
            <c:invertIfNegative val="0"/>
            <c:bubble3D val="0"/>
            <c:spPr>
              <a:solidFill>
                <a:srgbClr val="F4954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D63-42C1-8975-915581DA537D}"/>
              </c:ext>
            </c:extLst>
          </c:dPt>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'District pivot'!$Z$23:$Z$25</c:f>
              <c:strCache>
                <c:ptCount val="2"/>
                <c:pt idx="0">
                  <c:v>Without Hypertensive disorder</c:v>
                </c:pt>
                <c:pt idx="1">
                  <c:v>With Hypertensive disorder</c:v>
                </c:pt>
              </c:strCache>
            </c:strRef>
          </c:cat>
          <c:val>
            <c:numRef>
              <c:f>'District pivot'!$AA$23:$AA$25</c:f>
              <c:numCache>
                <c:formatCode>General</c:formatCode>
                <c:ptCount val="2"/>
                <c:pt idx="0">
                  <c:v>25</c:v>
                </c:pt>
                <c:pt idx="1">
                  <c:v>2</c:v>
                </c:pt>
              </c:numCache>
            </c:numRef>
          </c:val>
          <c:extLst>
            <c:ext xmlns:c16="http://schemas.microsoft.com/office/drawing/2014/chart" uri="{C3380CC4-5D6E-409C-BE32-E72D297353CC}">
              <c16:uniqueId val="{00000000-4247-4352-BE8D-AF977BAFC3C1}"/>
            </c:ext>
          </c:extLst>
        </c:ser>
        <c:ser>
          <c:idx val="1"/>
          <c:order val="1"/>
          <c:tx>
            <c:strRef>
              <c:f>'District pivot'!$AB$21:$AB$22</c:f>
              <c:strCache>
                <c:ptCount val="1"/>
                <c:pt idx="0">
                  <c:v>Neonatal Death</c:v>
                </c:pt>
              </c:strCache>
            </c:strRef>
          </c:tx>
          <c:spPr>
            <a:gradFill rotWithShape="1">
              <a:gsLst>
                <a:gs pos="0">
                  <a:srgbClr val="7D0516"/>
                </a:gs>
                <a:gs pos="100000">
                  <a:srgbClr val="7D051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rgbClr val="7D0516"/>
                  </a:gs>
                  <a:gs pos="100000">
                    <a:srgbClr val="7D051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6D63-42C1-8975-915581DA537D}"/>
              </c:ext>
            </c:extLst>
          </c:dPt>
          <c:dPt>
            <c:idx val="1"/>
            <c:invertIfNegative val="0"/>
            <c:bubble3D val="0"/>
            <c:spPr>
              <a:gradFill rotWithShape="1">
                <a:gsLst>
                  <a:gs pos="0">
                    <a:srgbClr val="7D0516"/>
                  </a:gs>
                  <a:gs pos="100000">
                    <a:srgbClr val="7D051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6D63-42C1-8975-915581DA537D}"/>
              </c:ext>
            </c:extLst>
          </c:dPt>
          <c:dLbls>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Lato Black" panose="020F0A0202020403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'District pivot'!$Z$23:$Z$25</c:f>
              <c:strCache>
                <c:ptCount val="2"/>
                <c:pt idx="0">
                  <c:v>Without Hypertensive disorder</c:v>
                </c:pt>
                <c:pt idx="1">
                  <c:v>With Hypertensive disorder</c:v>
                </c:pt>
              </c:strCache>
            </c:strRef>
          </c:cat>
          <c:val>
            <c:numRef>
              <c:f>'District pivot'!$AB$23:$AB$25</c:f>
              <c:numCache>
                <c:formatCode>General</c:formatCode>
                <c:ptCount val="2"/>
                <c:pt idx="0">
                  <c:v>45</c:v>
                </c:pt>
                <c:pt idx="1">
                  <c:v>1</c:v>
                </c:pt>
              </c:numCache>
            </c:numRef>
          </c:val>
          <c:extLst>
            <c:ext xmlns:c16="http://schemas.microsoft.com/office/drawing/2014/chart" uri="{C3380CC4-5D6E-409C-BE32-E72D297353CC}">
              <c16:uniqueId val="{00000001-4247-4352-BE8D-AF977BAFC3C1}"/>
            </c:ext>
          </c:extLst>
        </c:ser>
        <c:dLbls>
          <c:showLegendKey val="0"/>
          <c:showVal val="1"/>
          <c:showCatName val="0"/>
          <c:showSerName val="0"/>
          <c:showPercent val="0"/>
          <c:showBubbleSize val="0"/>
        </c:dLbls>
        <c:gapWidth val="150"/>
        <c:overlap val="100"/>
        <c:axId val="1656036271"/>
        <c:axId val="1656048751"/>
      </c:barChart>
      <c:catAx>
        <c:axId val="16560362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656048751"/>
        <c:crosses val="autoZero"/>
        <c:auto val="1"/>
        <c:lblAlgn val="ctr"/>
        <c:lblOffset val="100"/>
        <c:noMultiLvlLbl val="0"/>
      </c:catAx>
      <c:valAx>
        <c:axId val="1656048751"/>
        <c:scaling>
          <c:orientation val="minMax"/>
        </c:scaling>
        <c:delete val="1"/>
        <c:axPos val="b"/>
        <c:numFmt formatCode="0%" sourceLinked="1"/>
        <c:majorTickMark val="none"/>
        <c:minorTickMark val="none"/>
        <c:tickLblPos val="nextTo"/>
        <c:crossAx val="1656036271"/>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death_copy.xlsx]District pivot!PivotTable10</c:name>
    <c:fmtId val="9"/>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Lato Black" panose="020F0A02020204030203" pitchFamily="34" charset="0"/>
                <a:ea typeface="+mn-ea"/>
                <a:cs typeface="+mn-cs"/>
              </a:defRPr>
            </a:pPr>
            <a:r>
              <a:rPr lang="en-IN" sz="1600" b="0" i="0" u="none" strike="noStrike" kern="1200" spc="0" baseline="0">
                <a:solidFill>
                  <a:schemeClr val="tx1"/>
                </a:solidFill>
                <a:latin typeface="Lato Black" panose="020F0A02020204030203" pitchFamily="34" charset="0"/>
              </a:rPr>
              <a:t>Cause of Infant &amp; Neonatal Deaths due to High-Risk Pregnancy </a:t>
            </a:r>
          </a:p>
        </c:rich>
      </c:tx>
      <c:layout>
        <c:manualLayout>
          <c:xMode val="edge"/>
          <c:yMode val="edge"/>
          <c:x val="0.13875966025080197"/>
          <c:y val="1.851840235225282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a:gsLst>
              <a:gs pos="0">
                <a:srgbClr val="FFAFFF"/>
              </a:gs>
              <a:gs pos="60829">
                <a:srgbClr val="8F008F"/>
              </a:gs>
              <a:gs pos="100000">
                <a:srgbClr val="FF15FF"/>
              </a:gs>
            </a:gsLst>
            <a:lin ang="162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F200F2"/>
              </a:gs>
              <a:gs pos="98000">
                <a:srgbClr val="8F008F"/>
              </a:gs>
            </a:gsLst>
            <a:lin ang="162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200F2"/>
              </a:gs>
              <a:gs pos="98000">
                <a:srgbClr val="8F008F"/>
              </a:gs>
            </a:gsLst>
            <a:lin ang="16200000" scaled="1"/>
          </a:gradFill>
          <a:ln>
            <a:noFill/>
          </a:ln>
          <a:effectLst/>
          <a:sp3d/>
        </c:spPr>
        <c:dLbl>
          <c:idx val="0"/>
          <c:layout>
            <c:manualLayout>
              <c:x val="6.6666666666666666E-2"/>
              <c:y val="-9.2592592592592587E-3"/>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Neonatal Death</a:t>
                </a:r>
              </a:p>
              <a:p>
                <a:pPr>
                  <a:defRPr sz="1050" b="0" i="0" u="none" strike="noStrike" kern="1200" baseline="0">
                    <a:solidFill>
                      <a:sysClr val="windowText" lastClr="000000"/>
                    </a:solidFill>
                    <a:latin typeface="Lato Black" panose="020F0A02020204030203" pitchFamily="34" charset="0"/>
                    <a:ea typeface="+mn-ea"/>
                    <a:cs typeface="+mn-cs"/>
                  </a:defRPr>
                </a:pPr>
                <a:fld id="{D2952CD2-963A-452D-A401-5D4040219176}" type="VALUE">
                  <a:rPr lang="en-US"/>
                  <a:pPr>
                    <a:defRPr sz="105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a:gsLst>
              <a:gs pos="0">
                <a:srgbClr val="FFAFFF"/>
              </a:gs>
              <a:gs pos="60829">
                <a:srgbClr val="8F008F"/>
              </a:gs>
              <a:gs pos="100000">
                <a:srgbClr val="FF15FF"/>
              </a:gs>
            </a:gsLst>
            <a:lin ang="16200000" scaled="1"/>
          </a:gradFill>
          <a:ln>
            <a:noFill/>
          </a:ln>
          <a:effectLst/>
          <a:sp3d/>
        </c:spPr>
        <c:dLbl>
          <c:idx val="0"/>
          <c:layout>
            <c:manualLayout>
              <c:x val="0.05"/>
              <c:y val="-4.2437781360066642E-17"/>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sz="1050" b="0" i="0" u="none" strike="noStrike" kern="1200" baseline="0">
                    <a:solidFill>
                      <a:sysClr val="windowText" lastClr="000000"/>
                    </a:solidFill>
                    <a:latin typeface="Lato Black" panose="020F0A02020204030203" pitchFamily="34" charset="0"/>
                    <a:ea typeface="+mn-ea"/>
                    <a:cs typeface="+mn-cs"/>
                  </a:defRPr>
                </a:pPr>
                <a:fld id="{2E7758D7-CD45-42F6-8E57-70CF54114A42}" type="VALUE">
                  <a:rPr lang="en-US"/>
                  <a:pPr>
                    <a:defRPr sz="105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a:gsLst>
              <a:gs pos="0">
                <a:srgbClr val="F200F2"/>
              </a:gs>
              <a:gs pos="98000">
                <a:srgbClr val="8F008F"/>
              </a:gs>
            </a:gsLst>
            <a:lin ang="16200000" scaled="1"/>
          </a:gradFill>
          <a:ln>
            <a:noFill/>
          </a:ln>
          <a:effectLst/>
          <a:sp3d/>
        </c:spPr>
        <c:dLbl>
          <c:idx val="0"/>
          <c:layout>
            <c:manualLayout>
              <c:x val="4.1666766236921449E-2"/>
              <c:y val="-4.1666666666666664E-2"/>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Neonatal Death</a:t>
                </a:r>
              </a:p>
              <a:p>
                <a:pPr>
                  <a:defRPr sz="1050" b="0" i="0" u="none" strike="noStrike" kern="1200" baseline="0">
                    <a:solidFill>
                      <a:sysClr val="windowText" lastClr="000000"/>
                    </a:solidFill>
                    <a:latin typeface="Lato Black" panose="020F0A02020204030203" pitchFamily="34" charset="0"/>
                    <a:ea typeface="+mn-ea"/>
                    <a:cs typeface="+mn-cs"/>
                  </a:defRPr>
                </a:pPr>
                <a:fld id="{16B202BC-9A8F-49DE-9132-C7B30725C35A}" type="VALUE">
                  <a:rPr lang="en-US"/>
                  <a:pPr>
                    <a:defRPr sz="105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a:gsLst>
              <a:gs pos="0">
                <a:srgbClr val="FFAFFF"/>
              </a:gs>
              <a:gs pos="60829">
                <a:srgbClr val="8F008F"/>
              </a:gs>
              <a:gs pos="100000">
                <a:srgbClr val="FF15FF"/>
              </a:gs>
            </a:gsLst>
            <a:lin ang="16200000" scaled="1"/>
          </a:gradFill>
          <a:ln>
            <a:noFill/>
          </a:ln>
          <a:effectLst/>
          <a:sp3d/>
        </c:spPr>
        <c:dLbl>
          <c:idx val="0"/>
          <c:layout>
            <c:manualLayout>
              <c:x val="5.7835979910705396E-2"/>
              <c:y val="2.3148148148148147E-2"/>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sz="1050" b="0" i="0" u="none" strike="noStrike" kern="1200" baseline="0">
                    <a:solidFill>
                      <a:sysClr val="windowText" lastClr="000000"/>
                    </a:solidFill>
                    <a:latin typeface="Lato Black" panose="020F0A02020204030203" pitchFamily="34" charset="0"/>
                    <a:ea typeface="+mn-ea"/>
                    <a:cs typeface="+mn-cs"/>
                  </a:defRPr>
                </a:pPr>
                <a:fld id="{9D60BCB3-4888-4605-A8F7-96E320DF5C4A}" type="VALUE">
                  <a:rPr lang="en-US"/>
                  <a:pPr>
                    <a:defRPr sz="105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a:gsLst>
              <a:gs pos="0">
                <a:srgbClr val="FFAFFF"/>
              </a:gs>
              <a:gs pos="60829">
                <a:srgbClr val="8F008F"/>
              </a:gs>
              <a:gs pos="100000">
                <a:srgbClr val="FF15FF"/>
              </a:gs>
            </a:gsLst>
            <a:lin ang="162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FFAFFF"/>
              </a:gs>
              <a:gs pos="60829">
                <a:srgbClr val="8F008F"/>
              </a:gs>
              <a:gs pos="100000">
                <a:srgbClr val="FF15FF"/>
              </a:gs>
            </a:gsLst>
            <a:lin ang="16200000" scaled="1"/>
          </a:gradFill>
          <a:ln>
            <a:noFill/>
          </a:ln>
          <a:effectLst/>
          <a:sp3d/>
        </c:spPr>
        <c:dLbl>
          <c:idx val="0"/>
          <c:layout>
            <c:manualLayout>
              <c:x val="5.7835979910705396E-2"/>
              <c:y val="2.3148148148148147E-2"/>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a:pPr>
                <a:fld id="{9D60BCB3-4888-4605-A8F7-96E320DF5C4A}" type="VALUE">
                  <a:rPr lang="en-US"/>
                  <a:pPr>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a:gsLst>
              <a:gs pos="0">
                <a:srgbClr val="FFAFFF"/>
              </a:gs>
              <a:gs pos="60829">
                <a:srgbClr val="8F008F"/>
              </a:gs>
              <a:gs pos="100000">
                <a:srgbClr val="FF15FF"/>
              </a:gs>
            </a:gsLst>
            <a:lin ang="16200000" scaled="1"/>
          </a:gradFill>
          <a:ln>
            <a:noFill/>
          </a:ln>
          <a:effectLst/>
          <a:sp3d/>
        </c:spPr>
        <c:dLbl>
          <c:idx val="0"/>
          <c:layout>
            <c:manualLayout>
              <c:x val="0.05"/>
              <c:y val="-4.2437781360066642E-17"/>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a:pPr>
                <a:fld id="{2E7758D7-CD45-42F6-8E57-70CF54114A42}" type="VALUE">
                  <a:rPr lang="en-US"/>
                  <a:pPr>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gradFill>
            <a:gsLst>
              <a:gs pos="0">
                <a:srgbClr val="F200F2"/>
              </a:gs>
              <a:gs pos="98000">
                <a:srgbClr val="8F008F"/>
              </a:gs>
            </a:gsLst>
            <a:lin ang="162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F200F2"/>
              </a:gs>
              <a:gs pos="98000">
                <a:srgbClr val="8F008F"/>
              </a:gs>
            </a:gsLst>
            <a:lin ang="16200000" scaled="1"/>
          </a:gradFill>
          <a:ln>
            <a:noFill/>
          </a:ln>
          <a:effectLst/>
          <a:sp3d/>
        </c:spPr>
        <c:dLbl>
          <c:idx val="0"/>
          <c:layout>
            <c:manualLayout>
              <c:x val="4.1666766236921449E-2"/>
              <c:y val="-4.1666666666666664E-2"/>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Neonatal Death</a:t>
                </a:r>
              </a:p>
              <a:p>
                <a:pPr>
                  <a:defRPr/>
                </a:pPr>
                <a:fld id="{16B202BC-9A8F-49DE-9132-C7B30725C35A}" type="VALUE">
                  <a:rPr lang="en-US"/>
                  <a:pPr>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a:gsLst>
              <a:gs pos="0">
                <a:srgbClr val="F200F2"/>
              </a:gs>
              <a:gs pos="98000">
                <a:srgbClr val="8F008F"/>
              </a:gs>
            </a:gsLst>
            <a:lin ang="16200000" scaled="1"/>
          </a:gradFill>
          <a:ln>
            <a:noFill/>
          </a:ln>
          <a:effectLst/>
          <a:sp3d/>
        </c:spPr>
        <c:dLbl>
          <c:idx val="0"/>
          <c:layout>
            <c:manualLayout>
              <c:x val="-4.6296296296296294E-3"/>
              <c:y val="-6.4477362748209796E-2"/>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Neonatal Death</a:t>
                </a:r>
              </a:p>
              <a:p>
                <a:pPr>
                  <a:defRPr/>
                </a:pPr>
                <a:fld id="{D2952CD2-963A-452D-A401-5D4040219176}" type="VALUE">
                  <a:rPr lang="en-US"/>
                  <a:pPr>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076698745990082"/>
          <c:y val="0.12275904976923993"/>
          <c:w val="0.49743208312921433"/>
          <c:h val="0.8661483285649193"/>
        </c:manualLayout>
      </c:layout>
      <c:bar3DChart>
        <c:barDir val="bar"/>
        <c:grouping val="clustered"/>
        <c:varyColors val="0"/>
        <c:ser>
          <c:idx val="0"/>
          <c:order val="0"/>
          <c:tx>
            <c:strRef>
              <c:f>'District pivot'!$V$21:$V$22</c:f>
              <c:strCache>
                <c:ptCount val="1"/>
                <c:pt idx="0">
                  <c:v>Infant Death</c:v>
                </c:pt>
              </c:strCache>
            </c:strRef>
          </c:tx>
          <c:spPr>
            <a:gradFill>
              <a:gsLst>
                <a:gs pos="0">
                  <a:srgbClr val="FFAFFF"/>
                </a:gs>
                <a:gs pos="60829">
                  <a:srgbClr val="8F008F"/>
                </a:gs>
                <a:gs pos="100000">
                  <a:srgbClr val="FF15FF"/>
                </a:gs>
              </a:gsLst>
              <a:lin ang="16200000" scaled="1"/>
            </a:gradFill>
            <a:ln>
              <a:noFill/>
            </a:ln>
            <a:effectLst/>
            <a:sp3d/>
          </c:spPr>
          <c:invertIfNegative val="0"/>
          <c:dPt>
            <c:idx val="0"/>
            <c:invertIfNegative val="0"/>
            <c:bubble3D val="0"/>
            <c:spPr>
              <a:gradFill>
                <a:gsLst>
                  <a:gs pos="0">
                    <a:srgbClr val="FFAFFF"/>
                  </a:gs>
                  <a:gs pos="60829">
                    <a:srgbClr val="8F008F"/>
                  </a:gs>
                  <a:gs pos="100000">
                    <a:srgbClr val="FF15FF"/>
                  </a:gs>
                </a:gsLst>
                <a:lin ang="16200000" scaled="1"/>
              </a:gradFill>
              <a:ln>
                <a:noFill/>
              </a:ln>
              <a:effectLst/>
              <a:sp3d/>
            </c:spPr>
            <c:extLst>
              <c:ext xmlns:c16="http://schemas.microsoft.com/office/drawing/2014/chart" uri="{C3380CC4-5D6E-409C-BE32-E72D297353CC}">
                <c16:uniqueId val="{00000000-7D23-4069-976A-A965EDEFBB3D}"/>
              </c:ext>
            </c:extLst>
          </c:dPt>
          <c:dPt>
            <c:idx val="1"/>
            <c:invertIfNegative val="0"/>
            <c:bubble3D val="0"/>
            <c:spPr>
              <a:gradFill>
                <a:gsLst>
                  <a:gs pos="0">
                    <a:srgbClr val="FFAFFF"/>
                  </a:gs>
                  <a:gs pos="60829">
                    <a:srgbClr val="8F008F"/>
                  </a:gs>
                  <a:gs pos="100000">
                    <a:srgbClr val="FF15FF"/>
                  </a:gs>
                </a:gsLst>
                <a:lin ang="16200000" scaled="1"/>
              </a:gradFill>
              <a:ln>
                <a:noFill/>
              </a:ln>
              <a:effectLst/>
              <a:sp3d/>
            </c:spPr>
            <c:extLst>
              <c:ext xmlns:c16="http://schemas.microsoft.com/office/drawing/2014/chart" uri="{C3380CC4-5D6E-409C-BE32-E72D297353CC}">
                <c16:uniqueId val="{00000001-7D23-4069-976A-A965EDEFBB3D}"/>
              </c:ext>
            </c:extLst>
          </c:dPt>
          <c:dLbls>
            <c:dLbl>
              <c:idx val="0"/>
              <c:layout>
                <c:manualLayout>
                  <c:x val="5.7835979910705396E-2"/>
                  <c:y val="2.3148148148148147E-2"/>
                </c:manualLayout>
              </c:layout>
              <c:tx>
                <c:rich>
                  <a:bodyPr/>
                  <a:lstStyle/>
                  <a:p>
                    <a:r>
                      <a:rPr lang="en-US"/>
                      <a:t>Infant Death</a:t>
                    </a:r>
                  </a:p>
                  <a:p>
                    <a:fld id="{9D60BCB3-4888-4605-A8F7-96E320DF5C4A}"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7D23-4069-976A-A965EDEFBB3D}"/>
                </c:ext>
              </c:extLst>
            </c:dLbl>
            <c:dLbl>
              <c:idx val="1"/>
              <c:layout>
                <c:manualLayout>
                  <c:x val="0.05"/>
                  <c:y val="-4.2437781360066642E-17"/>
                </c:manualLayout>
              </c:layout>
              <c:tx>
                <c:rich>
                  <a:bodyPr/>
                  <a:lstStyle/>
                  <a:p>
                    <a:r>
                      <a:rPr lang="en-US"/>
                      <a:t>Infant Death</a:t>
                    </a:r>
                  </a:p>
                  <a:p>
                    <a:fld id="{2E7758D7-CD45-42F6-8E57-70CF54114A42}"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D23-4069-976A-A965EDEFBB3D}"/>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'District pivot'!$U$23:$U$25</c:f>
              <c:strCache>
                <c:ptCount val="2"/>
                <c:pt idx="0">
                  <c:v>Without Highrisk Pregnancy</c:v>
                </c:pt>
                <c:pt idx="1">
                  <c:v>With Highrisk Pregnancy</c:v>
                </c:pt>
              </c:strCache>
            </c:strRef>
          </c:cat>
          <c:val>
            <c:numRef>
              <c:f>'District pivot'!$V$23:$V$25</c:f>
              <c:numCache>
                <c:formatCode>General</c:formatCode>
                <c:ptCount val="2"/>
                <c:pt idx="0">
                  <c:v>13</c:v>
                </c:pt>
                <c:pt idx="1">
                  <c:v>14</c:v>
                </c:pt>
              </c:numCache>
            </c:numRef>
          </c:val>
          <c:shape val="cylinder"/>
          <c:extLst>
            <c:ext xmlns:c16="http://schemas.microsoft.com/office/drawing/2014/chart" uri="{C3380CC4-5D6E-409C-BE32-E72D297353CC}">
              <c16:uniqueId val="{00000002-7D23-4069-976A-A965EDEFBB3D}"/>
            </c:ext>
          </c:extLst>
        </c:ser>
        <c:ser>
          <c:idx val="1"/>
          <c:order val="1"/>
          <c:tx>
            <c:strRef>
              <c:f>'District pivot'!$W$21:$W$22</c:f>
              <c:strCache>
                <c:ptCount val="1"/>
                <c:pt idx="0">
                  <c:v>Neonatal Death</c:v>
                </c:pt>
              </c:strCache>
            </c:strRef>
          </c:tx>
          <c:spPr>
            <a:gradFill>
              <a:gsLst>
                <a:gs pos="0">
                  <a:srgbClr val="F200F2"/>
                </a:gs>
                <a:gs pos="98000">
                  <a:srgbClr val="8F008F"/>
                </a:gs>
              </a:gsLst>
              <a:lin ang="16200000" scaled="1"/>
            </a:gradFill>
            <a:ln>
              <a:noFill/>
            </a:ln>
            <a:effectLst/>
            <a:sp3d/>
          </c:spPr>
          <c:invertIfNegative val="0"/>
          <c:dPt>
            <c:idx val="0"/>
            <c:invertIfNegative val="0"/>
            <c:bubble3D val="0"/>
            <c:spPr>
              <a:gradFill>
                <a:gsLst>
                  <a:gs pos="0">
                    <a:srgbClr val="F200F2"/>
                  </a:gs>
                  <a:gs pos="98000">
                    <a:srgbClr val="8F008F"/>
                  </a:gs>
                </a:gsLst>
                <a:lin ang="16200000" scaled="1"/>
              </a:gradFill>
              <a:ln>
                <a:noFill/>
              </a:ln>
              <a:effectLst/>
              <a:sp3d/>
            </c:spPr>
            <c:extLst>
              <c:ext xmlns:c16="http://schemas.microsoft.com/office/drawing/2014/chart" uri="{C3380CC4-5D6E-409C-BE32-E72D297353CC}">
                <c16:uniqueId val="{00000003-7D23-4069-976A-A965EDEFBB3D}"/>
              </c:ext>
            </c:extLst>
          </c:dPt>
          <c:dPt>
            <c:idx val="1"/>
            <c:invertIfNegative val="0"/>
            <c:bubble3D val="0"/>
            <c:spPr>
              <a:gradFill>
                <a:gsLst>
                  <a:gs pos="0">
                    <a:srgbClr val="F200F2"/>
                  </a:gs>
                  <a:gs pos="98000">
                    <a:srgbClr val="8F008F"/>
                  </a:gs>
                </a:gsLst>
                <a:lin ang="16200000" scaled="1"/>
              </a:gradFill>
              <a:ln>
                <a:noFill/>
              </a:ln>
              <a:effectLst/>
              <a:sp3d/>
            </c:spPr>
            <c:extLst>
              <c:ext xmlns:c16="http://schemas.microsoft.com/office/drawing/2014/chart" uri="{C3380CC4-5D6E-409C-BE32-E72D297353CC}">
                <c16:uniqueId val="{00000004-7D23-4069-976A-A965EDEFBB3D}"/>
              </c:ext>
            </c:extLst>
          </c:dPt>
          <c:dLbls>
            <c:dLbl>
              <c:idx val="0"/>
              <c:layout>
                <c:manualLayout>
                  <c:x val="4.1666766236921449E-2"/>
                  <c:y val="-4.1666666666666664E-2"/>
                </c:manualLayout>
              </c:layout>
              <c:tx>
                <c:rich>
                  <a:bodyPr/>
                  <a:lstStyle/>
                  <a:p>
                    <a:r>
                      <a:rPr lang="en-US"/>
                      <a:t>Neonatal Death</a:t>
                    </a:r>
                  </a:p>
                  <a:p>
                    <a:fld id="{16B202BC-9A8F-49DE-9132-C7B30725C35A}"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D23-4069-976A-A965EDEFBB3D}"/>
                </c:ext>
              </c:extLst>
            </c:dLbl>
            <c:dLbl>
              <c:idx val="1"/>
              <c:layout>
                <c:manualLayout>
                  <c:x val="-4.6296296296296294E-3"/>
                  <c:y val="-6.4477362748209796E-2"/>
                </c:manualLayout>
              </c:layout>
              <c:tx>
                <c:rich>
                  <a:bodyPr/>
                  <a:lstStyle/>
                  <a:p>
                    <a:r>
                      <a:rPr lang="en-US"/>
                      <a:t>Neonatal Death</a:t>
                    </a:r>
                  </a:p>
                  <a:p>
                    <a:fld id="{D2952CD2-963A-452D-A401-5D4040219176}"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D23-4069-976A-A965EDEFBB3D}"/>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'District pivot'!$U$23:$U$25</c:f>
              <c:strCache>
                <c:ptCount val="2"/>
                <c:pt idx="0">
                  <c:v>Without Highrisk Pregnancy</c:v>
                </c:pt>
                <c:pt idx="1">
                  <c:v>With Highrisk Pregnancy</c:v>
                </c:pt>
              </c:strCache>
            </c:strRef>
          </c:cat>
          <c:val>
            <c:numRef>
              <c:f>'District pivot'!$W$23:$W$25</c:f>
              <c:numCache>
                <c:formatCode>General</c:formatCode>
                <c:ptCount val="2"/>
                <c:pt idx="0">
                  <c:v>17</c:v>
                </c:pt>
                <c:pt idx="1">
                  <c:v>29</c:v>
                </c:pt>
              </c:numCache>
            </c:numRef>
          </c:val>
          <c:shape val="cylinder"/>
          <c:extLst>
            <c:ext xmlns:c16="http://schemas.microsoft.com/office/drawing/2014/chart" uri="{C3380CC4-5D6E-409C-BE32-E72D297353CC}">
              <c16:uniqueId val="{00000005-7D23-4069-976A-A965EDEFBB3D}"/>
            </c:ext>
          </c:extLst>
        </c:ser>
        <c:dLbls>
          <c:showLegendKey val="0"/>
          <c:showVal val="1"/>
          <c:showCatName val="0"/>
          <c:showSerName val="0"/>
          <c:showPercent val="0"/>
          <c:showBubbleSize val="0"/>
        </c:dLbls>
        <c:gapWidth val="150"/>
        <c:shape val="box"/>
        <c:axId val="365864928"/>
        <c:axId val="365861088"/>
        <c:axId val="0"/>
      </c:bar3DChart>
      <c:catAx>
        <c:axId val="365864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365861088"/>
        <c:crosses val="autoZero"/>
        <c:auto val="1"/>
        <c:lblAlgn val="ctr"/>
        <c:lblOffset val="100"/>
        <c:noMultiLvlLbl val="0"/>
      </c:catAx>
      <c:valAx>
        <c:axId val="365861088"/>
        <c:scaling>
          <c:orientation val="minMax"/>
        </c:scaling>
        <c:delete val="1"/>
        <c:axPos val="b"/>
        <c:numFmt formatCode="General" sourceLinked="1"/>
        <c:majorTickMark val="none"/>
        <c:minorTickMark val="none"/>
        <c:tickLblPos val="nextTo"/>
        <c:crossAx val="365864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death_copy.xlsx]District pivot!PivotTable7</c:name>
    <c:fmtId val="9"/>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none" strike="noStrike" kern="1200" baseline="0">
                <a:solidFill>
                  <a:schemeClr val="tx1"/>
                </a:solidFill>
                <a:latin typeface="Lato Black" panose="020F0A02020204030203" pitchFamily="34" charset="0"/>
              </a:rPr>
              <a:t>Delivery Type &amp; Death Category Analysis</a:t>
            </a:r>
          </a:p>
        </c:rich>
      </c:tx>
      <c:layout>
        <c:manualLayout>
          <c:xMode val="edge"/>
          <c:yMode val="edge"/>
          <c:x val="0.12704856356270683"/>
          <c:y val="1.5998817842139707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644927536231885E-3"/>
              <c:y val="-2.1447721179624697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2.1447721179624665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2.1447721179624731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057971014492754E-3"/>
              <c:y val="-3.5746201966041176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293547681539807"/>
          <c:y val="0.14716739496034845"/>
          <c:w val="0.74266233025219663"/>
          <c:h val="0.66123746596018662"/>
        </c:manualLayout>
      </c:layout>
      <c:bar3DChart>
        <c:barDir val="col"/>
        <c:grouping val="clustered"/>
        <c:varyColors val="0"/>
        <c:ser>
          <c:idx val="0"/>
          <c:order val="0"/>
          <c:tx>
            <c:strRef>
              <c:f>'District pivot'!$G$21:$G$22</c:f>
              <c:strCache>
                <c:ptCount val="1"/>
                <c:pt idx="0">
                  <c:v>Infant Death</c:v>
                </c:pt>
              </c:strCache>
            </c:strRef>
          </c:tx>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709-4D4D-8D7F-7271BD8DD691}"/>
              </c:ext>
            </c:extLst>
          </c:dPt>
          <c:dPt>
            <c:idx val="1"/>
            <c:invertIfNegative val="0"/>
            <c:bubble3D val="0"/>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C709-4D4D-8D7F-7271BD8DD691}"/>
              </c:ext>
            </c:extLst>
          </c:dPt>
          <c:dLbls>
            <c:dLbl>
              <c:idx val="0"/>
              <c:layout>
                <c:manualLayout>
                  <c:x val="0"/>
                  <c:y val="-2.14477211796246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09-4D4D-8D7F-7271BD8DD691}"/>
                </c:ext>
              </c:extLst>
            </c:dLbl>
            <c:dLbl>
              <c:idx val="1"/>
              <c:layout>
                <c:manualLayout>
                  <c:x val="0"/>
                  <c:y val="-2.14477211796247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709-4D4D-8D7F-7271BD8DD691}"/>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'District pivot'!$F$23:$F$25</c:f>
              <c:strCache>
                <c:ptCount val="2"/>
                <c:pt idx="0">
                  <c:v>LSCS</c:v>
                </c:pt>
                <c:pt idx="1">
                  <c:v>Normal</c:v>
                </c:pt>
              </c:strCache>
            </c:strRef>
          </c:cat>
          <c:val>
            <c:numRef>
              <c:f>'District pivot'!$G$23:$G$25</c:f>
              <c:numCache>
                <c:formatCode>General</c:formatCode>
                <c:ptCount val="2"/>
                <c:pt idx="0">
                  <c:v>14</c:v>
                </c:pt>
                <c:pt idx="1">
                  <c:v>13</c:v>
                </c:pt>
              </c:numCache>
            </c:numRef>
          </c:val>
          <c:extLst>
            <c:ext xmlns:c16="http://schemas.microsoft.com/office/drawing/2014/chart" uri="{C3380CC4-5D6E-409C-BE32-E72D297353CC}">
              <c16:uniqueId val="{00000000-C709-4D4D-8D7F-7271BD8DD691}"/>
            </c:ext>
          </c:extLst>
        </c:ser>
        <c:ser>
          <c:idx val="1"/>
          <c:order val="1"/>
          <c:tx>
            <c:strRef>
              <c:f>'District pivot'!$H$21:$H$22</c:f>
              <c:strCache>
                <c:ptCount val="1"/>
                <c:pt idx="0">
                  <c:v>Neonatal Death</c:v>
                </c:pt>
              </c:strCache>
            </c:strRef>
          </c:tx>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C709-4D4D-8D7F-7271BD8DD691}"/>
              </c:ext>
            </c:extLst>
          </c:dPt>
          <c:dPt>
            <c:idx val="1"/>
            <c:invertIfNegative val="0"/>
            <c:bubble3D val="0"/>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709-4D4D-8D7F-7271BD8DD691}"/>
              </c:ext>
            </c:extLst>
          </c:dPt>
          <c:dLbls>
            <c:dLbl>
              <c:idx val="0"/>
              <c:layout>
                <c:manualLayout>
                  <c:x val="2.2644927536231885E-3"/>
                  <c:y val="-2.1447721179624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709-4D4D-8D7F-7271BD8DD691}"/>
                </c:ext>
              </c:extLst>
            </c:dLbl>
            <c:dLbl>
              <c:idx val="1"/>
              <c:layout>
                <c:manualLayout>
                  <c:x val="9.057971014492754E-3"/>
                  <c:y val="-3.57462019660411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709-4D4D-8D7F-7271BD8DD691}"/>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'District pivot'!$F$23:$F$25</c:f>
              <c:strCache>
                <c:ptCount val="2"/>
                <c:pt idx="0">
                  <c:v>LSCS</c:v>
                </c:pt>
                <c:pt idx="1">
                  <c:v>Normal</c:v>
                </c:pt>
              </c:strCache>
            </c:strRef>
          </c:cat>
          <c:val>
            <c:numRef>
              <c:f>'District pivot'!$H$23:$H$25</c:f>
              <c:numCache>
                <c:formatCode>General</c:formatCode>
                <c:ptCount val="2"/>
                <c:pt idx="0">
                  <c:v>31</c:v>
                </c:pt>
                <c:pt idx="1">
                  <c:v>15</c:v>
                </c:pt>
              </c:numCache>
            </c:numRef>
          </c:val>
          <c:extLst>
            <c:ext xmlns:c16="http://schemas.microsoft.com/office/drawing/2014/chart" uri="{C3380CC4-5D6E-409C-BE32-E72D297353CC}">
              <c16:uniqueId val="{00000001-C709-4D4D-8D7F-7271BD8DD691}"/>
            </c:ext>
          </c:extLst>
        </c:ser>
        <c:dLbls>
          <c:showLegendKey val="0"/>
          <c:showVal val="1"/>
          <c:showCatName val="0"/>
          <c:showSerName val="0"/>
          <c:showPercent val="0"/>
          <c:showBubbleSize val="0"/>
        </c:dLbls>
        <c:gapWidth val="150"/>
        <c:shape val="box"/>
        <c:axId val="862356416"/>
        <c:axId val="862355936"/>
        <c:axId val="0"/>
      </c:bar3DChart>
      <c:catAx>
        <c:axId val="8623564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862355936"/>
        <c:crosses val="autoZero"/>
        <c:auto val="1"/>
        <c:lblAlgn val="ctr"/>
        <c:lblOffset val="100"/>
        <c:noMultiLvlLbl val="0"/>
      </c:catAx>
      <c:valAx>
        <c:axId val="862355936"/>
        <c:scaling>
          <c:orientation val="minMax"/>
        </c:scaling>
        <c:delete val="1"/>
        <c:axPos val="l"/>
        <c:numFmt formatCode="General" sourceLinked="1"/>
        <c:majorTickMark val="none"/>
        <c:minorTickMark val="none"/>
        <c:tickLblPos val="nextTo"/>
        <c:crossAx val="862356416"/>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legend>
      <c:legendPos val="t"/>
      <c:layout>
        <c:manualLayout>
          <c:xMode val="edge"/>
          <c:yMode val="edge"/>
          <c:x val="0.23117992553919892"/>
          <c:y val="0.11469267413959314"/>
          <c:w val="0.53058355205599295"/>
          <c:h val="8.5527486147564891E-2"/>
        </c:manualLayout>
      </c:layou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death_copy.xlsx]District pivot!PivotTable8</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none" strike="noStrike" kern="1200" spc="0" baseline="0">
                <a:solidFill>
                  <a:schemeClr val="tx1"/>
                </a:solidFill>
                <a:latin typeface="Lato Black" panose="020F0A02020204030203" pitchFamily="34" charset="0"/>
              </a:rPr>
              <a:t>Gender-wise Analysis of Infant &amp; Neonatal Deaths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rgbClr val="F698E6"/>
              </a:gs>
              <a:gs pos="100000">
                <a:srgbClr val="E329C8"/>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tx2">
                  <a:lumMod val="60000"/>
                  <a:lumOff val="40000"/>
                </a:schemeClr>
              </a:gs>
              <a:gs pos="100000">
                <a:schemeClr val="tx2">
                  <a:lumMod val="50000"/>
                </a:scheme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tx2">
                  <a:lumMod val="60000"/>
                  <a:lumOff val="40000"/>
                </a:schemeClr>
              </a:gs>
              <a:gs pos="100000">
                <a:schemeClr val="tx2">
                  <a:lumMod val="50000"/>
                </a:scheme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4.1666666666666706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tx2">
                  <a:lumMod val="60000"/>
                  <a:lumOff val="40000"/>
                </a:schemeClr>
              </a:gs>
              <a:gs pos="100000">
                <a:schemeClr val="tx2">
                  <a:lumMod val="50000"/>
                </a:scheme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344E-2"/>
              <c:y val="-4.1666666666666685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F698E6"/>
              </a:gs>
              <a:gs pos="100000">
                <a:srgbClr val="E329C8"/>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4534E-3"/>
              <c:y val="-3.2407407407407406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F698E6"/>
              </a:gs>
              <a:gs pos="100000">
                <a:srgbClr val="E329C8"/>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3.7037037037037035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rgbClr val="F698E6"/>
              </a:gs>
              <a:gs pos="100000">
                <a:srgbClr val="E329C8"/>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rgbClr val="F698E6"/>
              </a:gs>
              <a:gs pos="100000">
                <a:srgbClr val="E329C8"/>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3.7037037037037035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rgbClr val="F698E6"/>
              </a:gs>
              <a:gs pos="100000">
                <a:srgbClr val="E329C8"/>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4534E-3"/>
              <c:y val="-3.2407407407407406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tx2">
                  <a:lumMod val="60000"/>
                  <a:lumOff val="40000"/>
                </a:schemeClr>
              </a:gs>
              <a:gs pos="100000">
                <a:schemeClr val="tx2">
                  <a:lumMod val="50000"/>
                </a:scheme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tx2">
                  <a:lumMod val="60000"/>
                  <a:lumOff val="40000"/>
                </a:schemeClr>
              </a:gs>
              <a:gs pos="100000">
                <a:schemeClr val="tx2">
                  <a:lumMod val="50000"/>
                </a:scheme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4.1666666666666706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tx2">
                  <a:lumMod val="60000"/>
                  <a:lumOff val="40000"/>
                </a:schemeClr>
              </a:gs>
              <a:gs pos="100000">
                <a:schemeClr val="tx2">
                  <a:lumMod val="50000"/>
                </a:scheme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344E-2"/>
              <c:y val="-4.1666666666666685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'District pivot'!$L$21:$L$22</c:f>
              <c:strCache>
                <c:ptCount val="1"/>
                <c:pt idx="0">
                  <c:v>Female</c:v>
                </c:pt>
              </c:strCache>
            </c:strRef>
          </c:tx>
          <c:spPr>
            <a:gradFill rotWithShape="1">
              <a:gsLst>
                <a:gs pos="0">
                  <a:srgbClr val="F698E6"/>
                </a:gs>
                <a:gs pos="100000">
                  <a:srgbClr val="E329C8"/>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rgbClr val="F698E6"/>
                  </a:gs>
                  <a:gs pos="100000">
                    <a:srgbClr val="E329C8"/>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B605-46C5-9816-B6C2D33D5573}"/>
              </c:ext>
            </c:extLst>
          </c:dPt>
          <c:dPt>
            <c:idx val="1"/>
            <c:invertIfNegative val="0"/>
            <c:bubble3D val="0"/>
            <c:spPr>
              <a:gradFill rotWithShape="1">
                <a:gsLst>
                  <a:gs pos="0">
                    <a:srgbClr val="F698E6"/>
                  </a:gs>
                  <a:gs pos="100000">
                    <a:srgbClr val="E329C8"/>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605-46C5-9816-B6C2D33D5573}"/>
              </c:ext>
            </c:extLst>
          </c:dPt>
          <c:dLbls>
            <c:dLbl>
              <c:idx val="0"/>
              <c:layout>
                <c:manualLayout>
                  <c:x val="2.7777777777777779E-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05-46C5-9816-B6C2D33D5573}"/>
                </c:ext>
              </c:extLst>
            </c:dLbl>
            <c:dLbl>
              <c:idx val="1"/>
              <c:layout>
                <c:manualLayout>
                  <c:x val="5.5555555555554534E-3"/>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05-46C5-9816-B6C2D33D5573}"/>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'District pivot'!$K$23:$K$25</c:f>
              <c:strCache>
                <c:ptCount val="2"/>
                <c:pt idx="0">
                  <c:v>Infant Death</c:v>
                </c:pt>
                <c:pt idx="1">
                  <c:v>Neonatal Death</c:v>
                </c:pt>
              </c:strCache>
            </c:strRef>
          </c:cat>
          <c:val>
            <c:numRef>
              <c:f>'District pivot'!$L$23:$L$25</c:f>
              <c:numCache>
                <c:formatCode>General</c:formatCode>
                <c:ptCount val="2"/>
                <c:pt idx="0">
                  <c:v>11</c:v>
                </c:pt>
                <c:pt idx="1">
                  <c:v>23</c:v>
                </c:pt>
              </c:numCache>
            </c:numRef>
          </c:val>
          <c:extLst>
            <c:ext xmlns:c16="http://schemas.microsoft.com/office/drawing/2014/chart" uri="{C3380CC4-5D6E-409C-BE32-E72D297353CC}">
              <c16:uniqueId val="{00000002-B605-46C5-9816-B6C2D33D5573}"/>
            </c:ext>
          </c:extLst>
        </c:ser>
        <c:ser>
          <c:idx val="1"/>
          <c:order val="1"/>
          <c:tx>
            <c:strRef>
              <c:f>'District pivot'!$M$21:$M$22</c:f>
              <c:strCache>
                <c:ptCount val="1"/>
                <c:pt idx="0">
                  <c:v>Male</c:v>
                </c:pt>
              </c:strCache>
            </c:strRef>
          </c:tx>
          <c:spPr>
            <a:gradFill rotWithShape="1">
              <a:gsLst>
                <a:gs pos="0">
                  <a:schemeClr val="tx2">
                    <a:lumMod val="60000"/>
                    <a:lumOff val="40000"/>
                  </a:schemeClr>
                </a:gs>
                <a:gs pos="100000">
                  <a:schemeClr val="tx2">
                    <a:lumMod val="50000"/>
                  </a:scheme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tx2">
                      <a:lumMod val="60000"/>
                      <a:lumOff val="40000"/>
                    </a:schemeClr>
                  </a:gs>
                  <a:gs pos="100000">
                    <a:schemeClr val="tx2">
                      <a:lumMod val="50000"/>
                    </a:scheme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605-46C5-9816-B6C2D33D5573}"/>
              </c:ext>
            </c:extLst>
          </c:dPt>
          <c:dPt>
            <c:idx val="1"/>
            <c:invertIfNegative val="0"/>
            <c:bubble3D val="0"/>
            <c:spPr>
              <a:gradFill rotWithShape="1">
                <a:gsLst>
                  <a:gs pos="0">
                    <a:schemeClr val="tx2">
                      <a:lumMod val="60000"/>
                      <a:lumOff val="40000"/>
                    </a:schemeClr>
                  </a:gs>
                  <a:gs pos="100000">
                    <a:schemeClr val="tx2">
                      <a:lumMod val="50000"/>
                    </a:scheme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B605-46C5-9816-B6C2D33D5573}"/>
              </c:ext>
            </c:extLst>
          </c:dPt>
          <c:dLbls>
            <c:dLbl>
              <c:idx val="0"/>
              <c:layout>
                <c:manualLayout>
                  <c:x val="0"/>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05-46C5-9816-B6C2D33D5573}"/>
                </c:ext>
              </c:extLst>
            </c:dLbl>
            <c:dLbl>
              <c:idx val="1"/>
              <c:layout>
                <c:manualLayout>
                  <c:x val="1.9444444444444344E-2"/>
                  <c:y val="-4.16666666666666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05-46C5-9816-B6C2D33D5573}"/>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'District pivot'!$K$23:$K$25</c:f>
              <c:strCache>
                <c:ptCount val="2"/>
                <c:pt idx="0">
                  <c:v>Infant Death</c:v>
                </c:pt>
                <c:pt idx="1">
                  <c:v>Neonatal Death</c:v>
                </c:pt>
              </c:strCache>
            </c:strRef>
          </c:cat>
          <c:val>
            <c:numRef>
              <c:f>'District pivot'!$M$23:$M$25</c:f>
              <c:numCache>
                <c:formatCode>General</c:formatCode>
                <c:ptCount val="2"/>
                <c:pt idx="0">
                  <c:v>16</c:v>
                </c:pt>
                <c:pt idx="1">
                  <c:v>23</c:v>
                </c:pt>
              </c:numCache>
            </c:numRef>
          </c:val>
          <c:extLst>
            <c:ext xmlns:c16="http://schemas.microsoft.com/office/drawing/2014/chart" uri="{C3380CC4-5D6E-409C-BE32-E72D297353CC}">
              <c16:uniqueId val="{00000005-B605-46C5-9816-B6C2D33D5573}"/>
            </c:ext>
          </c:extLst>
        </c:ser>
        <c:dLbls>
          <c:showLegendKey val="0"/>
          <c:showVal val="1"/>
          <c:showCatName val="0"/>
          <c:showSerName val="0"/>
          <c:showPercent val="0"/>
          <c:showBubbleSize val="0"/>
        </c:dLbls>
        <c:gapWidth val="150"/>
        <c:shape val="box"/>
        <c:axId val="862268576"/>
        <c:axId val="862264256"/>
        <c:axId val="702864544"/>
      </c:bar3DChart>
      <c:catAx>
        <c:axId val="8622685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862264256"/>
        <c:crosses val="autoZero"/>
        <c:auto val="1"/>
        <c:lblAlgn val="ctr"/>
        <c:lblOffset val="100"/>
        <c:noMultiLvlLbl val="0"/>
      </c:catAx>
      <c:valAx>
        <c:axId val="862264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862268576"/>
        <c:crosses val="autoZero"/>
        <c:crossBetween val="between"/>
      </c:valAx>
      <c:serAx>
        <c:axId val="702864544"/>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862264256"/>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death_copy.xlsx]District pivot!PivotTable9</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none" strike="noStrike" kern="1200" baseline="0">
                <a:solidFill>
                  <a:schemeClr val="tx1"/>
                </a:solidFill>
                <a:latin typeface="Lato Black" panose="020F0A02020204030203" pitchFamily="34" charset="0"/>
              </a:rPr>
              <a:t>Preventability of Infant &amp; Neonatal Deaths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rgbClr val="F06128"/>
              </a:gs>
              <a:gs pos="99000">
                <a:srgbClr val="9C060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E90D22"/>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F06128"/>
              </a:gs>
              <a:gs pos="99000">
                <a:srgbClr val="9C060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E90D22"/>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'District pivot'!$Q$21:$Q$22</c:f>
              <c:strCache>
                <c:ptCount val="1"/>
                <c:pt idx="0">
                  <c:v>Infant Death</c:v>
                </c:pt>
              </c:strCache>
            </c:strRef>
          </c:tx>
          <c:spPr>
            <a:gradFill rotWithShape="1">
              <a:gsLst>
                <a:gs pos="0">
                  <a:srgbClr val="F06128"/>
                </a:gs>
                <a:gs pos="99000">
                  <a:srgbClr val="9C060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'District pivot'!$P$23:$P$25</c:f>
              <c:strCache>
                <c:ptCount val="2"/>
                <c:pt idx="0">
                  <c:v>Non-Preventable</c:v>
                </c:pt>
                <c:pt idx="1">
                  <c:v>Preventable</c:v>
                </c:pt>
              </c:strCache>
            </c:strRef>
          </c:cat>
          <c:val>
            <c:numRef>
              <c:f>'District pivot'!$Q$23:$Q$25</c:f>
              <c:numCache>
                <c:formatCode>General</c:formatCode>
                <c:ptCount val="2"/>
                <c:pt idx="0">
                  <c:v>14</c:v>
                </c:pt>
                <c:pt idx="1">
                  <c:v>13</c:v>
                </c:pt>
              </c:numCache>
            </c:numRef>
          </c:val>
          <c:extLst>
            <c:ext xmlns:c16="http://schemas.microsoft.com/office/drawing/2014/chart" uri="{C3380CC4-5D6E-409C-BE32-E72D297353CC}">
              <c16:uniqueId val="{00000000-88B9-4817-A45C-4D32C0BC50BA}"/>
            </c:ext>
          </c:extLst>
        </c:ser>
        <c:ser>
          <c:idx val="1"/>
          <c:order val="1"/>
          <c:tx>
            <c:strRef>
              <c:f>'District pivot'!$R$21:$R$22</c:f>
              <c:strCache>
                <c:ptCount val="1"/>
                <c:pt idx="0">
                  <c:v>Neonatal Death</c:v>
                </c:pt>
              </c:strCache>
            </c:strRef>
          </c:tx>
          <c:spPr>
            <a:gradFill rotWithShape="1">
              <a:gsLst>
                <a:gs pos="0">
                  <a:srgbClr val="E90D22"/>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'District pivot'!$P$23:$P$25</c:f>
              <c:strCache>
                <c:ptCount val="2"/>
                <c:pt idx="0">
                  <c:v>Non-Preventable</c:v>
                </c:pt>
                <c:pt idx="1">
                  <c:v>Preventable</c:v>
                </c:pt>
              </c:strCache>
            </c:strRef>
          </c:cat>
          <c:val>
            <c:numRef>
              <c:f>'District pivot'!$R$23:$R$25</c:f>
              <c:numCache>
                <c:formatCode>General</c:formatCode>
                <c:ptCount val="2"/>
                <c:pt idx="0">
                  <c:v>37</c:v>
                </c:pt>
                <c:pt idx="1">
                  <c:v>9</c:v>
                </c:pt>
              </c:numCache>
            </c:numRef>
          </c:val>
          <c:extLst>
            <c:ext xmlns:c16="http://schemas.microsoft.com/office/drawing/2014/chart" uri="{C3380CC4-5D6E-409C-BE32-E72D297353CC}">
              <c16:uniqueId val="{00000001-88B9-4817-A45C-4D32C0BC50BA}"/>
            </c:ext>
          </c:extLst>
        </c:ser>
        <c:dLbls>
          <c:showLegendKey val="0"/>
          <c:showVal val="1"/>
          <c:showCatName val="0"/>
          <c:showSerName val="0"/>
          <c:showPercent val="0"/>
          <c:showBubbleSize val="0"/>
        </c:dLbls>
        <c:gapWidth val="115"/>
        <c:axId val="862345376"/>
        <c:axId val="862346336"/>
      </c:barChart>
      <c:catAx>
        <c:axId val="8623453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862346336"/>
        <c:crosses val="autoZero"/>
        <c:auto val="1"/>
        <c:lblAlgn val="ctr"/>
        <c:lblOffset val="100"/>
        <c:noMultiLvlLbl val="0"/>
      </c:catAx>
      <c:valAx>
        <c:axId val="862346336"/>
        <c:scaling>
          <c:orientation val="minMax"/>
        </c:scaling>
        <c:delete val="1"/>
        <c:axPos val="b"/>
        <c:numFmt formatCode="General" sourceLinked="1"/>
        <c:majorTickMark val="none"/>
        <c:minorTickMark val="none"/>
        <c:tickLblPos val="nextTo"/>
        <c:crossAx val="862345376"/>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[Infant death_copy.xlsx]karkal_pivot!High_risk(K1)</c:name>
    <c:fmtId val="3"/>
  </c:pivotSource>
  <c:chart>
    <c:title>
      <c:tx>
        <c:rich>
          <a:bodyPr rot="0" spcFirstLastPara="1" vertOverflow="ellipsis" vert="horz" wrap="square" anchor="t" anchorCtr="0"/>
          <a:lstStyle/>
          <a:p>
            <a:pPr>
              <a:defRPr sz="1600" b="1" i="0" u="none" strike="noStrike" kern="1200" baseline="0">
                <a:solidFill>
                  <a:schemeClr val="tx2"/>
                </a:solidFill>
                <a:latin typeface="+mn-lt"/>
                <a:ea typeface="+mn-ea"/>
                <a:cs typeface="+mn-cs"/>
              </a:defRPr>
            </a:pPr>
            <a:r>
              <a:rPr lang="en-IN" sz="1600">
                <a:solidFill>
                  <a:schemeClr val="tx1"/>
                </a:solidFill>
                <a:latin typeface="Lato Black" panose="020F0A02020204030203" pitchFamily="34" charset="0"/>
              </a:rPr>
              <a:t>HRP &amp; Delivery Type Analysis</a:t>
            </a:r>
          </a:p>
        </c:rich>
      </c:tx>
      <c:layout>
        <c:manualLayout>
          <c:xMode val="edge"/>
          <c:yMode val="edge"/>
          <c:x val="0.12781428739105838"/>
          <c:y val="0"/>
        </c:manualLayout>
      </c:layout>
      <c:overlay val="0"/>
      <c:spPr>
        <a:noFill/>
        <a:ln>
          <a:noFill/>
        </a:ln>
        <a:effectLst/>
      </c:spPr>
      <c:txPr>
        <a:bodyPr rot="0" spcFirstLastPara="1" vertOverflow="ellipsis" vert="horz" wrap="square" anchor="t" anchorCtr="0"/>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rgbClr val="4CD46C"/>
              </a:gs>
              <a:gs pos="100000">
                <a:srgbClr val="1C8519"/>
              </a:gs>
            </a:gsLst>
            <a:lin ang="5400000" scaled="1"/>
          </a:gradFill>
          <a:ln>
            <a:noFill/>
          </a:ln>
          <a:effectLst>
            <a:outerShdw blurRad="40000" dist="23000" dir="5400000" rotWithShape="0">
              <a:srgbClr val="000000">
                <a:alpha val="35000"/>
              </a:srgbClr>
            </a:outerShdw>
          </a:effectLst>
          <a:sp3d/>
        </c:spPr>
        <c:marker>
          <c:symbol val="circle"/>
          <c:size val="6"/>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B9EA60"/>
              </a:gs>
              <a:gs pos="100000">
                <a:srgbClr val="88A51F"/>
              </a:gs>
            </a:gsLst>
            <a:lin ang="5400000" scaled="1"/>
          </a:gradFill>
          <a:ln>
            <a:noFill/>
          </a:ln>
          <a:effectLst>
            <a:outerShdw blurRad="40000" dist="23000" dir="5400000" rotWithShape="0">
              <a:srgbClr val="000000">
                <a:alpha val="35000"/>
              </a:srgbClr>
            </a:outerShdw>
          </a:effectLst>
          <a:sp3d/>
        </c:spPr>
        <c:marker>
          <c:symbol val="circle"/>
          <c:size val="6"/>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4CD46C"/>
              </a:gs>
              <a:gs pos="100000">
                <a:srgbClr val="1C8519"/>
              </a:gs>
            </a:gsLst>
            <a:lin ang="5400000" scaled="1"/>
          </a:gradFill>
          <a:ln>
            <a:noFill/>
          </a:ln>
          <a:effectLst>
            <a:outerShdw blurRad="40000" dist="23000" dir="5400000" rotWithShape="0">
              <a:srgbClr val="000000">
                <a:alpha val="35000"/>
              </a:srgbClr>
            </a:outerShdw>
          </a:effectLst>
          <a:sp3d/>
        </c:spPr>
        <c:dLbl>
          <c:idx val="0"/>
          <c:layout>
            <c:manualLayout>
              <c:x val="5.5555555555555297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4CD46C"/>
              </a:gs>
              <a:gs pos="100000">
                <a:srgbClr val="1C8519"/>
              </a:gs>
            </a:gsLst>
            <a:lin ang="5400000" scaled="1"/>
          </a:gradFill>
          <a:ln>
            <a:noFill/>
          </a:ln>
          <a:effectLst>
            <a:outerShdw blurRad="40000" dist="23000" dir="5400000" rotWithShape="0">
              <a:srgbClr val="000000">
                <a:alpha val="35000"/>
              </a:srgbClr>
            </a:outerShdw>
          </a:effectLst>
          <a:sp3d/>
        </c:spPr>
        <c:dLbl>
          <c:idx val="0"/>
          <c:layout>
            <c:manualLayout>
              <c:x val="8.3333333333333332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B9EA60"/>
              </a:gs>
              <a:gs pos="100000">
                <a:srgbClr val="88A51F"/>
              </a:gs>
            </a:gsLst>
            <a:lin ang="5400000" scaled="1"/>
          </a:gradFill>
          <a:ln>
            <a:noFill/>
          </a:ln>
          <a:effectLst>
            <a:outerShdw blurRad="40000" dist="23000" dir="5400000" rotWithShape="0">
              <a:srgbClr val="000000">
                <a:alpha val="35000"/>
              </a:srgbClr>
            </a:outerShdw>
          </a:effectLst>
          <a:sp3d/>
        </c:spPr>
        <c:dLbl>
          <c:idx val="0"/>
          <c:layout>
            <c:manualLayout>
              <c:x val="1.944444444444444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B9EA60"/>
              </a:gs>
              <a:gs pos="100000">
                <a:srgbClr val="88A51F"/>
              </a:gs>
            </a:gsLst>
            <a:lin ang="5400000" scaled="1"/>
          </a:gradFill>
          <a:ln>
            <a:noFill/>
          </a:ln>
          <a:effectLst>
            <a:outerShdw blurRad="40000" dist="23000" dir="5400000" rotWithShape="0">
              <a:srgbClr val="000000">
                <a:alpha val="35000"/>
              </a:srgbClr>
            </a:outerShdw>
          </a:effectLst>
          <a:sp3d/>
        </c:spPr>
        <c:dLbl>
          <c:idx val="0"/>
          <c:layout>
            <c:manualLayout>
              <c:x val="2.7777777777777776E-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rgbClr val="4CD46C"/>
              </a:gs>
              <a:gs pos="100000">
                <a:srgbClr val="1C8519"/>
              </a:gs>
            </a:gsLst>
            <a:lin ang="5400000" scaled="1"/>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rgbClr val="4CD46C"/>
              </a:gs>
              <a:gs pos="100000">
                <a:srgbClr val="1C8519"/>
              </a:gs>
            </a:gsLst>
            <a:lin ang="5400000" scaled="1"/>
          </a:gradFill>
          <a:ln>
            <a:noFill/>
          </a:ln>
          <a:effectLst>
            <a:outerShdw blurRad="40000" dist="23000" dir="5400000" rotWithShape="0">
              <a:srgbClr val="000000">
                <a:alpha val="35000"/>
              </a:srgbClr>
            </a:outerShdw>
          </a:effectLst>
          <a:sp3d/>
        </c:spPr>
        <c:dLbl>
          <c:idx val="0"/>
          <c:layout>
            <c:manualLayout>
              <c:x val="5.5555555555555297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rgbClr val="4CD46C"/>
              </a:gs>
              <a:gs pos="100000">
                <a:srgbClr val="1C8519"/>
              </a:gs>
            </a:gsLst>
            <a:lin ang="5400000" scaled="1"/>
          </a:gradFill>
          <a:ln>
            <a:noFill/>
          </a:ln>
          <a:effectLst>
            <a:outerShdw blurRad="40000" dist="23000" dir="5400000" rotWithShape="0">
              <a:srgbClr val="000000">
                <a:alpha val="35000"/>
              </a:srgbClr>
            </a:outerShdw>
          </a:effectLst>
          <a:sp3d/>
        </c:spPr>
        <c:dLbl>
          <c:idx val="0"/>
          <c:layout>
            <c:manualLayout>
              <c:x val="8.3333333333333332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rgbClr val="B9EA60"/>
              </a:gs>
              <a:gs pos="100000">
                <a:srgbClr val="88A51F"/>
              </a:gs>
            </a:gsLst>
            <a:lin ang="5400000" scaled="1"/>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rgbClr val="B9EA60"/>
              </a:gs>
              <a:gs pos="100000">
                <a:srgbClr val="88A51F"/>
              </a:gs>
            </a:gsLst>
            <a:lin ang="5400000" scaled="1"/>
          </a:gradFill>
          <a:ln>
            <a:noFill/>
          </a:ln>
          <a:effectLst>
            <a:outerShdw blurRad="40000" dist="23000" dir="5400000" rotWithShape="0">
              <a:srgbClr val="000000">
                <a:alpha val="35000"/>
              </a:srgbClr>
            </a:outerShdw>
          </a:effectLst>
          <a:sp3d/>
        </c:spPr>
        <c:dLbl>
          <c:idx val="0"/>
          <c:layout>
            <c:manualLayout>
              <c:x val="1.944444444444444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rgbClr val="B9EA60"/>
              </a:gs>
              <a:gs pos="100000">
                <a:srgbClr val="88A51F"/>
              </a:gs>
            </a:gsLst>
            <a:lin ang="5400000" scaled="1"/>
          </a:gradFill>
          <a:ln>
            <a:noFill/>
          </a:ln>
          <a:effectLst>
            <a:outerShdw blurRad="40000" dist="23000" dir="5400000" rotWithShape="0">
              <a:srgbClr val="000000">
                <a:alpha val="35000"/>
              </a:srgbClr>
            </a:outerShdw>
          </a:effectLst>
          <a:sp3d/>
        </c:spPr>
        <c:dLbl>
          <c:idx val="0"/>
          <c:layout>
            <c:manualLayout>
              <c:x val="2.7777777777777776E-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rgbClr val="4CD46C"/>
              </a:gs>
              <a:gs pos="100000">
                <a:srgbClr val="1C8519"/>
              </a:gs>
            </a:gsLst>
            <a:lin ang="5400000" scaled="1"/>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rgbClr val="4CD46C"/>
              </a:gs>
              <a:gs pos="100000">
                <a:srgbClr val="1C8519"/>
              </a:gs>
            </a:gsLst>
            <a:lin ang="5400000" scaled="1"/>
          </a:gradFill>
          <a:ln>
            <a:noFill/>
          </a:ln>
          <a:effectLst>
            <a:outerShdw blurRad="40000" dist="23000" dir="5400000" rotWithShape="0">
              <a:srgbClr val="000000">
                <a:alpha val="35000"/>
              </a:srgbClr>
            </a:outerShdw>
          </a:effectLst>
          <a:sp3d/>
        </c:spPr>
        <c:dLbl>
          <c:idx val="0"/>
          <c:layout>
            <c:manualLayout>
              <c:x val="5.5555555555555297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rgbClr val="4CD46C"/>
              </a:gs>
              <a:gs pos="100000">
                <a:srgbClr val="1C8519"/>
              </a:gs>
            </a:gsLst>
            <a:lin ang="5400000" scaled="1"/>
          </a:gradFill>
          <a:ln>
            <a:noFill/>
          </a:ln>
          <a:effectLst>
            <a:outerShdw blurRad="40000" dist="23000" dir="5400000" rotWithShape="0">
              <a:srgbClr val="000000">
                <a:alpha val="35000"/>
              </a:srgbClr>
            </a:outerShdw>
          </a:effectLst>
          <a:sp3d/>
        </c:spPr>
        <c:dLbl>
          <c:idx val="0"/>
          <c:layout>
            <c:manualLayout>
              <c:x val="8.3333333333333332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rgbClr val="B9EA60"/>
              </a:gs>
              <a:gs pos="100000">
                <a:srgbClr val="88A51F"/>
              </a:gs>
            </a:gsLst>
            <a:lin ang="5400000" scaled="1"/>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rgbClr val="B9EA60"/>
              </a:gs>
              <a:gs pos="100000">
                <a:srgbClr val="88A51F"/>
              </a:gs>
            </a:gsLst>
            <a:lin ang="5400000" scaled="1"/>
          </a:gradFill>
          <a:ln>
            <a:noFill/>
          </a:ln>
          <a:effectLst>
            <a:outerShdw blurRad="40000" dist="23000" dir="5400000" rotWithShape="0">
              <a:srgbClr val="000000">
                <a:alpha val="35000"/>
              </a:srgbClr>
            </a:outerShdw>
          </a:effectLst>
          <a:sp3d/>
        </c:spPr>
        <c:dLbl>
          <c:idx val="0"/>
          <c:layout>
            <c:manualLayout>
              <c:x val="1.944444444444444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rgbClr val="B9EA60"/>
              </a:gs>
              <a:gs pos="100000">
                <a:srgbClr val="88A51F"/>
              </a:gs>
            </a:gsLst>
            <a:lin ang="5400000" scaled="1"/>
          </a:gradFill>
          <a:ln>
            <a:noFill/>
          </a:ln>
          <a:effectLst>
            <a:outerShdw blurRad="40000" dist="23000" dir="5400000" rotWithShape="0">
              <a:srgbClr val="000000">
                <a:alpha val="35000"/>
              </a:srgbClr>
            </a:outerShdw>
          </a:effectLst>
          <a:sp3d/>
        </c:spPr>
        <c:dLbl>
          <c:idx val="0"/>
          <c:layout>
            <c:manualLayout>
              <c:x val="2.7777777777777776E-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216129554997881E-2"/>
          <c:y val="2.2683604549431319E-2"/>
          <c:w val="0.86395133356868403"/>
          <c:h val="0.84386967629046372"/>
        </c:manualLayout>
      </c:layout>
      <c:bar3DChart>
        <c:barDir val="col"/>
        <c:grouping val="standard"/>
        <c:varyColors val="0"/>
        <c:ser>
          <c:idx val="0"/>
          <c:order val="0"/>
          <c:tx>
            <c:strRef>
              <c:f>karkal_pivot!$B$3:$B$4</c:f>
              <c:strCache>
                <c:ptCount val="1"/>
                <c:pt idx="0">
                  <c:v>LSCS</c:v>
                </c:pt>
              </c:strCache>
            </c:strRef>
          </c:tx>
          <c:spPr>
            <a:gradFill rotWithShape="1">
              <a:gsLst>
                <a:gs pos="0">
                  <a:srgbClr val="4CD46C"/>
                </a:gs>
                <a:gs pos="100000">
                  <a:srgbClr val="1C8519"/>
                </a:gs>
              </a:gsLst>
              <a:lin ang="5400000" scaled="1"/>
            </a:gradFill>
            <a:ln>
              <a:noFill/>
            </a:ln>
            <a:effectLst>
              <a:outerShdw blurRad="40000" dist="23000" dir="5400000" rotWithShape="0">
                <a:srgbClr val="000000">
                  <a:alpha val="35000"/>
                </a:srgbClr>
              </a:outerShdw>
            </a:effectLst>
            <a:sp3d/>
          </c:spPr>
          <c:invertIfNegative val="0"/>
          <c:dPt>
            <c:idx val="0"/>
            <c:invertIfNegative val="0"/>
            <c:bubble3D val="0"/>
            <c:spPr>
              <a:gradFill rotWithShape="1">
                <a:gsLst>
                  <a:gs pos="0">
                    <a:srgbClr val="4CD46C"/>
                  </a:gs>
                  <a:gs pos="100000">
                    <a:srgbClr val="1C8519"/>
                  </a:gs>
                </a:gsLst>
                <a:lin ang="5400000" scaled="1"/>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0-27E0-456B-9E67-17C08CA43A27}"/>
              </c:ext>
            </c:extLst>
          </c:dPt>
          <c:dPt>
            <c:idx val="1"/>
            <c:invertIfNegative val="0"/>
            <c:bubble3D val="0"/>
            <c:spPr>
              <a:gradFill rotWithShape="1">
                <a:gsLst>
                  <a:gs pos="0">
                    <a:srgbClr val="4CD46C"/>
                  </a:gs>
                  <a:gs pos="100000">
                    <a:srgbClr val="1C8519"/>
                  </a:gs>
                </a:gsLst>
                <a:lin ang="5400000" scaled="1"/>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27E0-456B-9E67-17C08CA43A27}"/>
              </c:ext>
            </c:extLst>
          </c:dPt>
          <c:dLbls>
            <c:dLbl>
              <c:idx val="0"/>
              <c:layout>
                <c:manualLayout>
                  <c:x val="5.5555555555555297E-3"/>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E0-456B-9E67-17C08CA43A27}"/>
                </c:ext>
              </c:extLst>
            </c:dLbl>
            <c:dLbl>
              <c:idx val="1"/>
              <c:layout>
                <c:manualLayout>
                  <c:x val="8.3333333333333332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E0-456B-9E67-17C08CA43A2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noFill/>
                    </a:ln>
                    <a:effectLst/>
                  </c:spPr>
                </c15:leaderLines>
              </c:ext>
            </c:extLst>
          </c:dLbls>
          <c:cat>
            <c:strRef>
              <c:f>karkal_pivot!$A$5:$A$7</c:f>
              <c:strCache>
                <c:ptCount val="2"/>
                <c:pt idx="0">
                  <c:v>Without High Risk Pregnancy</c:v>
                </c:pt>
                <c:pt idx="1">
                  <c:v>With High Risk Pregnancy</c:v>
                </c:pt>
              </c:strCache>
            </c:strRef>
          </c:cat>
          <c:val>
            <c:numRef>
              <c:f>karkal_pivot!$B$5:$B$7</c:f>
              <c:numCache>
                <c:formatCode>General</c:formatCode>
                <c:ptCount val="2"/>
                <c:pt idx="0">
                  <c:v>6</c:v>
                </c:pt>
                <c:pt idx="1">
                  <c:v>6</c:v>
                </c:pt>
              </c:numCache>
            </c:numRef>
          </c:val>
          <c:extLst>
            <c:ext xmlns:c16="http://schemas.microsoft.com/office/drawing/2014/chart" uri="{C3380CC4-5D6E-409C-BE32-E72D297353CC}">
              <c16:uniqueId val="{00000002-27E0-456B-9E67-17C08CA43A27}"/>
            </c:ext>
          </c:extLst>
        </c:ser>
        <c:ser>
          <c:idx val="1"/>
          <c:order val="1"/>
          <c:tx>
            <c:strRef>
              <c:f>karkal_pivot!$C$3:$C$4</c:f>
              <c:strCache>
                <c:ptCount val="1"/>
                <c:pt idx="0">
                  <c:v>Normal</c:v>
                </c:pt>
              </c:strCache>
            </c:strRef>
          </c:tx>
          <c:spPr>
            <a:gradFill rotWithShape="1">
              <a:gsLst>
                <a:gs pos="0">
                  <a:srgbClr val="B9EA60"/>
                </a:gs>
                <a:gs pos="100000">
                  <a:srgbClr val="88A51F"/>
                </a:gs>
              </a:gsLst>
              <a:lin ang="5400000" scaled="1"/>
            </a:gradFill>
            <a:ln>
              <a:noFill/>
            </a:ln>
            <a:effectLst>
              <a:outerShdw blurRad="40000" dist="23000" dir="5400000" rotWithShape="0">
                <a:srgbClr val="000000">
                  <a:alpha val="35000"/>
                </a:srgbClr>
              </a:outerShdw>
            </a:effectLst>
            <a:sp3d/>
          </c:spPr>
          <c:invertIfNegative val="0"/>
          <c:dPt>
            <c:idx val="0"/>
            <c:invertIfNegative val="0"/>
            <c:bubble3D val="0"/>
            <c:spPr>
              <a:gradFill rotWithShape="1">
                <a:gsLst>
                  <a:gs pos="0">
                    <a:srgbClr val="B9EA60"/>
                  </a:gs>
                  <a:gs pos="100000">
                    <a:srgbClr val="88A51F"/>
                  </a:gs>
                </a:gsLst>
                <a:lin ang="5400000" scaled="1"/>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2ACF-4E58-BA9F-04F162924C09}"/>
              </c:ext>
            </c:extLst>
          </c:dPt>
          <c:dPt>
            <c:idx val="1"/>
            <c:invertIfNegative val="0"/>
            <c:bubble3D val="0"/>
            <c:spPr>
              <a:gradFill rotWithShape="1">
                <a:gsLst>
                  <a:gs pos="0">
                    <a:srgbClr val="B9EA60"/>
                  </a:gs>
                  <a:gs pos="100000">
                    <a:srgbClr val="88A51F"/>
                  </a:gs>
                </a:gsLst>
                <a:lin ang="5400000" scaled="1"/>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2ACF-4E58-BA9F-04F162924C09}"/>
              </c:ext>
            </c:extLst>
          </c:dPt>
          <c:dLbls>
            <c:dLbl>
              <c:idx val="0"/>
              <c:layout>
                <c:manualLayout>
                  <c:x val="1.9444444444444445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CF-4E58-BA9F-04F162924C09}"/>
                </c:ext>
              </c:extLst>
            </c:dLbl>
            <c:dLbl>
              <c:idx val="1"/>
              <c:layout>
                <c:manualLayout>
                  <c:x val="2.7777777777777776E-2"/>
                  <c:y val="-2.7777777777777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CF-4E58-BA9F-04F162924C0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karkal_pivot!$A$5:$A$7</c:f>
              <c:strCache>
                <c:ptCount val="2"/>
                <c:pt idx="0">
                  <c:v>Without High Risk Pregnancy</c:v>
                </c:pt>
                <c:pt idx="1">
                  <c:v>With High Risk Pregnancy</c:v>
                </c:pt>
              </c:strCache>
            </c:strRef>
          </c:cat>
          <c:val>
            <c:numRef>
              <c:f>karkal_pivot!$C$5:$C$7</c:f>
              <c:numCache>
                <c:formatCode>General</c:formatCode>
                <c:ptCount val="2"/>
                <c:pt idx="0">
                  <c:v>2</c:v>
                </c:pt>
                <c:pt idx="1">
                  <c:v>5</c:v>
                </c:pt>
              </c:numCache>
            </c:numRef>
          </c:val>
          <c:extLst>
            <c:ext xmlns:c16="http://schemas.microsoft.com/office/drawing/2014/chart" uri="{C3380CC4-5D6E-409C-BE32-E72D297353CC}">
              <c16:uniqueId val="{00000009-3D04-4BA9-8605-2F410C38FC48}"/>
            </c:ext>
          </c:extLst>
        </c:ser>
        <c:dLbls>
          <c:showLegendKey val="0"/>
          <c:showVal val="1"/>
          <c:showCatName val="0"/>
          <c:showSerName val="0"/>
          <c:showPercent val="0"/>
          <c:showBubbleSize val="0"/>
        </c:dLbls>
        <c:gapWidth val="150"/>
        <c:shape val="box"/>
        <c:axId val="413722767"/>
        <c:axId val="413738607"/>
        <c:axId val="425926799"/>
      </c:bar3DChart>
      <c:catAx>
        <c:axId val="4137227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crossAx val="413738607"/>
        <c:crosses val="autoZero"/>
        <c:auto val="1"/>
        <c:lblAlgn val="ctr"/>
        <c:lblOffset val="100"/>
        <c:noMultiLvlLbl val="0"/>
      </c:catAx>
      <c:valAx>
        <c:axId val="413738607"/>
        <c:scaling>
          <c:orientation val="minMax"/>
        </c:scaling>
        <c:delete val="1"/>
        <c:axPos val="l"/>
        <c:numFmt formatCode="General" sourceLinked="1"/>
        <c:majorTickMark val="none"/>
        <c:minorTickMark val="none"/>
        <c:tickLblPos val="nextTo"/>
        <c:crossAx val="413722767"/>
        <c:crosses val="autoZero"/>
        <c:crossBetween val="between"/>
        <c:majorUnit val="1"/>
      </c:valAx>
      <c:serAx>
        <c:axId val="425926799"/>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crossAx val="413738607"/>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death_copy.xlsx]karkal_pivot!HR_death(K1)</c:name>
    <c:fmtId val="8"/>
  </c:pivotSource>
  <c:chart>
    <c:title>
      <c:tx>
        <c:rich>
          <a:bodyPr rot="0" spcFirstLastPara="1" vertOverflow="ellipsis" vert="horz" wrap="square" anchor="ctr" anchorCtr="1"/>
          <a:lstStyle/>
          <a:p>
            <a:pPr>
              <a:defRPr sz="1600" b="0" i="0" u="none" strike="noStrike" kern="1200" spc="0" baseline="0">
                <a:solidFill>
                  <a:schemeClr val="tx1"/>
                </a:solidFill>
                <a:latin typeface="Lato Black" panose="020F0A02020204030203" pitchFamily="34" charset="0"/>
                <a:ea typeface="+mn-ea"/>
                <a:cs typeface="+mn-cs"/>
              </a:defRPr>
            </a:pPr>
            <a:r>
              <a:rPr lang="en-IN" sz="1600">
                <a:solidFill>
                  <a:schemeClr val="tx1"/>
                </a:solidFill>
                <a:latin typeface="Lato Black" panose="020F0A02020204030203" pitchFamily="34" charset="0"/>
              </a:rPr>
              <a:t>Cause of Infant &amp; Neonatal Deaths due to </a:t>
            </a:r>
            <a:r>
              <a:rPr lang="en-IN" sz="1600" b="0" i="0" u="none" strike="noStrike" kern="1200" spc="0" baseline="0">
                <a:solidFill>
                  <a:schemeClr val="tx1"/>
                </a:solidFill>
                <a:latin typeface="Lato Black" panose="020F0A02020204030203" pitchFamily="34" charset="0"/>
              </a:rPr>
              <a:t>High-Risk Pregnancy </a:t>
            </a:r>
            <a:endParaRPr lang="en-IN" sz="1600">
              <a:solidFill>
                <a:schemeClr val="tx1"/>
              </a:solidFill>
              <a:latin typeface="Lato Black" panose="020F0A02020204030203" pitchFamily="34" charset="0"/>
            </a:endParaRPr>
          </a:p>
        </c:rich>
      </c:tx>
      <c:layout>
        <c:manualLayout>
          <c:xMode val="edge"/>
          <c:yMode val="edge"/>
          <c:x val="0.13142166295928412"/>
          <c:y val="1.449274965867632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Lato Black" panose="020F0A02020204030203" pitchFamily="34" charset="0"/>
              <a:ea typeface="+mn-ea"/>
              <a:cs typeface="+mn-cs"/>
            </a:defRPr>
          </a:pPr>
          <a:endParaRPr lang="en-IN"/>
        </a:p>
      </c:txPr>
    </c:title>
    <c:autoTitleDeleted val="0"/>
    <c:pivotFmts>
      <c:pivotFmt>
        <c:idx val="0"/>
        <c:spPr>
          <a:gradFill>
            <a:gsLst>
              <a:gs pos="0">
                <a:srgbClr val="FFAFFF"/>
              </a:gs>
              <a:gs pos="60829">
                <a:srgbClr val="8F008F"/>
              </a:gs>
              <a:gs pos="100000">
                <a:srgbClr val="FF15FF"/>
              </a:gs>
            </a:gsLst>
            <a:lin ang="162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200F2"/>
              </a:gs>
              <a:gs pos="60829">
                <a:srgbClr val="8F008F"/>
              </a:gs>
              <a:gs pos="100000">
                <a:srgbClr val="500050"/>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200F2"/>
              </a:gs>
              <a:gs pos="60829">
                <a:srgbClr val="8F008F"/>
              </a:gs>
              <a:gs pos="100000">
                <a:srgbClr val="500050"/>
              </a:gs>
            </a:gsLst>
            <a:lin ang="16200000" scaled="1"/>
            <a:tileRect/>
          </a:gradFill>
          <a:ln>
            <a:noFill/>
          </a:ln>
          <a:effectLst/>
          <a:sp3d/>
        </c:spPr>
        <c:dLbl>
          <c:idx val="0"/>
          <c:layout>
            <c:manualLayout>
              <c:x val="-1.0361204849393827E-3"/>
              <c:y val="-4.334375482476452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Lato Black" panose="020F0A02020204030203" pitchFamily="34" charset="0"/>
                    <a:ea typeface="+mn-ea"/>
                    <a:cs typeface="+mn-cs"/>
                  </a:defRPr>
                </a:pPr>
                <a:r>
                  <a:rPr lang="en-US">
                    <a:solidFill>
                      <a:schemeClr val="tx1"/>
                    </a:solidFill>
                  </a:rPr>
                  <a:t>Neonatal Death</a:t>
                </a:r>
              </a:p>
              <a:p>
                <a:pPr>
                  <a:defRPr sz="900" b="0" i="0" u="none" strike="noStrike" kern="1200" baseline="0">
                    <a:solidFill>
                      <a:schemeClr val="tx1"/>
                    </a:solidFill>
                    <a:latin typeface="Lato Black" panose="020F0A02020204030203" pitchFamily="34" charset="0"/>
                    <a:ea typeface="+mn-ea"/>
                    <a:cs typeface="+mn-cs"/>
                  </a:defRPr>
                </a:pPr>
                <a:fld id="{DD903879-FFC7-4F5A-AE84-97F0C31A7270}" type="VALUE">
                  <a:rPr lang="en-US">
                    <a:solidFill>
                      <a:schemeClr val="tx1"/>
                    </a:solidFill>
                  </a:rPr>
                  <a:pPr>
                    <a:defRPr sz="900" b="0" i="0" u="none" strike="noStrike" kern="1200" baseline="0">
                      <a:solidFill>
                        <a:schemeClr val="tx1"/>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92305128525601"/>
                  <c:h val="0.20145257578096853"/>
                </c:manualLayout>
              </c15:layout>
              <c15:dlblFieldTable/>
              <c15:showDataLabelsRange val="0"/>
            </c:ext>
          </c:extLst>
        </c:dLbl>
      </c:pivotFmt>
      <c:pivotFmt>
        <c:idx val="3"/>
        <c:spPr>
          <a:gradFill flip="none" rotWithShape="1">
            <a:gsLst>
              <a:gs pos="0">
                <a:srgbClr val="F200F2"/>
              </a:gs>
              <a:gs pos="60829">
                <a:srgbClr val="8F008F"/>
              </a:gs>
              <a:gs pos="100000">
                <a:srgbClr val="500050"/>
              </a:gs>
            </a:gsLst>
            <a:lin ang="16200000" scaled="1"/>
            <a:tileRect/>
          </a:gradFill>
          <a:ln>
            <a:noFill/>
          </a:ln>
          <a:effectLst/>
          <a:sp3d/>
        </c:spPr>
        <c:dLbl>
          <c:idx val="0"/>
          <c:layout>
            <c:manualLayout>
              <c:x val="4.1650835312252638E-2"/>
              <c:y val="-3.053282555366855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r>
                  <a:rPr lang="en-US">
                    <a:solidFill>
                      <a:schemeClr val="tx1"/>
                    </a:solidFill>
                    <a:latin typeface="Lato Black" panose="020F0A02020204030203" pitchFamily="34" charset="0"/>
                  </a:rPr>
                  <a:t>Neonatal Death</a:t>
                </a:r>
              </a:p>
              <a:p>
                <a:pPr>
                  <a:defRPr sz="900" b="0" i="0" u="none" strike="noStrike" kern="1200" baseline="0">
                    <a:solidFill>
                      <a:schemeClr val="tx1"/>
                    </a:solidFill>
                    <a:latin typeface="Lato Black" panose="020F0A02020204030203" pitchFamily="34" charset="0"/>
                    <a:ea typeface="+mn-ea"/>
                    <a:cs typeface="+mn-cs"/>
                  </a:defRPr>
                </a:pPr>
                <a:fld id="{8A328E26-EB15-46F9-AF80-42BA1DDCFC7F}" type="VALUE">
                  <a:rPr lang="en-US">
                    <a:solidFill>
                      <a:schemeClr val="tx1"/>
                    </a:solidFill>
                    <a:latin typeface="Lato Black" panose="020F0A02020204030203" pitchFamily="34" charset="0"/>
                  </a:rPr>
                  <a:pPr>
                    <a:defRPr sz="900" b="0" i="0" u="none" strike="noStrike" kern="1200" baseline="0">
                      <a:solidFill>
                        <a:schemeClr val="tx1"/>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11894346540016"/>
                  <c:h val="0.13398692810457513"/>
                </c:manualLayout>
              </c15:layout>
              <c15:dlblFieldTable/>
              <c15:showDataLabelsRange val="0"/>
            </c:ext>
          </c:extLst>
        </c:dLbl>
      </c:pivotFmt>
      <c:pivotFmt>
        <c:idx val="4"/>
        <c:spPr>
          <a:gradFill>
            <a:gsLst>
              <a:gs pos="0">
                <a:srgbClr val="FFAFFF"/>
              </a:gs>
              <a:gs pos="60829">
                <a:srgbClr val="8F008F"/>
              </a:gs>
              <a:gs pos="100000">
                <a:srgbClr val="FF15FF"/>
              </a:gs>
            </a:gsLst>
            <a:lin ang="16200000" scaled="1"/>
          </a:gradFill>
          <a:ln>
            <a:noFill/>
          </a:ln>
          <a:effectLst/>
          <a:sp3d/>
        </c:spPr>
        <c:dLbl>
          <c:idx val="0"/>
          <c:layout>
            <c:manualLayout>
              <c:x val="4.0198379195422435E-2"/>
              <c:y val="-1.213970232572893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r>
                  <a:rPr lang="en-US"/>
                  <a:t>Infant Death</a:t>
                </a:r>
              </a:p>
              <a:p>
                <a:pPr>
                  <a:defRPr sz="900" b="0" i="0" u="none" strike="noStrike" kern="1200" baseline="0">
                    <a:solidFill>
                      <a:schemeClr val="tx1"/>
                    </a:solidFill>
                    <a:latin typeface="Lato Black" panose="020F0A02020204030203" pitchFamily="34" charset="0"/>
                    <a:ea typeface="+mn-ea"/>
                    <a:cs typeface="+mn-cs"/>
                  </a:defRPr>
                </a:pPr>
                <a:fld id="{9A349169-9B91-4A56-9411-C01DE84B345B}" type="VALUE">
                  <a:rPr lang="en-US"/>
                  <a:pPr>
                    <a:defRPr sz="900" b="0" i="0" u="none" strike="noStrike" kern="1200" baseline="0">
                      <a:solidFill>
                        <a:schemeClr val="tx1"/>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50264550264545"/>
                  <c:h val="0.13398692810457513"/>
                </c:manualLayout>
              </c15:layout>
              <c15:dlblFieldTable/>
              <c15:showDataLabelsRange val="0"/>
            </c:ext>
          </c:extLst>
        </c:dLbl>
      </c:pivotFmt>
      <c:pivotFmt>
        <c:idx val="5"/>
        <c:spPr>
          <a:gradFill>
            <a:gsLst>
              <a:gs pos="0">
                <a:srgbClr val="FFAFFF"/>
              </a:gs>
              <a:gs pos="60829">
                <a:srgbClr val="8F008F"/>
              </a:gs>
              <a:gs pos="100000">
                <a:srgbClr val="FF15FF"/>
              </a:gs>
            </a:gsLst>
            <a:lin ang="162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FFAFFF"/>
              </a:gs>
              <a:gs pos="60829">
                <a:srgbClr val="8F008F"/>
              </a:gs>
              <a:gs pos="100000">
                <a:srgbClr val="FF15FF"/>
              </a:gs>
            </a:gsLst>
            <a:lin ang="16200000" scaled="1"/>
          </a:gradFill>
          <a:ln>
            <a:noFill/>
          </a:ln>
          <a:effectLst/>
          <a:sp3d/>
        </c:spPr>
        <c:dLbl>
          <c:idx val="0"/>
          <c:layout>
            <c:manualLayout>
              <c:x val="4.0198379195422435E-2"/>
              <c:y val="-1.213970232572893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r>
                  <a:rPr lang="en-US"/>
                  <a:t>Infant Death</a:t>
                </a:r>
              </a:p>
              <a:p>
                <a:pPr>
                  <a:defRPr sz="900" b="0" i="0" u="none" strike="noStrike" kern="1200" baseline="0">
                    <a:solidFill>
                      <a:schemeClr val="tx1"/>
                    </a:solidFill>
                    <a:latin typeface="Lato Black" panose="020F0A02020204030203" pitchFamily="34" charset="0"/>
                    <a:ea typeface="+mn-ea"/>
                    <a:cs typeface="+mn-cs"/>
                  </a:defRPr>
                </a:pPr>
                <a:fld id="{9A349169-9B91-4A56-9411-C01DE84B345B}" type="VALUE">
                  <a:rPr lang="en-US"/>
                  <a:pPr>
                    <a:defRPr sz="900" b="0" i="0" u="none" strike="noStrike" kern="1200" baseline="0">
                      <a:solidFill>
                        <a:schemeClr val="tx1"/>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50264550264545"/>
                  <c:h val="0.13398692810457513"/>
                </c:manualLayout>
              </c15:layout>
              <c15:dlblFieldTable/>
              <c15:showDataLabelsRange val="0"/>
            </c:ext>
          </c:extLst>
        </c:dLbl>
      </c:pivotFmt>
      <c:pivotFmt>
        <c:idx val="7"/>
        <c:spPr>
          <a:gradFill>
            <a:gsLst>
              <a:gs pos="0">
                <a:srgbClr val="FFAFFF"/>
              </a:gs>
              <a:gs pos="60829">
                <a:srgbClr val="8F008F"/>
              </a:gs>
              <a:gs pos="100000">
                <a:srgbClr val="FF15FF"/>
              </a:gs>
            </a:gsLst>
            <a:lin ang="16200000" scaled="1"/>
          </a:gradFill>
          <a:ln>
            <a:noFill/>
          </a:ln>
          <a:effectLst/>
          <a:sp3d/>
        </c:spPr>
        <c:dLbl>
          <c:idx val="0"/>
          <c:layout>
            <c:manualLayout>
              <c:x val="2.1142032548757704E-2"/>
              <c:y val="-6.401106961327719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r>
                  <a:rPr lang="en-US">
                    <a:solidFill>
                      <a:schemeClr val="tx1"/>
                    </a:solidFill>
                  </a:rPr>
                  <a:t>Neonatal Death</a:t>
                </a:r>
              </a:p>
              <a:p>
                <a:pPr>
                  <a:defRPr sz="900" b="0" i="0" u="none" strike="noStrike" kern="1200" baseline="0">
                    <a:solidFill>
                      <a:schemeClr val="tx1"/>
                    </a:solidFill>
                    <a:latin typeface="Lato Black" panose="020F0A02020204030203" pitchFamily="34" charset="0"/>
                    <a:ea typeface="+mn-ea"/>
                    <a:cs typeface="+mn-cs"/>
                  </a:defRPr>
                </a:pPr>
                <a:fld id="{DD903879-FFC7-4F5A-AE84-97F0C31A7270}" type="VALUE">
                  <a:rPr lang="en-US">
                    <a:solidFill>
                      <a:schemeClr val="tx1"/>
                    </a:solidFill>
                  </a:rPr>
                  <a:pPr>
                    <a:defRPr sz="900" b="0" i="0" u="none" strike="noStrike" kern="1200" baseline="0">
                      <a:solidFill>
                        <a:schemeClr val="tx1"/>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flip="none" rotWithShape="1">
            <a:gsLst>
              <a:gs pos="0">
                <a:srgbClr val="F200F2"/>
              </a:gs>
              <a:gs pos="60829">
                <a:srgbClr val="8F008F"/>
              </a:gs>
              <a:gs pos="100000">
                <a:srgbClr val="500050"/>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F200F2"/>
              </a:gs>
              <a:gs pos="60829">
                <a:srgbClr val="8F008F"/>
              </a:gs>
              <a:gs pos="100000">
                <a:srgbClr val="500050"/>
              </a:gs>
            </a:gsLst>
            <a:lin ang="16200000" scaled="1"/>
            <a:tileRect/>
          </a:gradFill>
          <a:ln>
            <a:noFill/>
          </a:ln>
          <a:effectLst/>
          <a:sp3d/>
        </c:spPr>
        <c:dLbl>
          <c:idx val="0"/>
          <c:layout>
            <c:manualLayout>
              <c:x val="4.1650835312252638E-2"/>
              <c:y val="-3.053282555366855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r>
                  <a:rPr lang="en-US">
                    <a:solidFill>
                      <a:schemeClr val="tx1"/>
                    </a:solidFill>
                    <a:latin typeface="Lato Black" panose="020F0A02020204030203" pitchFamily="34" charset="0"/>
                  </a:rPr>
                  <a:t>Neonatal Death</a:t>
                </a:r>
              </a:p>
              <a:p>
                <a:pPr>
                  <a:defRPr sz="900" b="0" i="0" u="none" strike="noStrike" kern="1200" baseline="0">
                    <a:solidFill>
                      <a:schemeClr val="tx1"/>
                    </a:solidFill>
                    <a:latin typeface="Lato Black" panose="020F0A02020204030203" pitchFamily="34" charset="0"/>
                    <a:ea typeface="+mn-ea"/>
                    <a:cs typeface="+mn-cs"/>
                  </a:defRPr>
                </a:pPr>
                <a:fld id="{8A328E26-EB15-46F9-AF80-42BA1DDCFC7F}" type="VALUE">
                  <a:rPr lang="en-US">
                    <a:solidFill>
                      <a:schemeClr val="tx1"/>
                    </a:solidFill>
                    <a:latin typeface="Lato Black" panose="020F0A02020204030203" pitchFamily="34" charset="0"/>
                  </a:rPr>
                  <a:pPr>
                    <a:defRPr sz="900" b="0" i="0" u="none" strike="noStrike" kern="1200" baseline="0">
                      <a:solidFill>
                        <a:schemeClr val="tx1"/>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11894346540016"/>
                  <c:h val="0.13398692810457513"/>
                </c:manualLayout>
              </c15:layout>
              <c15:dlblFieldTable/>
              <c15:showDataLabelsRange val="0"/>
            </c:ext>
          </c:extLst>
        </c:dLbl>
      </c:pivotFmt>
      <c:pivotFmt>
        <c:idx val="10"/>
        <c:spPr>
          <a:gradFill flip="none" rotWithShape="1">
            <a:gsLst>
              <a:gs pos="0">
                <a:srgbClr val="F200F2"/>
              </a:gs>
              <a:gs pos="60829">
                <a:srgbClr val="8F008F"/>
              </a:gs>
              <a:gs pos="100000">
                <a:srgbClr val="500050"/>
              </a:gs>
            </a:gsLst>
            <a:lin ang="16200000" scaled="1"/>
            <a:tileRect/>
          </a:gradFill>
          <a:ln>
            <a:noFill/>
          </a:ln>
          <a:effectLst/>
          <a:sp3d/>
        </c:spPr>
        <c:dLbl>
          <c:idx val="0"/>
          <c:layout>
            <c:manualLayout>
              <c:x val="-1.0361204849393827E-3"/>
              <c:y val="-4.334375482476452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Lato Black" panose="020F0A02020204030203" pitchFamily="34" charset="0"/>
                    <a:ea typeface="+mn-ea"/>
                    <a:cs typeface="+mn-cs"/>
                  </a:defRPr>
                </a:pPr>
                <a:r>
                  <a:rPr lang="en-US">
                    <a:solidFill>
                      <a:schemeClr val="tx1"/>
                    </a:solidFill>
                  </a:rPr>
                  <a:t>Neonatal Death</a:t>
                </a:r>
              </a:p>
              <a:p>
                <a:pPr>
                  <a:defRPr sz="900" b="0" i="0" u="none" strike="noStrike" kern="1200" baseline="0">
                    <a:solidFill>
                      <a:schemeClr val="tx1"/>
                    </a:solidFill>
                    <a:latin typeface="Lato Black" panose="020F0A02020204030203" pitchFamily="34" charset="0"/>
                    <a:ea typeface="+mn-ea"/>
                    <a:cs typeface="+mn-cs"/>
                  </a:defRPr>
                </a:pPr>
                <a:fld id="{DD903879-FFC7-4F5A-AE84-97F0C31A7270}" type="VALUE">
                  <a:rPr lang="en-US">
                    <a:solidFill>
                      <a:schemeClr val="tx1"/>
                    </a:solidFill>
                  </a:rPr>
                  <a:pPr>
                    <a:defRPr sz="900" b="0" i="0" u="none" strike="noStrike" kern="1200" baseline="0">
                      <a:solidFill>
                        <a:schemeClr val="tx1"/>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92305128525601"/>
                  <c:h val="0.20145257578096853"/>
                </c:manualLayout>
              </c15:layout>
              <c15:dlblFieldTable/>
              <c15:showDataLabelsRange val="0"/>
            </c:ext>
          </c:extLst>
        </c:dLbl>
      </c:pivotFmt>
      <c:pivotFmt>
        <c:idx val="11"/>
        <c:spPr>
          <a:gradFill>
            <a:gsLst>
              <a:gs pos="0">
                <a:srgbClr val="FFAFFF"/>
              </a:gs>
              <a:gs pos="60829">
                <a:srgbClr val="8F008F"/>
              </a:gs>
              <a:gs pos="100000">
                <a:srgbClr val="FF15FF"/>
              </a:gs>
            </a:gsLst>
            <a:lin ang="162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rgbClr val="FFAFFF"/>
              </a:gs>
              <a:gs pos="60829">
                <a:srgbClr val="8F008F"/>
              </a:gs>
              <a:gs pos="100000">
                <a:srgbClr val="FF15FF"/>
              </a:gs>
            </a:gsLst>
            <a:lin ang="16200000" scaled="1"/>
          </a:gradFill>
          <a:ln>
            <a:noFill/>
          </a:ln>
          <a:effectLst/>
          <a:sp3d/>
        </c:spPr>
        <c:dLbl>
          <c:idx val="0"/>
          <c:layout>
            <c:manualLayout>
              <c:x val="4.0198379195422435E-2"/>
              <c:y val="-1.2139702325728936E-2"/>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r>
                  <a:rPr lang="en-US" sz="1050"/>
                  <a:t>Infant Death</a:t>
                </a:r>
              </a:p>
              <a:p>
                <a:pPr>
                  <a:defRPr sz="1050">
                    <a:solidFill>
                      <a:schemeClr val="tx1"/>
                    </a:solidFill>
                    <a:latin typeface="Lato Black" panose="020F0A02020204030203" pitchFamily="34" charset="0"/>
                  </a:defRPr>
                </a:pPr>
                <a:fld id="{9A349169-9B91-4A56-9411-C01DE84B345B}" type="VALUE">
                  <a:rPr lang="en-US" sz="1050"/>
                  <a:pPr>
                    <a:defRPr sz="1050">
                      <a:solidFill>
                        <a:schemeClr val="tx1"/>
                      </a:solidFill>
                      <a:latin typeface="Lato Black" panose="020F0A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50264550264545"/>
                  <c:h val="0.13398692810457513"/>
                </c:manualLayout>
              </c15:layout>
              <c15:dlblFieldTable/>
              <c15:showDataLabelsRange val="0"/>
            </c:ext>
          </c:extLst>
        </c:dLbl>
      </c:pivotFmt>
      <c:pivotFmt>
        <c:idx val="13"/>
        <c:spPr>
          <a:gradFill>
            <a:gsLst>
              <a:gs pos="0">
                <a:srgbClr val="FFAFFF"/>
              </a:gs>
              <a:gs pos="60829">
                <a:srgbClr val="8F008F"/>
              </a:gs>
              <a:gs pos="100000">
                <a:srgbClr val="FF15FF"/>
              </a:gs>
            </a:gsLst>
            <a:lin ang="16200000" scaled="1"/>
          </a:gradFill>
          <a:ln>
            <a:noFill/>
          </a:ln>
          <a:effectLst/>
          <a:sp3d/>
        </c:spPr>
        <c:dLbl>
          <c:idx val="0"/>
          <c:layout>
            <c:manualLayout>
              <c:x val="2.1142032548757704E-2"/>
              <c:y val="-6.401106961327719E-3"/>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r>
                  <a:rPr lang="en-US">
                    <a:solidFill>
                      <a:schemeClr val="tx1"/>
                    </a:solidFill>
                  </a:rPr>
                  <a:t>Infant Death</a:t>
                </a:r>
              </a:p>
              <a:p>
                <a:pPr>
                  <a:defRPr sz="1050">
                    <a:solidFill>
                      <a:schemeClr val="tx1"/>
                    </a:solidFill>
                    <a:latin typeface="Lato Black" panose="020F0A02020204030203" pitchFamily="34" charset="0"/>
                  </a:defRPr>
                </a:pPr>
                <a:fld id="{DD903879-FFC7-4F5A-AE84-97F0C31A7270}" type="VALUE">
                  <a:rPr lang="en-US">
                    <a:solidFill>
                      <a:schemeClr val="tx1"/>
                    </a:solidFill>
                  </a:rPr>
                  <a:pPr>
                    <a:defRPr sz="1050">
                      <a:solidFill>
                        <a:schemeClr val="tx1"/>
                      </a:solidFill>
                      <a:latin typeface="Lato Black" panose="020F0A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gradFill flip="none" rotWithShape="1">
            <a:gsLst>
              <a:gs pos="0">
                <a:srgbClr val="F200F2"/>
              </a:gs>
              <a:gs pos="98000">
                <a:srgbClr val="8F008F"/>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rgbClr val="F200F2"/>
              </a:gs>
              <a:gs pos="98000">
                <a:srgbClr val="8F008F"/>
              </a:gs>
            </a:gsLst>
            <a:lin ang="16200000" scaled="1"/>
            <a:tileRect/>
          </a:gradFill>
          <a:ln>
            <a:noFill/>
          </a:ln>
          <a:effectLst/>
          <a:sp3d/>
        </c:spPr>
        <c:dLbl>
          <c:idx val="0"/>
          <c:layout>
            <c:manualLayout>
              <c:x val="4.1650835312252638E-2"/>
              <c:y val="-3.0532825553668552E-2"/>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r>
                  <a:rPr lang="en-US" sz="1050">
                    <a:solidFill>
                      <a:schemeClr val="tx1"/>
                    </a:solidFill>
                    <a:latin typeface="Lato Black" panose="020F0A02020204030203" pitchFamily="34" charset="0"/>
                  </a:rPr>
                  <a:t>Neonatal Death</a:t>
                </a:r>
              </a:p>
              <a:p>
                <a:pPr>
                  <a:defRPr sz="1050">
                    <a:solidFill>
                      <a:schemeClr val="tx1"/>
                    </a:solidFill>
                    <a:latin typeface="Lato Black" panose="020F0A02020204030203" pitchFamily="34" charset="0"/>
                  </a:defRPr>
                </a:pPr>
                <a:fld id="{8A328E26-EB15-46F9-AF80-42BA1DDCFC7F}" type="VALUE">
                  <a:rPr lang="en-US" sz="1050">
                    <a:solidFill>
                      <a:schemeClr val="tx1"/>
                    </a:solidFill>
                    <a:latin typeface="Lato Black" panose="020F0A02020204030203" pitchFamily="34" charset="0"/>
                  </a:rPr>
                  <a:pPr>
                    <a:defRPr sz="1050">
                      <a:solidFill>
                        <a:schemeClr val="tx1"/>
                      </a:solidFill>
                      <a:latin typeface="Lato Black" panose="020F0A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11894346540016"/>
                  <c:h val="0.13398692810457513"/>
                </c:manualLayout>
              </c15:layout>
              <c15:dlblFieldTable/>
              <c15:showDataLabelsRange val="0"/>
            </c:ext>
          </c:extLst>
        </c:dLbl>
      </c:pivotFmt>
      <c:pivotFmt>
        <c:idx val="16"/>
        <c:spPr>
          <a:gradFill flip="none" rotWithShape="1">
            <a:gsLst>
              <a:gs pos="0">
                <a:srgbClr val="F200F2"/>
              </a:gs>
              <a:gs pos="98000">
                <a:srgbClr val="8F008F"/>
              </a:gs>
            </a:gsLst>
            <a:lin ang="16200000" scaled="1"/>
            <a:tileRect/>
          </a:gradFill>
          <a:ln>
            <a:noFill/>
          </a:ln>
          <a:effectLst/>
          <a:sp3d/>
        </c:spPr>
        <c:dLbl>
          <c:idx val="0"/>
          <c:layout>
            <c:manualLayout>
              <c:x val="-1.0360763728063404E-3"/>
              <c:y val="0.11969973182699989"/>
            </c:manualLayout>
          </c:layout>
          <c:tx>
            <c:rich>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Lato Black" panose="020F0A02020204030203" pitchFamily="34" charset="0"/>
                    <a:ea typeface="+mn-ea"/>
                    <a:cs typeface="+mn-cs"/>
                  </a:defRPr>
                </a:pPr>
                <a:r>
                  <a:rPr lang="en-US" sz="1050">
                    <a:solidFill>
                      <a:schemeClr val="tx1"/>
                    </a:solidFill>
                  </a:rPr>
                  <a:t>Neonatal Death</a:t>
                </a:r>
              </a:p>
              <a:p>
                <a:pPr>
                  <a:defRPr sz="1050">
                    <a:solidFill>
                      <a:schemeClr val="tx1"/>
                    </a:solidFill>
                    <a:latin typeface="Lato Black" panose="020F0A02020204030203" pitchFamily="34" charset="0"/>
                  </a:defRPr>
                </a:pPr>
                <a:fld id="{DD903879-FFC7-4F5A-AE84-97F0C31A7270}" type="VALUE">
                  <a:rPr lang="en-US" sz="1050">
                    <a:solidFill>
                      <a:schemeClr val="tx1"/>
                    </a:solidFill>
                  </a:rPr>
                  <a:pPr>
                    <a:defRPr sz="1050">
                      <a:solidFill>
                        <a:schemeClr val="tx1"/>
                      </a:solidFill>
                      <a:latin typeface="Lato Black" panose="020F0A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92305128525601"/>
                  <c:h val="0.20145257578096853"/>
                </c:manualLayout>
              </c15:layout>
              <c15:dlblFieldTable/>
              <c15:showDataLabelsRange val="0"/>
            </c:ext>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194100737407825"/>
          <c:y val="7.3202955608809767E-2"/>
          <c:w val="0.79333708286464188"/>
          <c:h val="0.90606042451215341"/>
        </c:manualLayout>
      </c:layout>
      <c:bar3DChart>
        <c:barDir val="bar"/>
        <c:grouping val="clustered"/>
        <c:varyColors val="0"/>
        <c:ser>
          <c:idx val="0"/>
          <c:order val="0"/>
          <c:tx>
            <c:strRef>
              <c:f>karkal_pivot!$B$36:$B$37</c:f>
              <c:strCache>
                <c:ptCount val="1"/>
                <c:pt idx="0">
                  <c:v>Infant Death</c:v>
                </c:pt>
              </c:strCache>
            </c:strRef>
          </c:tx>
          <c:spPr>
            <a:gradFill>
              <a:gsLst>
                <a:gs pos="0">
                  <a:srgbClr val="FFAFFF"/>
                </a:gs>
                <a:gs pos="60829">
                  <a:srgbClr val="8F008F"/>
                </a:gs>
                <a:gs pos="100000">
                  <a:srgbClr val="FF15FF"/>
                </a:gs>
              </a:gsLst>
              <a:lin ang="16200000" scaled="1"/>
            </a:gradFill>
            <a:ln>
              <a:noFill/>
            </a:ln>
            <a:effectLst/>
            <a:sp3d/>
          </c:spPr>
          <c:invertIfNegative val="0"/>
          <c:dPt>
            <c:idx val="0"/>
            <c:invertIfNegative val="0"/>
            <c:bubble3D val="0"/>
            <c:spPr>
              <a:gradFill>
                <a:gsLst>
                  <a:gs pos="0">
                    <a:srgbClr val="FFAFFF"/>
                  </a:gs>
                  <a:gs pos="60829">
                    <a:srgbClr val="8F008F"/>
                  </a:gs>
                  <a:gs pos="100000">
                    <a:srgbClr val="FF15FF"/>
                  </a:gs>
                </a:gsLst>
                <a:lin ang="16200000" scaled="1"/>
              </a:gradFill>
              <a:ln>
                <a:noFill/>
              </a:ln>
              <a:effectLst/>
              <a:sp3d/>
            </c:spPr>
            <c:extLst>
              <c:ext xmlns:c16="http://schemas.microsoft.com/office/drawing/2014/chart" uri="{C3380CC4-5D6E-409C-BE32-E72D297353CC}">
                <c16:uniqueId val="{00000000-D4C6-45C1-8743-0A94A92DAC79}"/>
              </c:ext>
            </c:extLst>
          </c:dPt>
          <c:dPt>
            <c:idx val="1"/>
            <c:invertIfNegative val="0"/>
            <c:bubble3D val="0"/>
            <c:spPr>
              <a:gradFill>
                <a:gsLst>
                  <a:gs pos="0">
                    <a:srgbClr val="FFAFFF"/>
                  </a:gs>
                  <a:gs pos="60829">
                    <a:srgbClr val="8F008F"/>
                  </a:gs>
                  <a:gs pos="100000">
                    <a:srgbClr val="FF15FF"/>
                  </a:gs>
                </a:gsLst>
                <a:lin ang="16200000" scaled="1"/>
              </a:gradFill>
              <a:ln>
                <a:noFill/>
              </a:ln>
              <a:effectLst/>
              <a:sp3d/>
            </c:spPr>
            <c:extLst>
              <c:ext xmlns:c16="http://schemas.microsoft.com/office/drawing/2014/chart" uri="{C3380CC4-5D6E-409C-BE32-E72D297353CC}">
                <c16:uniqueId val="{00000001-D4C6-45C1-8743-0A94A92DAC79}"/>
              </c:ext>
            </c:extLst>
          </c:dPt>
          <c:dLbls>
            <c:dLbl>
              <c:idx val="0"/>
              <c:layout>
                <c:manualLayout>
                  <c:x val="4.0198379195422435E-2"/>
                  <c:y val="-1.2139702325728936E-2"/>
                </c:manualLayout>
              </c:layout>
              <c:tx>
                <c:rich>
                  <a:bodyPr/>
                  <a:lstStyle/>
                  <a:p>
                    <a:r>
                      <a:rPr lang="en-US" sz="1050"/>
                      <a:t>Infant Death</a:t>
                    </a:r>
                  </a:p>
                  <a:p>
                    <a:fld id="{9A349169-9B91-4A56-9411-C01DE84B345B}" type="VALUE">
                      <a:rPr lang="en-US" sz="1050"/>
                      <a:pPr/>
                      <a:t>[VALUE]</a:t>
                    </a:fld>
                    <a:endParaRPr lang="en-IN"/>
                  </a:p>
                </c:rich>
              </c:tx>
              <c:showLegendKey val="0"/>
              <c:showVal val="1"/>
              <c:showCatName val="0"/>
              <c:showSerName val="0"/>
              <c:showPercent val="0"/>
              <c:showBubbleSize val="0"/>
              <c:extLst>
                <c:ext xmlns:c15="http://schemas.microsoft.com/office/drawing/2012/chart" uri="{CE6537A1-D6FC-4f65-9D91-7224C49458BB}">
                  <c15:layout>
                    <c:manualLayout>
                      <c:w val="0.19050264550264545"/>
                      <c:h val="0.13398692810457513"/>
                    </c:manualLayout>
                  </c15:layout>
                  <c15:dlblFieldTable/>
                  <c15:showDataLabelsRange val="0"/>
                </c:ext>
                <c:ext xmlns:c16="http://schemas.microsoft.com/office/drawing/2014/chart" uri="{C3380CC4-5D6E-409C-BE32-E72D297353CC}">
                  <c16:uniqueId val="{00000000-D4C6-45C1-8743-0A94A92DAC79}"/>
                </c:ext>
              </c:extLst>
            </c:dLbl>
            <c:dLbl>
              <c:idx val="1"/>
              <c:layout>
                <c:manualLayout>
                  <c:x val="2.1142032548757704E-2"/>
                  <c:y val="-6.401106961327719E-3"/>
                </c:manualLayout>
              </c:layout>
              <c:tx>
                <c:rich>
                  <a:bodyPr/>
                  <a:lstStyle/>
                  <a:p>
                    <a:r>
                      <a:rPr lang="en-US">
                        <a:solidFill>
                          <a:schemeClr val="tx1"/>
                        </a:solidFill>
                      </a:rPr>
                      <a:t>Infant Death</a:t>
                    </a:r>
                  </a:p>
                  <a:p>
                    <a:fld id="{DD903879-FFC7-4F5A-AE84-97F0C31A7270}" type="VALUE">
                      <a:rPr lang="en-US">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4C6-45C1-8743-0A94A92DAC7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karkal_pivot!$A$38:$A$40</c:f>
              <c:strCache>
                <c:ptCount val="2"/>
                <c:pt idx="0">
                  <c:v>Without High Risk Pregnancy</c:v>
                </c:pt>
                <c:pt idx="1">
                  <c:v>With High Risk Pregnancy</c:v>
                </c:pt>
              </c:strCache>
            </c:strRef>
          </c:cat>
          <c:val>
            <c:numRef>
              <c:f>karkal_pivot!$B$38:$B$40</c:f>
              <c:numCache>
                <c:formatCode>General</c:formatCode>
                <c:ptCount val="2"/>
                <c:pt idx="0">
                  <c:v>4</c:v>
                </c:pt>
                <c:pt idx="1">
                  <c:v>2</c:v>
                </c:pt>
              </c:numCache>
            </c:numRef>
          </c:val>
          <c:shape val="cylinder"/>
          <c:extLst>
            <c:ext xmlns:c16="http://schemas.microsoft.com/office/drawing/2014/chart" uri="{C3380CC4-5D6E-409C-BE32-E72D297353CC}">
              <c16:uniqueId val="{00000002-D4C6-45C1-8743-0A94A92DAC79}"/>
            </c:ext>
          </c:extLst>
        </c:ser>
        <c:ser>
          <c:idx val="1"/>
          <c:order val="1"/>
          <c:tx>
            <c:strRef>
              <c:f>karkal_pivot!$C$36:$C$37</c:f>
              <c:strCache>
                <c:ptCount val="1"/>
                <c:pt idx="0">
                  <c:v>Neonatal Death</c:v>
                </c:pt>
              </c:strCache>
            </c:strRef>
          </c:tx>
          <c:spPr>
            <a:gradFill flip="none" rotWithShape="1">
              <a:gsLst>
                <a:gs pos="0">
                  <a:srgbClr val="F200F2"/>
                </a:gs>
                <a:gs pos="98000">
                  <a:srgbClr val="8F008F"/>
                </a:gs>
              </a:gsLst>
              <a:lin ang="16200000" scaled="1"/>
              <a:tileRect/>
            </a:gradFill>
            <a:ln>
              <a:noFill/>
            </a:ln>
            <a:effectLst/>
            <a:sp3d/>
          </c:spPr>
          <c:invertIfNegative val="0"/>
          <c:dPt>
            <c:idx val="0"/>
            <c:invertIfNegative val="0"/>
            <c:bubble3D val="0"/>
            <c:spPr>
              <a:gradFill flip="none" rotWithShape="1">
                <a:gsLst>
                  <a:gs pos="0">
                    <a:srgbClr val="F200F2"/>
                  </a:gs>
                  <a:gs pos="98000">
                    <a:srgbClr val="8F008F"/>
                  </a:gs>
                </a:gsLst>
                <a:lin ang="16200000" scaled="1"/>
                <a:tileRect/>
              </a:gradFill>
              <a:ln>
                <a:noFill/>
              </a:ln>
              <a:effectLst/>
              <a:sp3d/>
            </c:spPr>
            <c:extLst>
              <c:ext xmlns:c16="http://schemas.microsoft.com/office/drawing/2014/chart" uri="{C3380CC4-5D6E-409C-BE32-E72D297353CC}">
                <c16:uniqueId val="{00000005-5BA0-406D-AB41-09BBE60AD90C}"/>
              </c:ext>
            </c:extLst>
          </c:dPt>
          <c:dPt>
            <c:idx val="1"/>
            <c:invertIfNegative val="0"/>
            <c:bubble3D val="0"/>
            <c:spPr>
              <a:gradFill flip="none" rotWithShape="1">
                <a:gsLst>
                  <a:gs pos="0">
                    <a:srgbClr val="F200F2"/>
                  </a:gs>
                  <a:gs pos="98000">
                    <a:srgbClr val="8F008F"/>
                  </a:gs>
                </a:gsLst>
                <a:lin ang="16200000" scaled="1"/>
                <a:tileRect/>
              </a:gradFill>
              <a:ln>
                <a:noFill/>
              </a:ln>
              <a:effectLst/>
              <a:sp3d/>
            </c:spPr>
            <c:extLst>
              <c:ext xmlns:c16="http://schemas.microsoft.com/office/drawing/2014/chart" uri="{C3380CC4-5D6E-409C-BE32-E72D297353CC}">
                <c16:uniqueId val="{00000007-5BA0-406D-AB41-09BBE60AD90C}"/>
              </c:ext>
            </c:extLst>
          </c:dPt>
          <c:dLbls>
            <c:dLbl>
              <c:idx val="0"/>
              <c:layout>
                <c:manualLayout>
                  <c:x val="4.1650835312252638E-2"/>
                  <c:y val="-3.0532825553668552E-2"/>
                </c:manualLayout>
              </c:layout>
              <c:tx>
                <c:rich>
                  <a:bodyPr/>
                  <a:lstStyle/>
                  <a:p>
                    <a:r>
                      <a:rPr lang="en-US" sz="1050">
                        <a:solidFill>
                          <a:schemeClr val="tx1"/>
                        </a:solidFill>
                        <a:latin typeface="Lato Black" panose="020F0A02020204030203" pitchFamily="34" charset="0"/>
                      </a:rPr>
                      <a:t>Neonatal Death</a:t>
                    </a:r>
                  </a:p>
                  <a:p>
                    <a:fld id="{8A328E26-EB15-46F9-AF80-42BA1DDCFC7F}" type="VALUE">
                      <a:rPr lang="en-US" sz="1050">
                        <a:solidFill>
                          <a:schemeClr val="tx1"/>
                        </a:solidFill>
                        <a:latin typeface="Lato Black" panose="020F0A02020204030203" pitchFamily="34" charset="0"/>
                      </a:rPr>
                      <a:pPr/>
                      <a:t>[VALUE]</a:t>
                    </a:fld>
                    <a:endParaRPr lang="en-IN"/>
                  </a:p>
                </c:rich>
              </c:tx>
              <c:showLegendKey val="0"/>
              <c:showVal val="1"/>
              <c:showCatName val="0"/>
              <c:showSerName val="0"/>
              <c:showPercent val="0"/>
              <c:showBubbleSize val="0"/>
              <c:extLst>
                <c:ext xmlns:c15="http://schemas.microsoft.com/office/drawing/2012/chart" uri="{CE6537A1-D6FC-4f65-9D91-7224C49458BB}">
                  <c15:layout>
                    <c:manualLayout>
                      <c:w val="0.23011894346540016"/>
                      <c:h val="0.13398692810457513"/>
                    </c:manualLayout>
                  </c15:layout>
                  <c15:dlblFieldTable/>
                  <c15:showDataLabelsRange val="0"/>
                </c:ext>
                <c:ext xmlns:c16="http://schemas.microsoft.com/office/drawing/2014/chart" uri="{C3380CC4-5D6E-409C-BE32-E72D297353CC}">
                  <c16:uniqueId val="{00000005-5BA0-406D-AB41-09BBE60AD90C}"/>
                </c:ext>
              </c:extLst>
            </c:dLbl>
            <c:dLbl>
              <c:idx val="1"/>
              <c:layout>
                <c:manualLayout>
                  <c:x val="-1.0360763728063404E-3"/>
                  <c:y val="0.11969973182699989"/>
                </c:manualLayout>
              </c:layout>
              <c:tx>
                <c:rich>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Lato Black" panose="020F0A02020204030203" pitchFamily="34" charset="0"/>
                        <a:ea typeface="+mn-ea"/>
                        <a:cs typeface="+mn-cs"/>
                      </a:defRPr>
                    </a:pPr>
                    <a:r>
                      <a:rPr lang="en-US" sz="1050">
                        <a:solidFill>
                          <a:schemeClr val="tx1"/>
                        </a:solidFill>
                      </a:rPr>
                      <a:t>Neonatal Death</a:t>
                    </a:r>
                  </a:p>
                  <a:p>
                    <a:pPr>
                      <a:defRPr sz="1050">
                        <a:solidFill>
                          <a:schemeClr val="tx1"/>
                        </a:solidFill>
                        <a:latin typeface="Lato Black" panose="020F0A02020204030203" pitchFamily="34" charset="0"/>
                      </a:defRPr>
                    </a:pPr>
                    <a:fld id="{DD903879-FFC7-4F5A-AE84-97F0C31A7270}" type="VALUE">
                      <a:rPr lang="en-US" sz="1050">
                        <a:solidFill>
                          <a:schemeClr val="tx1"/>
                        </a:solidFill>
                      </a:rPr>
                      <a:pPr>
                        <a:defRPr sz="1050">
                          <a:solidFill>
                            <a:schemeClr val="tx1"/>
                          </a:solidFill>
                          <a:latin typeface="Lato Black" panose="020F0A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92305128525601"/>
                      <c:h val="0.20145257578096853"/>
                    </c:manualLayout>
                  </c15:layout>
                  <c15:dlblFieldTable/>
                  <c15:showDataLabelsRange val="0"/>
                </c:ext>
                <c:ext xmlns:c16="http://schemas.microsoft.com/office/drawing/2014/chart" uri="{C3380CC4-5D6E-409C-BE32-E72D297353CC}">
                  <c16:uniqueId val="{00000007-5BA0-406D-AB41-09BBE60AD90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karkal_pivot!$A$38:$A$40</c:f>
              <c:strCache>
                <c:ptCount val="2"/>
                <c:pt idx="0">
                  <c:v>Without High Risk Pregnancy</c:v>
                </c:pt>
                <c:pt idx="1">
                  <c:v>With High Risk Pregnancy</c:v>
                </c:pt>
              </c:strCache>
            </c:strRef>
          </c:cat>
          <c:val>
            <c:numRef>
              <c:f>karkal_pivot!$C$38:$C$40</c:f>
              <c:numCache>
                <c:formatCode>General</c:formatCode>
                <c:ptCount val="2"/>
                <c:pt idx="0">
                  <c:v>4</c:v>
                </c:pt>
                <c:pt idx="1">
                  <c:v>9</c:v>
                </c:pt>
              </c:numCache>
            </c:numRef>
          </c:val>
          <c:extLst>
            <c:ext xmlns:c16="http://schemas.microsoft.com/office/drawing/2014/chart" uri="{C3380CC4-5D6E-409C-BE32-E72D297353CC}">
              <c16:uniqueId val="{00000009-70B4-4650-AC3C-3ABA95A3447B}"/>
            </c:ext>
          </c:extLst>
        </c:ser>
        <c:dLbls>
          <c:showLegendKey val="0"/>
          <c:showVal val="1"/>
          <c:showCatName val="0"/>
          <c:showSerName val="0"/>
          <c:showPercent val="0"/>
          <c:showBubbleSize val="0"/>
        </c:dLbls>
        <c:gapWidth val="150"/>
        <c:shape val="box"/>
        <c:axId val="424696511"/>
        <c:axId val="424687391"/>
        <c:axId val="0"/>
      </c:bar3DChart>
      <c:catAx>
        <c:axId val="4246965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crossAx val="424687391"/>
        <c:crosses val="autoZero"/>
        <c:auto val="1"/>
        <c:lblAlgn val="ctr"/>
        <c:lblOffset val="100"/>
        <c:noMultiLvlLbl val="0"/>
      </c:catAx>
      <c:valAx>
        <c:axId val="424687391"/>
        <c:scaling>
          <c:orientation val="minMax"/>
        </c:scaling>
        <c:delete val="1"/>
        <c:axPos val="b"/>
        <c:numFmt formatCode="General" sourceLinked="1"/>
        <c:majorTickMark val="out"/>
        <c:minorTickMark val="none"/>
        <c:tickLblPos val="nextTo"/>
        <c:crossAx val="42469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death_copy.xlsx]karkal_pivot!Delivary_type(K1)</c:name>
    <c:fmtId val="5"/>
  </c:pivotSource>
  <c:chart>
    <c:title>
      <c:tx>
        <c:rich>
          <a:bodyPr rot="0" spcFirstLastPara="1" vertOverflow="ellipsis" vert="horz" wrap="square" anchor="ctr" anchorCtr="0"/>
          <a:lstStyle/>
          <a:p>
            <a:pPr>
              <a:defRPr sz="1600" b="1" i="0" u="none" strike="noStrike" kern="1200" baseline="0">
                <a:solidFill>
                  <a:schemeClr val="tx1"/>
                </a:solidFill>
                <a:latin typeface="Lato Black" panose="020F0A02020204030203" pitchFamily="34" charset="0"/>
                <a:ea typeface="+mn-ea"/>
                <a:cs typeface="+mn-cs"/>
              </a:defRPr>
            </a:pPr>
            <a:r>
              <a:rPr lang="en-IN">
                <a:solidFill>
                  <a:schemeClr val="tx1"/>
                </a:solidFill>
                <a:latin typeface="Lato Black" panose="020F0A02020204030203" pitchFamily="34" charset="0"/>
              </a:rPr>
              <a:t>Delivery Type &amp; Death Category Analysis</a:t>
            </a:r>
          </a:p>
        </c:rich>
      </c:tx>
      <c:layout>
        <c:manualLayout>
          <c:xMode val="edge"/>
          <c:yMode val="edge"/>
          <c:x val="0.12998088330686625"/>
          <c:y val="1.1023343683785066E-2"/>
        </c:manualLayout>
      </c:layout>
      <c:overlay val="0"/>
      <c:spPr>
        <a:noFill/>
        <a:ln>
          <a:noFill/>
        </a:ln>
        <a:effectLst/>
      </c:spPr>
      <c:txPr>
        <a:bodyPr rot="0" spcFirstLastPara="1" vertOverflow="ellipsis" vert="horz" wrap="square" anchor="ctr" anchorCtr="0"/>
        <a:lstStyle/>
        <a:p>
          <a:pPr>
            <a:defRPr sz="1600" b="1" i="0" u="none" strike="noStrike" kern="1200" baseline="0">
              <a:solidFill>
                <a:schemeClr val="tx1"/>
              </a:solidFill>
              <a:latin typeface="Lato Black" panose="020F0A02020204030203" pitchFamily="34" charset="0"/>
              <a:ea typeface="+mn-ea"/>
              <a:cs typeface="+mn-cs"/>
            </a:defRPr>
          </a:pPr>
          <a:endParaRPr lang="en-US"/>
        </a:p>
      </c:txPr>
    </c:title>
    <c:autoTitleDeleted val="0"/>
    <c:pivotFmts>
      <c:pivotFmt>
        <c:idx val="0"/>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519174041297935E-2"/>
              <c:y val="-1.86219739292365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519174041297935E-2"/>
              <c:y val="-1.86219739292365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6528007304065082E-17"/>
              <c:y val="-2.607076350093123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2.2346368715083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910510301256591"/>
          <c:y val="0.16629540022580977"/>
          <c:w val="0.74524795020091517"/>
          <c:h val="0.67049704685624745"/>
        </c:manualLayout>
      </c:layout>
      <c:bar3DChart>
        <c:barDir val="col"/>
        <c:grouping val="clustered"/>
        <c:varyColors val="0"/>
        <c:ser>
          <c:idx val="0"/>
          <c:order val="0"/>
          <c:tx>
            <c:strRef>
              <c:f>karkal_pivot!$B$11:$B$12</c:f>
              <c:strCache>
                <c:ptCount val="1"/>
                <c:pt idx="0">
                  <c:v>Infant Death</c:v>
                </c:pt>
              </c:strCache>
            </c:strRef>
          </c:tx>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030-4ADD-AD3E-169EEFFCB499}"/>
              </c:ext>
            </c:extLst>
          </c:dPt>
          <c:dPt>
            <c:idx val="1"/>
            <c:invertIfNegative val="0"/>
            <c:bubble3D val="0"/>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B030-4ADD-AD3E-169EEFFCB499}"/>
              </c:ext>
            </c:extLst>
          </c:dPt>
          <c:dLbls>
            <c:dLbl>
              <c:idx val="0"/>
              <c:layout>
                <c:manualLayout>
                  <c:x val="0"/>
                  <c:y val="-2.234636871508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30-4ADD-AD3E-169EEFFCB499}"/>
                </c:ext>
              </c:extLst>
            </c:dLbl>
            <c:dLbl>
              <c:idx val="1"/>
              <c:layout>
                <c:manualLayout>
                  <c:x val="-8.6528007304065082E-17"/>
                  <c:y val="-2.6070763500931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30-4ADD-AD3E-169EEFFCB49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karkal_pivot!$A$13:$A$15</c:f>
              <c:strCache>
                <c:ptCount val="2"/>
                <c:pt idx="0">
                  <c:v>LSCS</c:v>
                </c:pt>
                <c:pt idx="1">
                  <c:v>Normal</c:v>
                </c:pt>
              </c:strCache>
            </c:strRef>
          </c:cat>
          <c:val>
            <c:numRef>
              <c:f>karkal_pivot!$B$13:$B$15</c:f>
              <c:numCache>
                <c:formatCode>General</c:formatCode>
                <c:ptCount val="2"/>
                <c:pt idx="0">
                  <c:v>4</c:v>
                </c:pt>
                <c:pt idx="1">
                  <c:v>2</c:v>
                </c:pt>
              </c:numCache>
            </c:numRef>
          </c:val>
          <c:extLst>
            <c:ext xmlns:c16="http://schemas.microsoft.com/office/drawing/2014/chart" uri="{C3380CC4-5D6E-409C-BE32-E72D297353CC}">
              <c16:uniqueId val="{00000000-B030-4ADD-AD3E-169EEFFCB499}"/>
            </c:ext>
          </c:extLst>
        </c:ser>
        <c:ser>
          <c:idx val="1"/>
          <c:order val="1"/>
          <c:tx>
            <c:strRef>
              <c:f>karkal_pivot!$C$11:$C$12</c:f>
              <c:strCache>
                <c:ptCount val="1"/>
                <c:pt idx="0">
                  <c:v>Neonatal Death</c:v>
                </c:pt>
              </c:strCache>
            </c:strRef>
          </c:tx>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9CD-4F37-912A-23B2551BB637}"/>
              </c:ext>
            </c:extLst>
          </c:dPt>
          <c:dPt>
            <c:idx val="1"/>
            <c:invertIfNegative val="0"/>
            <c:bubble3D val="0"/>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9CD-4F37-912A-23B2551BB637}"/>
              </c:ext>
            </c:extLst>
          </c:dPt>
          <c:dLbls>
            <c:dLbl>
              <c:idx val="0"/>
              <c:layout>
                <c:manualLayout>
                  <c:x val="1.6519174041297935E-2"/>
                  <c:y val="-1.86219739292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9CD-4F37-912A-23B2551BB637}"/>
                </c:ext>
              </c:extLst>
            </c:dLbl>
            <c:dLbl>
              <c:idx val="1"/>
              <c:layout>
                <c:manualLayout>
                  <c:x val="1.6519174041297935E-2"/>
                  <c:y val="-1.86219739292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9CD-4F37-912A-23B2551BB63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karkal_pivot!$A$13:$A$15</c:f>
              <c:strCache>
                <c:ptCount val="2"/>
                <c:pt idx="0">
                  <c:v>LSCS</c:v>
                </c:pt>
                <c:pt idx="1">
                  <c:v>Normal</c:v>
                </c:pt>
              </c:strCache>
            </c:strRef>
          </c:cat>
          <c:val>
            <c:numRef>
              <c:f>karkal_pivot!$C$13:$C$15</c:f>
              <c:numCache>
                <c:formatCode>General</c:formatCode>
                <c:ptCount val="2"/>
                <c:pt idx="0">
                  <c:v>8</c:v>
                </c:pt>
                <c:pt idx="1">
                  <c:v>5</c:v>
                </c:pt>
              </c:numCache>
            </c:numRef>
          </c:val>
          <c:extLst>
            <c:ext xmlns:c16="http://schemas.microsoft.com/office/drawing/2014/chart" uri="{C3380CC4-5D6E-409C-BE32-E72D297353CC}">
              <c16:uniqueId val="{00000009-C9C9-4D87-B581-C70CC66F5359}"/>
            </c:ext>
          </c:extLst>
        </c:ser>
        <c:dLbls>
          <c:showLegendKey val="0"/>
          <c:showVal val="1"/>
          <c:showCatName val="0"/>
          <c:showSerName val="0"/>
          <c:showPercent val="0"/>
          <c:showBubbleSize val="0"/>
        </c:dLbls>
        <c:gapWidth val="150"/>
        <c:shape val="box"/>
        <c:axId val="270826303"/>
        <c:axId val="270814783"/>
        <c:axId val="0"/>
      </c:bar3DChart>
      <c:catAx>
        <c:axId val="2708263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814783"/>
        <c:crosses val="autoZero"/>
        <c:auto val="1"/>
        <c:lblAlgn val="ctr"/>
        <c:lblOffset val="100"/>
        <c:noMultiLvlLbl val="0"/>
      </c:catAx>
      <c:valAx>
        <c:axId val="270814783"/>
        <c:scaling>
          <c:orientation val="minMax"/>
        </c:scaling>
        <c:delete val="1"/>
        <c:axPos val="l"/>
        <c:numFmt formatCode="General" sourceLinked="1"/>
        <c:majorTickMark val="none"/>
        <c:minorTickMark val="none"/>
        <c:tickLblPos val="nextTo"/>
        <c:crossAx val="270826303"/>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chemeClr val="tx1"/>
                </a:solidFill>
                <a:latin typeface="Lato Black" panose="020F0A02020204030203" pitchFamily="34" charset="0"/>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death_copy.xlsx]karkal_pivot!LBW_kr</c:name>
    <c:fmtId val="8"/>
  </c:pivotSource>
  <c:chart>
    <c:title>
      <c:tx>
        <c:rich>
          <a:bodyPr rot="0" spcFirstLastPara="1" vertOverflow="ellipsis" vert="horz" wrap="square" anchor="ctr" anchorCtr="1"/>
          <a:lstStyle/>
          <a:p>
            <a:pPr>
              <a:defRPr sz="1600" b="1" i="0" u="sng" strike="noStrike" kern="1200" baseline="0">
                <a:solidFill>
                  <a:schemeClr val="tx1"/>
                </a:solidFill>
                <a:latin typeface="Lato Black" panose="020F0A02020204030203" pitchFamily="34" charset="0"/>
                <a:ea typeface="+mn-ea"/>
                <a:cs typeface="+mn-cs"/>
              </a:defRPr>
            </a:pPr>
            <a:r>
              <a:rPr lang="en-IN" sz="1600" u="sng"/>
              <a:t>Infant Deaths by LBW Status</a:t>
            </a:r>
          </a:p>
        </c:rich>
      </c:tx>
      <c:overlay val="0"/>
      <c:spPr>
        <a:noFill/>
        <a:ln>
          <a:noFill/>
        </a:ln>
        <a:effectLst/>
      </c:spPr>
      <c:txPr>
        <a:bodyPr rot="0" spcFirstLastPara="1" vertOverflow="ellipsis" vert="horz" wrap="square" anchor="ctr" anchorCtr="1"/>
        <a:lstStyle/>
        <a:p>
          <a:pPr>
            <a:defRPr sz="1600" b="1" i="0" u="sng" strike="noStrike" kern="1200" baseline="0">
              <a:solidFill>
                <a:schemeClr val="tx1"/>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5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1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22222222222222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22222222222222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1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5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222222222222223E-2"/>
              <c:y val="-4.6296296296296294E-3"/>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14E-2"/>
              <c:y val="-4.6296296296296294E-3"/>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0"/>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566E-2"/>
              <c:y val="0"/>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184535412605586E-2"/>
              <c:y val="-9.22722029988466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87745391475187"/>
          <c:y val="9.7206439393939401E-2"/>
          <c:w val="0.83792891385652823"/>
          <c:h val="0.67007575757575766"/>
        </c:manualLayout>
      </c:layout>
      <c:bar3DChart>
        <c:barDir val="bar"/>
        <c:grouping val="clustered"/>
        <c:varyColors val="0"/>
        <c:ser>
          <c:idx val="0"/>
          <c:order val="0"/>
          <c:tx>
            <c:strRef>
              <c:f>karkal_pivot!$B$52:$B$53</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karkal_pivot!$A$54:$A$56</c:f>
              <c:strCache>
                <c:ptCount val="2"/>
                <c:pt idx="0">
                  <c:v>LBW: NO</c:v>
                </c:pt>
                <c:pt idx="1">
                  <c:v>LBW: YES</c:v>
                </c:pt>
              </c:strCache>
            </c:strRef>
          </c:cat>
          <c:val>
            <c:numRef>
              <c:f>karkal_pivot!$B$54:$B$56</c:f>
              <c:numCache>
                <c:formatCode>General</c:formatCode>
                <c:ptCount val="2"/>
                <c:pt idx="0">
                  <c:v>5</c:v>
                </c:pt>
                <c:pt idx="1">
                  <c:v>1</c:v>
                </c:pt>
              </c:numCache>
            </c:numRef>
          </c:val>
          <c:extLst>
            <c:ext xmlns:c16="http://schemas.microsoft.com/office/drawing/2014/chart" uri="{C3380CC4-5D6E-409C-BE32-E72D297353CC}">
              <c16:uniqueId val="{00000002-9DA5-4D9D-9432-2A5355282A69}"/>
            </c:ext>
          </c:extLst>
        </c:ser>
        <c:ser>
          <c:idx val="1"/>
          <c:order val="1"/>
          <c:tx>
            <c:strRef>
              <c:f>karkal_pivot!$C$52:$C$53</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F11-419B-8B07-D6FCB5955A33}"/>
              </c:ext>
            </c:extLst>
          </c:dPt>
          <c:dLbls>
            <c:dLbl>
              <c:idx val="1"/>
              <c:layout>
                <c:manualLayout>
                  <c:x val="4.4184535412605586E-2"/>
                  <c:y val="-9.2272202998846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11-419B-8B07-D6FCB5955A33}"/>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karkal_pivot!$A$54:$A$56</c:f>
              <c:strCache>
                <c:ptCount val="2"/>
                <c:pt idx="0">
                  <c:v>LBW: NO</c:v>
                </c:pt>
                <c:pt idx="1">
                  <c:v>LBW: YES</c:v>
                </c:pt>
              </c:strCache>
            </c:strRef>
          </c:cat>
          <c:val>
            <c:numRef>
              <c:f>karkal_pivot!$C$54:$C$56</c:f>
              <c:numCache>
                <c:formatCode>General</c:formatCode>
                <c:ptCount val="2"/>
                <c:pt idx="0">
                  <c:v>2</c:v>
                </c:pt>
                <c:pt idx="1">
                  <c:v>11</c:v>
                </c:pt>
              </c:numCache>
            </c:numRef>
          </c:val>
          <c:extLst>
            <c:ext xmlns:c16="http://schemas.microsoft.com/office/drawing/2014/chart" uri="{C3380CC4-5D6E-409C-BE32-E72D297353CC}">
              <c16:uniqueId val="{00000003-3EA4-4433-A395-EA77FAC1AFD6}"/>
            </c:ext>
          </c:extLst>
        </c:ser>
        <c:dLbls>
          <c:showLegendKey val="0"/>
          <c:showVal val="1"/>
          <c:showCatName val="0"/>
          <c:showSerName val="0"/>
          <c:showPercent val="0"/>
          <c:showBubbleSize val="0"/>
        </c:dLbls>
        <c:gapWidth val="150"/>
        <c:shape val="box"/>
        <c:axId val="1103043183"/>
        <c:axId val="1103046543"/>
        <c:axId val="0"/>
      </c:bar3DChart>
      <c:catAx>
        <c:axId val="11030431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crossAx val="1103046543"/>
        <c:crosses val="autoZero"/>
        <c:auto val="1"/>
        <c:lblAlgn val="ctr"/>
        <c:lblOffset val="100"/>
        <c:noMultiLvlLbl val="0"/>
      </c:catAx>
      <c:valAx>
        <c:axId val="1103046543"/>
        <c:scaling>
          <c:orientation val="minMax"/>
        </c:scaling>
        <c:delete val="1"/>
        <c:axPos val="b"/>
        <c:numFmt formatCode="General" sourceLinked="1"/>
        <c:majorTickMark val="none"/>
        <c:minorTickMark val="none"/>
        <c:tickLblPos val="nextTo"/>
        <c:crossAx val="1103043183"/>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chemeClr val="tx1"/>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sz="1050">
          <a:solidFill>
            <a:schemeClr val="tx1"/>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death_copy.xlsx]karkal_pivot!Extreme_Kr</c:name>
    <c:fmtId val="5"/>
  </c:pivotSource>
  <c:chart>
    <c:title>
      <c:tx>
        <c:rich>
          <a:bodyPr rot="0" spcFirstLastPara="1" vertOverflow="ellipsis" vert="horz" wrap="square" anchor="ctr" anchorCtr="1"/>
          <a:lstStyle/>
          <a:p>
            <a:pPr>
              <a:defRPr sz="1600" b="1" i="0" u="sng" strike="noStrike" kern="1200" baseline="0">
                <a:solidFill>
                  <a:schemeClr val="tx1"/>
                </a:solidFill>
                <a:latin typeface="Lato Black" panose="020F0A02020204030203" pitchFamily="34" charset="0"/>
                <a:ea typeface="+mn-ea"/>
                <a:cs typeface="+mn-cs"/>
              </a:defRPr>
            </a:pPr>
            <a:r>
              <a:rPr lang="en-IN" sz="1600" u="sng"/>
              <a:t>Infant Deaths by Extreme Premature Status</a:t>
            </a:r>
          </a:p>
        </c:rich>
      </c:tx>
      <c:layout>
        <c:manualLayout>
          <c:xMode val="edge"/>
          <c:yMode val="edge"/>
          <c:x val="0.14206378449193482"/>
          <c:y val="0"/>
        </c:manualLayout>
      </c:layout>
      <c:overlay val="0"/>
      <c:spPr>
        <a:noFill/>
        <a:ln>
          <a:noFill/>
        </a:ln>
        <a:effectLst/>
      </c:spPr>
      <c:txPr>
        <a:bodyPr rot="0" spcFirstLastPara="1" vertOverflow="ellipsis" vert="horz" wrap="square" anchor="ctr" anchorCtr="1"/>
        <a:lstStyle/>
        <a:p>
          <a:pPr>
            <a:defRPr sz="1600" b="1" i="0" u="sng" strike="noStrike" kern="1200" baseline="0">
              <a:solidFill>
                <a:schemeClr val="tx1"/>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8133136821421E-2"/>
              <c:y val="-4.6296296296296294E-3"/>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598133136821421E-2"/>
              <c:y val="-9.2592592592592587E-3"/>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351756325227216"/>
          <c:y val="0.13776492224186263"/>
          <c:w val="0.65999979530009012"/>
          <c:h val="0.55766666666666664"/>
        </c:manualLayout>
      </c:layout>
      <c:bar3DChart>
        <c:barDir val="bar"/>
        <c:grouping val="clustered"/>
        <c:varyColors val="0"/>
        <c:ser>
          <c:idx val="0"/>
          <c:order val="0"/>
          <c:tx>
            <c:strRef>
              <c:f>karkal_pivot!$B$58:$B$59</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karkal_pivot!$A$60:$A$62</c:f>
              <c:strCache>
                <c:ptCount val="2"/>
                <c:pt idx="0">
                  <c:v>Extreme preterm (&lt;28 weeks) : NO</c:v>
                </c:pt>
                <c:pt idx="1">
                  <c:v>Extreme preterm (&lt;28 weeks): YES</c:v>
                </c:pt>
              </c:strCache>
            </c:strRef>
          </c:cat>
          <c:val>
            <c:numRef>
              <c:f>karkal_pivot!$B$60:$B$62</c:f>
              <c:numCache>
                <c:formatCode>General</c:formatCode>
                <c:ptCount val="2"/>
                <c:pt idx="0">
                  <c:v>5</c:v>
                </c:pt>
                <c:pt idx="1">
                  <c:v>1</c:v>
                </c:pt>
              </c:numCache>
            </c:numRef>
          </c:val>
          <c:extLst>
            <c:ext xmlns:c16="http://schemas.microsoft.com/office/drawing/2014/chart" uri="{C3380CC4-5D6E-409C-BE32-E72D297353CC}">
              <c16:uniqueId val="{00000000-07C5-477B-9E6A-A9BFDBFEA704}"/>
            </c:ext>
          </c:extLst>
        </c:ser>
        <c:ser>
          <c:idx val="1"/>
          <c:order val="1"/>
          <c:tx>
            <c:strRef>
              <c:f>karkal_pivot!$C$58:$C$59</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62D-4E84-92A7-474781684DB2}"/>
              </c:ext>
            </c:extLst>
          </c:dPt>
          <c:dPt>
            <c:idx val="1"/>
            <c:invertIfNegative val="0"/>
            <c:bubble3D val="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62D-4E84-92A7-474781684DB2}"/>
              </c:ext>
            </c:extLst>
          </c:dPt>
          <c:dLbls>
            <c:dLbl>
              <c:idx val="0"/>
              <c:layout>
                <c:manualLayout>
                  <c:x val="1.5598133136821421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2D-4E84-92A7-474781684DB2}"/>
                </c:ext>
              </c:extLst>
            </c:dLbl>
            <c:dLbl>
              <c:idx val="1"/>
              <c:layout>
                <c:manualLayout>
                  <c:x val="1.5598133136821421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2D-4E84-92A7-474781684DB2}"/>
                </c:ext>
              </c:extLst>
            </c:dLbl>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karkal_pivot!$A$60:$A$62</c:f>
              <c:strCache>
                <c:ptCount val="2"/>
                <c:pt idx="0">
                  <c:v>Extreme preterm (&lt;28 weeks) : NO</c:v>
                </c:pt>
                <c:pt idx="1">
                  <c:v>Extreme preterm (&lt;28 weeks): YES</c:v>
                </c:pt>
              </c:strCache>
            </c:strRef>
          </c:cat>
          <c:val>
            <c:numRef>
              <c:f>karkal_pivot!$C$60:$C$62</c:f>
              <c:numCache>
                <c:formatCode>General</c:formatCode>
                <c:ptCount val="2"/>
                <c:pt idx="0">
                  <c:v>8</c:v>
                </c:pt>
                <c:pt idx="1">
                  <c:v>5</c:v>
                </c:pt>
              </c:numCache>
            </c:numRef>
          </c:val>
          <c:extLst>
            <c:ext xmlns:c16="http://schemas.microsoft.com/office/drawing/2014/chart" uri="{C3380CC4-5D6E-409C-BE32-E72D297353CC}">
              <c16:uniqueId val="{00000005-EDE0-4C0A-8F47-8C7E17E270B2}"/>
            </c:ext>
          </c:extLst>
        </c:ser>
        <c:dLbls>
          <c:showLegendKey val="0"/>
          <c:showVal val="1"/>
          <c:showCatName val="0"/>
          <c:showSerName val="0"/>
          <c:showPercent val="0"/>
          <c:showBubbleSize val="0"/>
        </c:dLbls>
        <c:gapWidth val="150"/>
        <c:shape val="box"/>
        <c:axId val="270812863"/>
        <c:axId val="270817663"/>
        <c:axId val="0"/>
      </c:bar3DChart>
      <c:catAx>
        <c:axId val="2708128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crossAx val="270817663"/>
        <c:crosses val="autoZero"/>
        <c:auto val="1"/>
        <c:lblAlgn val="ctr"/>
        <c:lblOffset val="100"/>
        <c:noMultiLvlLbl val="0"/>
      </c:catAx>
      <c:valAx>
        <c:axId val="270817663"/>
        <c:scaling>
          <c:orientation val="minMax"/>
        </c:scaling>
        <c:delete val="1"/>
        <c:axPos val="b"/>
        <c:numFmt formatCode="General" sourceLinked="1"/>
        <c:majorTickMark val="none"/>
        <c:minorTickMark val="none"/>
        <c:tickLblPos val="nextTo"/>
        <c:crossAx val="270812863"/>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chemeClr val="tx1"/>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sz="1050">
          <a:solidFill>
            <a:schemeClr val="tx1"/>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death_copy.xlsx]karkal_pivot!Early_Kr</c:name>
    <c:fmtId val="4"/>
  </c:pivotSource>
  <c:chart>
    <c:title>
      <c:tx>
        <c:rich>
          <a:bodyPr rot="0" spcFirstLastPara="1" vertOverflow="ellipsis" vert="horz" wrap="square" anchor="ctr" anchorCtr="1"/>
          <a:lstStyle/>
          <a:p>
            <a:pPr>
              <a:defRPr sz="1600" b="1" i="0" u="sng" strike="noStrike" kern="1200" baseline="0">
                <a:solidFill>
                  <a:schemeClr val="tx1"/>
                </a:solidFill>
                <a:latin typeface="Lato Black" panose="020F0A02020204030203" pitchFamily="34" charset="0"/>
                <a:ea typeface="+mn-ea"/>
                <a:cs typeface="+mn-cs"/>
              </a:defRPr>
            </a:pPr>
            <a:r>
              <a:rPr lang="en-IN" sz="1600" u="sng"/>
              <a:t>Infant Deaths by Early Premature Status</a:t>
            </a:r>
          </a:p>
        </c:rich>
      </c:tx>
      <c:layout>
        <c:manualLayout>
          <c:xMode val="edge"/>
          <c:yMode val="edge"/>
          <c:x val="0.15450754894170338"/>
          <c:y val="1.8940927602344924E-2"/>
        </c:manualLayout>
      </c:layout>
      <c:overlay val="0"/>
      <c:spPr>
        <a:noFill/>
        <a:ln>
          <a:noFill/>
        </a:ln>
        <a:effectLst/>
      </c:spPr>
      <c:txPr>
        <a:bodyPr rot="0" spcFirstLastPara="1" vertOverflow="ellipsis" vert="horz" wrap="square" anchor="ctr" anchorCtr="1"/>
        <a:lstStyle/>
        <a:p>
          <a:pPr>
            <a:defRPr sz="1600" b="1" i="0" u="sng" strike="noStrike" kern="1200" baseline="0">
              <a:solidFill>
                <a:schemeClr val="tx1"/>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69724770642202E-2"/>
              <c:y val="-7.1029115123603312E-2"/>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4690023838763276"/>
          <c:y val="0.10598769574944071"/>
          <c:w val="0.5411116087553276"/>
          <c:h val="0.6680738255033557"/>
        </c:manualLayout>
      </c:layout>
      <c:bar3DChart>
        <c:barDir val="bar"/>
        <c:grouping val="clustered"/>
        <c:varyColors val="0"/>
        <c:ser>
          <c:idx val="0"/>
          <c:order val="0"/>
          <c:tx>
            <c:strRef>
              <c:f>karkal_pivot!$B$64:$B$65</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karkal_pivot!$A$66:$A$68</c:f>
              <c:strCache>
                <c:ptCount val="2"/>
                <c:pt idx="0">
                  <c:v>Early Premature (28-31 weeks): NO</c:v>
                </c:pt>
                <c:pt idx="1">
                  <c:v>Early Premature (28-31 weeks): YES</c:v>
                </c:pt>
              </c:strCache>
            </c:strRef>
          </c:cat>
          <c:val>
            <c:numRef>
              <c:f>karkal_pivot!$B$66:$B$68</c:f>
              <c:numCache>
                <c:formatCode>General</c:formatCode>
                <c:ptCount val="2"/>
                <c:pt idx="0">
                  <c:v>6</c:v>
                </c:pt>
              </c:numCache>
            </c:numRef>
          </c:val>
          <c:extLst>
            <c:ext xmlns:c16="http://schemas.microsoft.com/office/drawing/2014/chart" uri="{C3380CC4-5D6E-409C-BE32-E72D297353CC}">
              <c16:uniqueId val="{00000000-D41E-4E8B-A10E-00E4F5FD8842}"/>
            </c:ext>
          </c:extLst>
        </c:ser>
        <c:ser>
          <c:idx val="1"/>
          <c:order val="1"/>
          <c:tx>
            <c:strRef>
              <c:f>karkal_pivot!$C$64:$C$65</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1E2-46E8-90DC-F5F9AAF7F26C}"/>
              </c:ext>
            </c:extLst>
          </c:dPt>
          <c:dLbls>
            <c:dLbl>
              <c:idx val="0"/>
              <c:layout>
                <c:manualLayout>
                  <c:x val="3.669724770642202E-2"/>
                  <c:y val="-7.10291151236033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E2-46E8-90DC-F5F9AAF7F26C}"/>
                </c:ext>
              </c:extLst>
            </c:dLbl>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karkal_pivot!$A$66:$A$68</c:f>
              <c:strCache>
                <c:ptCount val="2"/>
                <c:pt idx="0">
                  <c:v>Early Premature (28-31 weeks): NO</c:v>
                </c:pt>
                <c:pt idx="1">
                  <c:v>Early Premature (28-31 weeks): YES</c:v>
                </c:pt>
              </c:strCache>
            </c:strRef>
          </c:cat>
          <c:val>
            <c:numRef>
              <c:f>karkal_pivot!$C$66:$C$68</c:f>
              <c:numCache>
                <c:formatCode>General</c:formatCode>
                <c:ptCount val="2"/>
                <c:pt idx="0">
                  <c:v>12</c:v>
                </c:pt>
                <c:pt idx="1">
                  <c:v>1</c:v>
                </c:pt>
              </c:numCache>
            </c:numRef>
          </c:val>
          <c:extLst>
            <c:ext xmlns:c16="http://schemas.microsoft.com/office/drawing/2014/chart" uri="{C3380CC4-5D6E-409C-BE32-E72D297353CC}">
              <c16:uniqueId val="{00000003-EF5C-4881-80FB-1080371AD559}"/>
            </c:ext>
          </c:extLst>
        </c:ser>
        <c:dLbls>
          <c:showLegendKey val="0"/>
          <c:showVal val="1"/>
          <c:showCatName val="0"/>
          <c:showSerName val="0"/>
          <c:showPercent val="0"/>
          <c:showBubbleSize val="0"/>
        </c:dLbls>
        <c:gapWidth val="150"/>
        <c:shape val="box"/>
        <c:axId val="1102949103"/>
        <c:axId val="1102949583"/>
        <c:axId val="0"/>
      </c:bar3DChart>
      <c:catAx>
        <c:axId val="11029491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crossAx val="1102949583"/>
        <c:crosses val="autoZero"/>
        <c:auto val="1"/>
        <c:lblAlgn val="ctr"/>
        <c:lblOffset val="100"/>
        <c:noMultiLvlLbl val="0"/>
      </c:catAx>
      <c:valAx>
        <c:axId val="1102949583"/>
        <c:scaling>
          <c:orientation val="minMax"/>
        </c:scaling>
        <c:delete val="1"/>
        <c:axPos val="b"/>
        <c:numFmt formatCode="General" sourceLinked="1"/>
        <c:majorTickMark val="none"/>
        <c:minorTickMark val="none"/>
        <c:tickLblPos val="nextTo"/>
        <c:crossAx val="1102949103"/>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chemeClr val="tx1"/>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sz="1050">
          <a:solidFill>
            <a:schemeClr val="tx1"/>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death_copy.xlsx]karkal_pivot!Moderate_Kr</c:name>
    <c:fmtId val="5"/>
  </c:pivotSource>
  <c:chart>
    <c:title>
      <c:tx>
        <c:rich>
          <a:bodyPr rot="0" spcFirstLastPara="1" vertOverflow="ellipsis" vert="horz" wrap="square" anchor="ctr" anchorCtr="1"/>
          <a:lstStyle/>
          <a:p>
            <a:pPr>
              <a:defRPr sz="1600" b="1" i="0" u="sng" strike="noStrike" kern="1200" baseline="0">
                <a:solidFill>
                  <a:schemeClr val="tx1"/>
                </a:solidFill>
                <a:latin typeface="Lato Black" panose="020F0A02020204030203" pitchFamily="34" charset="0"/>
                <a:ea typeface="+mn-ea"/>
                <a:cs typeface="+mn-cs"/>
              </a:defRPr>
            </a:pPr>
            <a:r>
              <a:rPr lang="en-IN" sz="1600" u="sng"/>
              <a:t>Infant Deaths by Moderate Premature Status</a:t>
            </a:r>
          </a:p>
        </c:rich>
      </c:tx>
      <c:layout>
        <c:manualLayout>
          <c:xMode val="edge"/>
          <c:yMode val="edge"/>
          <c:x val="0.14614324899697045"/>
          <c:y val="4.7352721849366142E-3"/>
        </c:manualLayout>
      </c:layout>
      <c:overlay val="0"/>
      <c:spPr>
        <a:noFill/>
        <a:ln>
          <a:noFill/>
        </a:ln>
        <a:effectLst/>
      </c:spPr>
      <c:txPr>
        <a:bodyPr rot="0" spcFirstLastPara="1" vertOverflow="ellipsis" vert="horz" wrap="square" anchor="ctr" anchorCtr="1"/>
        <a:lstStyle/>
        <a:p>
          <a:pPr>
            <a:defRPr sz="1600" b="1" i="0" u="sng" strike="noStrike" kern="1200" baseline="0">
              <a:solidFill>
                <a:schemeClr val="tx1"/>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470441333005815"/>
          <c:y val="0.17771476510067113"/>
          <c:w val="0.56229714238925732"/>
          <c:h val="0.49957606263982102"/>
        </c:manualLayout>
      </c:layout>
      <c:bar3DChart>
        <c:barDir val="bar"/>
        <c:grouping val="clustered"/>
        <c:varyColors val="0"/>
        <c:ser>
          <c:idx val="0"/>
          <c:order val="0"/>
          <c:tx>
            <c:strRef>
              <c:f>karkal_pivot!$B$70:$B$71</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karkal_pivot!$A$72:$A$74</c:f>
              <c:strCache>
                <c:ptCount val="2"/>
                <c:pt idx="0">
                  <c:v>Morderate Premature (&lt;32-33 weeks): NO</c:v>
                </c:pt>
                <c:pt idx="1">
                  <c:v>Morderate Premature (&lt;32-33 weeks): YES</c:v>
                </c:pt>
              </c:strCache>
            </c:strRef>
          </c:cat>
          <c:val>
            <c:numRef>
              <c:f>karkal_pivot!$B$72:$B$74</c:f>
              <c:numCache>
                <c:formatCode>General</c:formatCode>
                <c:ptCount val="2"/>
                <c:pt idx="0">
                  <c:v>6</c:v>
                </c:pt>
              </c:numCache>
            </c:numRef>
          </c:val>
          <c:extLst>
            <c:ext xmlns:c16="http://schemas.microsoft.com/office/drawing/2014/chart" uri="{C3380CC4-5D6E-409C-BE32-E72D297353CC}">
              <c16:uniqueId val="{00000000-CFD3-44DF-B683-628B2A557E66}"/>
            </c:ext>
          </c:extLst>
        </c:ser>
        <c:ser>
          <c:idx val="1"/>
          <c:order val="1"/>
          <c:tx>
            <c:strRef>
              <c:f>karkal_pivot!$C$70:$C$71</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karkal_pivot!$A$72:$A$74</c:f>
              <c:strCache>
                <c:ptCount val="2"/>
                <c:pt idx="0">
                  <c:v>Morderate Premature (&lt;32-33 weeks): NO</c:v>
                </c:pt>
                <c:pt idx="1">
                  <c:v>Morderate Premature (&lt;32-33 weeks): YES</c:v>
                </c:pt>
              </c:strCache>
            </c:strRef>
          </c:cat>
          <c:val>
            <c:numRef>
              <c:f>karkal_pivot!$C$72:$C$74</c:f>
              <c:numCache>
                <c:formatCode>General</c:formatCode>
                <c:ptCount val="2"/>
                <c:pt idx="0">
                  <c:v>11</c:v>
                </c:pt>
                <c:pt idx="1">
                  <c:v>2</c:v>
                </c:pt>
              </c:numCache>
            </c:numRef>
          </c:val>
          <c:extLst>
            <c:ext xmlns:c16="http://schemas.microsoft.com/office/drawing/2014/chart" uri="{C3380CC4-5D6E-409C-BE32-E72D297353CC}">
              <c16:uniqueId val="{00000001-1F60-464F-8960-AC06EE289CFC}"/>
            </c:ext>
          </c:extLst>
        </c:ser>
        <c:dLbls>
          <c:showLegendKey val="0"/>
          <c:showVal val="1"/>
          <c:showCatName val="0"/>
          <c:showSerName val="0"/>
          <c:showPercent val="0"/>
          <c:showBubbleSize val="0"/>
        </c:dLbls>
        <c:gapWidth val="150"/>
        <c:shape val="box"/>
        <c:axId val="1102956303"/>
        <c:axId val="1102939983"/>
        <c:axId val="0"/>
      </c:bar3DChart>
      <c:catAx>
        <c:axId val="11029563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crossAx val="1102939983"/>
        <c:crosses val="autoZero"/>
        <c:auto val="1"/>
        <c:lblAlgn val="ctr"/>
        <c:lblOffset val="100"/>
        <c:noMultiLvlLbl val="0"/>
      </c:catAx>
      <c:valAx>
        <c:axId val="1102939983"/>
        <c:scaling>
          <c:orientation val="minMax"/>
        </c:scaling>
        <c:delete val="1"/>
        <c:axPos val="b"/>
        <c:numFmt formatCode="General" sourceLinked="1"/>
        <c:majorTickMark val="none"/>
        <c:minorTickMark val="none"/>
        <c:tickLblPos val="nextTo"/>
        <c:crossAx val="1102956303"/>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chemeClr val="tx1"/>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sz="1050">
          <a:solidFill>
            <a:schemeClr val="tx1"/>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death_copy.xlsx]karkal_pivot!Late_Kr</c:name>
    <c:fmtId val="5"/>
  </c:pivotSource>
  <c:chart>
    <c:title>
      <c:tx>
        <c:rich>
          <a:bodyPr rot="0" spcFirstLastPara="1" vertOverflow="ellipsis" vert="horz" wrap="square" anchor="ctr" anchorCtr="1"/>
          <a:lstStyle/>
          <a:p>
            <a:pPr>
              <a:defRPr sz="1600" b="1" i="0" u="sng" strike="noStrike" kern="1200" baseline="0">
                <a:solidFill>
                  <a:schemeClr val="tx1"/>
                </a:solidFill>
                <a:latin typeface="Lato Black" panose="020F0A02020204030203" pitchFamily="34" charset="0"/>
                <a:ea typeface="+mn-ea"/>
                <a:cs typeface="+mn-cs"/>
              </a:defRPr>
            </a:pPr>
            <a:r>
              <a:rPr lang="en-IN" sz="1600" u="sng"/>
              <a:t>Infant Deaths by Late Premature Status</a:t>
            </a:r>
          </a:p>
        </c:rich>
      </c:tx>
      <c:overlay val="0"/>
      <c:spPr>
        <a:noFill/>
        <a:ln>
          <a:noFill/>
        </a:ln>
        <a:effectLst/>
      </c:spPr>
      <c:txPr>
        <a:bodyPr rot="0" spcFirstLastPara="1" vertOverflow="ellipsis" vert="horz" wrap="square" anchor="ctr" anchorCtr="1"/>
        <a:lstStyle/>
        <a:p>
          <a:pPr>
            <a:defRPr sz="1600" b="1" i="0" u="sng" strike="noStrike" kern="1200" baseline="0">
              <a:solidFill>
                <a:schemeClr val="tx1"/>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9393939393939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095959595959596E-2"/>
              <c:y val="-5.647911752171531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095959595959596E-2"/>
              <c:y val="-5.647911752171531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9393939393939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095959595959596E-2"/>
              <c:y val="-5.6479117521715313E-17"/>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93939393939394E-2"/>
              <c:y val="0"/>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891386227790065"/>
          <c:y val="6.1614294516327786E-2"/>
          <c:w val="0.71695549823958082"/>
          <c:h val="0.69060514541387019"/>
        </c:manualLayout>
      </c:layout>
      <c:bar3DChart>
        <c:barDir val="bar"/>
        <c:grouping val="clustered"/>
        <c:varyColors val="0"/>
        <c:ser>
          <c:idx val="0"/>
          <c:order val="0"/>
          <c:tx>
            <c:strRef>
              <c:f>karkal_pivot!$B$76:$B$77</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84F6-4F7C-8D35-4E5C399C4564}"/>
              </c:ext>
            </c:extLst>
          </c:dPt>
          <c:dLbls>
            <c:dLbl>
              <c:idx val="0"/>
              <c:layout>
                <c:manualLayout>
                  <c:x val="2.2095959595959596E-2"/>
                  <c:y val="-5.64791175217153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F6-4F7C-8D35-4E5C399C4564}"/>
                </c:ext>
              </c:extLst>
            </c:dLbl>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karkal_pivot!$A$78:$A$79</c:f>
              <c:strCache>
                <c:ptCount val="1"/>
                <c:pt idx="0">
                  <c:v>Late Pre-term (34-36 weeks): NO</c:v>
                </c:pt>
              </c:strCache>
            </c:strRef>
          </c:cat>
          <c:val>
            <c:numRef>
              <c:f>karkal_pivot!$B$78:$B$79</c:f>
              <c:numCache>
                <c:formatCode>General</c:formatCode>
                <c:ptCount val="1"/>
                <c:pt idx="0">
                  <c:v>6</c:v>
                </c:pt>
              </c:numCache>
            </c:numRef>
          </c:val>
          <c:extLst>
            <c:ext xmlns:c16="http://schemas.microsoft.com/office/drawing/2014/chart" uri="{C3380CC4-5D6E-409C-BE32-E72D297353CC}">
              <c16:uniqueId val="{00000001-84F6-4F7C-8D35-4E5C399C4564}"/>
            </c:ext>
          </c:extLst>
        </c:ser>
        <c:ser>
          <c:idx val="1"/>
          <c:order val="1"/>
          <c:tx>
            <c:strRef>
              <c:f>karkal_pivot!$C$76:$C$77</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1F4-4386-9786-2B827AC66FF5}"/>
              </c:ext>
            </c:extLst>
          </c:dPt>
          <c:dLbls>
            <c:dLbl>
              <c:idx val="0"/>
              <c:layout>
                <c:manualLayout>
                  <c:x val="1.89393939393939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F4-4386-9786-2B827AC66FF5}"/>
                </c:ext>
              </c:extLst>
            </c:dLbl>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karkal_pivot!$A$78:$A$79</c:f>
              <c:strCache>
                <c:ptCount val="1"/>
                <c:pt idx="0">
                  <c:v>Late Pre-term (34-36 weeks): NO</c:v>
                </c:pt>
              </c:strCache>
            </c:strRef>
          </c:cat>
          <c:val>
            <c:numRef>
              <c:f>karkal_pivot!$C$78:$C$79</c:f>
              <c:numCache>
                <c:formatCode>General</c:formatCode>
                <c:ptCount val="1"/>
                <c:pt idx="0">
                  <c:v>13</c:v>
                </c:pt>
              </c:numCache>
            </c:numRef>
          </c:val>
          <c:extLst>
            <c:ext xmlns:c16="http://schemas.microsoft.com/office/drawing/2014/chart" uri="{C3380CC4-5D6E-409C-BE32-E72D297353CC}">
              <c16:uniqueId val="{00000005-E5D0-4095-851A-48439AD838DD}"/>
            </c:ext>
          </c:extLst>
        </c:ser>
        <c:dLbls>
          <c:showLegendKey val="0"/>
          <c:showVal val="1"/>
          <c:showCatName val="0"/>
          <c:showSerName val="0"/>
          <c:showPercent val="0"/>
          <c:showBubbleSize val="0"/>
        </c:dLbls>
        <c:gapWidth val="150"/>
        <c:shape val="box"/>
        <c:axId val="270791263"/>
        <c:axId val="270792223"/>
        <c:axId val="0"/>
      </c:bar3DChart>
      <c:catAx>
        <c:axId val="2707912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Lato Black" panose="020F0A02020204030203" pitchFamily="34" charset="0"/>
                <a:ea typeface="+mn-ea"/>
                <a:cs typeface="+mn-cs"/>
              </a:defRPr>
            </a:pPr>
            <a:endParaRPr lang="en-US"/>
          </a:p>
        </c:txPr>
        <c:crossAx val="270792223"/>
        <c:crosses val="autoZero"/>
        <c:auto val="1"/>
        <c:lblAlgn val="ctr"/>
        <c:lblOffset val="100"/>
        <c:noMultiLvlLbl val="0"/>
      </c:catAx>
      <c:valAx>
        <c:axId val="270792223"/>
        <c:scaling>
          <c:orientation val="minMax"/>
        </c:scaling>
        <c:delete val="1"/>
        <c:axPos val="b"/>
        <c:numFmt formatCode="General" sourceLinked="1"/>
        <c:majorTickMark val="none"/>
        <c:minorTickMark val="none"/>
        <c:tickLblPos val="nextTo"/>
        <c:crossAx val="270791263"/>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chemeClr val="tx1"/>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sz="1050">
          <a:solidFill>
            <a:schemeClr val="tx1"/>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death_copy.xlsx]karkal_pivot!Preventable(K1)</c:name>
    <c:fmtId val="2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none" strike="noStrike" kern="1200" baseline="0">
                <a:solidFill>
                  <a:schemeClr val="tx1"/>
                </a:solidFill>
                <a:latin typeface="Lato Black" panose="020F0A02020204030203" pitchFamily="34" charset="0"/>
              </a:rPr>
              <a:t>Preventability of Infant &amp; Neonatal Deaths</a:t>
            </a:r>
          </a:p>
        </c:rich>
      </c:tx>
      <c:layout>
        <c:manualLayout>
          <c:xMode val="edge"/>
          <c:yMode val="edge"/>
          <c:x val="0.17373015873015873"/>
          <c:y val="3.6257342685956609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rgbClr val="F28D48"/>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E90D22"/>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F28D48"/>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E90D22"/>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F28D48"/>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E90D22"/>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37861933924926"/>
          <c:y val="0.1688888434244987"/>
          <c:w val="0.73743365412656736"/>
          <c:h val="0.65825650225277554"/>
        </c:manualLayout>
      </c:layout>
      <c:barChart>
        <c:barDir val="bar"/>
        <c:grouping val="clustered"/>
        <c:varyColors val="0"/>
        <c:ser>
          <c:idx val="0"/>
          <c:order val="0"/>
          <c:tx>
            <c:strRef>
              <c:f>karkal_pivot!$B$27:$B$28</c:f>
              <c:strCache>
                <c:ptCount val="1"/>
                <c:pt idx="0">
                  <c:v>Infant Death</c:v>
                </c:pt>
              </c:strCache>
            </c:strRef>
          </c:tx>
          <c:spPr>
            <a:gradFill rotWithShape="1">
              <a:gsLst>
                <a:gs pos="0">
                  <a:srgbClr val="F28D48"/>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karkal_pivot!$A$29:$A$31</c:f>
              <c:strCache>
                <c:ptCount val="2"/>
                <c:pt idx="0">
                  <c:v>Non-Preventable</c:v>
                </c:pt>
                <c:pt idx="1">
                  <c:v>Preventable</c:v>
                </c:pt>
              </c:strCache>
            </c:strRef>
          </c:cat>
          <c:val>
            <c:numRef>
              <c:f>karkal_pivot!$B$29:$B$31</c:f>
              <c:numCache>
                <c:formatCode>General</c:formatCode>
                <c:ptCount val="2"/>
                <c:pt idx="0">
                  <c:v>4</c:v>
                </c:pt>
                <c:pt idx="1">
                  <c:v>2</c:v>
                </c:pt>
              </c:numCache>
            </c:numRef>
          </c:val>
          <c:extLst>
            <c:ext xmlns:c16="http://schemas.microsoft.com/office/drawing/2014/chart" uri="{C3380CC4-5D6E-409C-BE32-E72D297353CC}">
              <c16:uniqueId val="{00000000-DD48-4E72-852D-7BD5F15D6D91}"/>
            </c:ext>
          </c:extLst>
        </c:ser>
        <c:ser>
          <c:idx val="1"/>
          <c:order val="1"/>
          <c:tx>
            <c:strRef>
              <c:f>karkal_pivot!$C$27:$C$28</c:f>
              <c:strCache>
                <c:ptCount val="1"/>
                <c:pt idx="0">
                  <c:v>Neonatal Death</c:v>
                </c:pt>
              </c:strCache>
            </c:strRef>
          </c:tx>
          <c:spPr>
            <a:gradFill rotWithShape="1">
              <a:gsLst>
                <a:gs pos="0">
                  <a:srgbClr val="E90D22"/>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karkal_pivot!$A$29:$A$31</c:f>
              <c:strCache>
                <c:ptCount val="2"/>
                <c:pt idx="0">
                  <c:v>Non-Preventable</c:v>
                </c:pt>
                <c:pt idx="1">
                  <c:v>Preventable</c:v>
                </c:pt>
              </c:strCache>
            </c:strRef>
          </c:cat>
          <c:val>
            <c:numRef>
              <c:f>karkal_pivot!$C$29:$C$31</c:f>
              <c:numCache>
                <c:formatCode>General</c:formatCode>
                <c:ptCount val="2"/>
                <c:pt idx="0">
                  <c:v>11</c:v>
                </c:pt>
                <c:pt idx="1">
                  <c:v>2</c:v>
                </c:pt>
              </c:numCache>
            </c:numRef>
          </c:val>
          <c:extLst>
            <c:ext xmlns:c16="http://schemas.microsoft.com/office/drawing/2014/chart" uri="{C3380CC4-5D6E-409C-BE32-E72D297353CC}">
              <c16:uniqueId val="{00000001-CE8E-45AF-8F99-81AD6952C96A}"/>
            </c:ext>
          </c:extLst>
        </c:ser>
        <c:dLbls>
          <c:dLblPos val="outEnd"/>
          <c:showLegendKey val="0"/>
          <c:showVal val="1"/>
          <c:showCatName val="0"/>
          <c:showSerName val="0"/>
          <c:showPercent val="0"/>
          <c:showBubbleSize val="0"/>
        </c:dLbls>
        <c:gapWidth val="150"/>
        <c:axId val="413644527"/>
        <c:axId val="413631567"/>
      </c:barChart>
      <c:catAx>
        <c:axId val="4136445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413631567"/>
        <c:crosses val="autoZero"/>
        <c:auto val="1"/>
        <c:lblAlgn val="ctr"/>
        <c:lblOffset val="100"/>
        <c:noMultiLvlLbl val="0"/>
      </c:catAx>
      <c:valAx>
        <c:axId val="413631567"/>
        <c:scaling>
          <c:orientation val="minMax"/>
        </c:scaling>
        <c:delete val="1"/>
        <c:axPos val="b"/>
        <c:numFmt formatCode="General" sourceLinked="1"/>
        <c:majorTickMark val="none"/>
        <c:minorTickMark val="none"/>
        <c:tickLblPos val="nextTo"/>
        <c:crossAx val="413644527"/>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[Infant death_copy.xlsx]karkal_pivot!Gender(K1)</c:name>
    <c:fmtId val="2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none" strike="noStrike" kern="1200" spc="0" baseline="0">
                <a:solidFill>
                  <a:schemeClr val="tx1"/>
                </a:solidFill>
                <a:latin typeface="Lato Black" panose="020F0A02020204030203" pitchFamily="34" charset="0"/>
              </a:rPr>
              <a:t>Gender-wise Analysis of Infant &amp; Neonatal Deaths</a:t>
            </a:r>
          </a:p>
        </c:rich>
      </c:tx>
      <c:layout>
        <c:manualLayout>
          <c:xMode val="edge"/>
          <c:yMode val="edge"/>
          <c:x val="0.19232890514405468"/>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marker>
        <c:dLbl>
          <c:idx val="0"/>
          <c:layout>
            <c:manualLayout>
              <c:x val="-1.1111111111111112E-2"/>
              <c:y val="-3.7037037037037035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5.8333333333333334E-2"/>
              <c:y val="1.3888888888888888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marker>
        <c:dLbl>
          <c:idx val="0"/>
          <c:layout>
            <c:manualLayout>
              <c:x val="3.6685399414536406E-2"/>
              <c:y val="-3.9661085145105551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2.7778212614079302E-3"/>
              <c:y val="-9.8783106657122401E-3"/>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5.8333333333333334E-2"/>
              <c:y val="1.3888888888888888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2.7778212614079302E-3"/>
              <c:y val="-9.8783106657122401E-3"/>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1.1111111111111112E-2"/>
              <c:y val="-3.7037037037037035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3.6685399414536406E-2"/>
              <c:y val="-3.9661085145105551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rgbClr val="F698E6"/>
              </a:gs>
              <a:gs pos="100000">
                <a:srgbClr val="E329C8"/>
              </a:gs>
            </a:gsLst>
            <a:lin ang="5400000" scaled="1"/>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rgbClr val="F698E6"/>
              </a:gs>
              <a:gs pos="100000">
                <a:srgbClr val="E329C8"/>
              </a:gs>
            </a:gsLst>
            <a:lin ang="5400000" scaled="1"/>
          </a:gradFill>
          <a:ln>
            <a:noFill/>
          </a:ln>
          <a:effectLst>
            <a:outerShdw blurRad="40000" dist="23000" dir="5400000" rotWithShape="0">
              <a:srgbClr val="000000">
                <a:alpha val="35000"/>
              </a:srgbClr>
            </a:outerShdw>
          </a:effectLst>
          <a:sp3d/>
        </c:spPr>
      </c:pivotFmt>
      <c:pivotFmt>
        <c:idx val="14"/>
        <c:spPr>
          <a:gradFill rotWithShape="1">
            <a:gsLst>
              <a:gs pos="0">
                <a:srgbClr val="F698E6"/>
              </a:gs>
              <a:gs pos="100000">
                <a:srgbClr val="E329C8"/>
              </a:gs>
            </a:gsLst>
            <a:lin ang="5400000" scaled="1"/>
          </a:gradFill>
          <a:ln>
            <a:noFill/>
          </a:ln>
          <a:effectLst>
            <a:outerShdw blurRad="40000" dist="23000" dir="5400000" rotWithShape="0">
              <a:srgbClr val="000000">
                <a:alpha val="35000"/>
              </a:srgbClr>
            </a:outerShdw>
          </a:effectLst>
          <a:sp3d/>
        </c:spPr>
      </c:pivotFmt>
      <c:pivotFmt>
        <c:idx val="15"/>
        <c:spPr>
          <a:gradFill rotWithShape="1">
            <a:gsLst>
              <a:gs pos="0">
                <a:schemeClr val="tx2">
                  <a:lumMod val="60000"/>
                  <a:lumOff val="40000"/>
                </a:schemeClr>
              </a:gs>
              <a:gs pos="100000">
                <a:schemeClr val="tx2">
                  <a:lumMod val="50000"/>
                </a:schemeClr>
              </a:gs>
            </a:gsLst>
            <a:lin ang="5400000" scaled="1"/>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tx2">
                  <a:lumMod val="60000"/>
                  <a:lumOff val="40000"/>
                </a:schemeClr>
              </a:gs>
              <a:gs pos="100000">
                <a:schemeClr val="tx2">
                  <a:lumMod val="50000"/>
                </a:schemeClr>
              </a:gs>
            </a:gsLst>
            <a:lin ang="5400000" scaled="1"/>
          </a:gradFill>
          <a:ln>
            <a:noFill/>
          </a:ln>
          <a:effectLst>
            <a:outerShdw blurRad="40000" dist="23000" dir="5400000" rotWithShape="0">
              <a:srgbClr val="000000">
                <a:alpha val="35000"/>
              </a:srgbClr>
            </a:outerShdw>
          </a:effectLst>
          <a:sp3d/>
        </c:spPr>
      </c:pivotFmt>
      <c:pivotFmt>
        <c:idx val="17"/>
        <c:spPr>
          <a:gradFill rotWithShape="1">
            <a:gsLst>
              <a:gs pos="0">
                <a:schemeClr val="tx2">
                  <a:lumMod val="60000"/>
                  <a:lumOff val="40000"/>
                </a:schemeClr>
              </a:gs>
              <a:gs pos="100000">
                <a:schemeClr val="tx2">
                  <a:lumMod val="50000"/>
                </a:schemeClr>
              </a:gs>
            </a:gsLst>
            <a:lin ang="5400000" scaled="1"/>
          </a:gradFill>
          <a:ln>
            <a:noFill/>
          </a:ln>
          <a:effectLst>
            <a:outerShdw blurRad="40000" dist="23000" dir="5400000" rotWithShape="0">
              <a:srgbClr val="000000">
                <a:alpha val="35000"/>
              </a:srgbClr>
            </a:outerShdw>
          </a:effectLst>
          <a:sp3d/>
        </c:spPr>
        <c:dLbl>
          <c:idx val="0"/>
          <c:layout>
            <c:manualLayout>
              <c:x val="6.6538707613563661E-2"/>
              <c:y val="-3.472222222222222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184800076573922E-2"/>
          <c:y val="0.1282312925170068"/>
          <c:w val="0.82057581573896354"/>
          <c:h val="0.78329931972789113"/>
        </c:manualLayout>
      </c:layout>
      <c:bar3DChart>
        <c:barDir val="col"/>
        <c:grouping val="standard"/>
        <c:varyColors val="0"/>
        <c:ser>
          <c:idx val="0"/>
          <c:order val="0"/>
          <c:tx>
            <c:strRef>
              <c:f>karkal_pivot!$B$19:$B$20</c:f>
              <c:strCache>
                <c:ptCount val="1"/>
                <c:pt idx="0">
                  <c:v>Female</c:v>
                </c:pt>
              </c:strCache>
            </c:strRef>
          </c:tx>
          <c:spPr>
            <a:gradFill rotWithShape="1">
              <a:gsLst>
                <a:gs pos="0">
                  <a:srgbClr val="F698E6"/>
                </a:gs>
                <a:gs pos="100000">
                  <a:srgbClr val="E329C8"/>
                </a:gs>
              </a:gsLst>
              <a:lin ang="5400000" scaled="1"/>
            </a:gradFill>
            <a:ln>
              <a:noFill/>
            </a:ln>
            <a:effectLst>
              <a:outerShdw blurRad="40000" dist="23000" dir="5400000" rotWithShape="0">
                <a:srgbClr val="000000">
                  <a:alpha val="35000"/>
                </a:srgbClr>
              </a:outerShdw>
            </a:effectLst>
            <a:sp3d/>
          </c:spPr>
          <c:invertIfNegative val="0"/>
          <c:dPt>
            <c:idx val="0"/>
            <c:invertIfNegative val="0"/>
            <c:bubble3D val="0"/>
            <c:spPr>
              <a:gradFill rotWithShape="1">
                <a:gsLst>
                  <a:gs pos="0">
                    <a:srgbClr val="F698E6"/>
                  </a:gs>
                  <a:gs pos="100000">
                    <a:srgbClr val="E329C8"/>
                  </a:gs>
                </a:gsLst>
                <a:lin ang="5400000" scaled="1"/>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6D2C-457A-ABA3-55849B3F073E}"/>
              </c:ext>
            </c:extLst>
          </c:dPt>
          <c:dPt>
            <c:idx val="1"/>
            <c:invertIfNegative val="0"/>
            <c:bubble3D val="0"/>
            <c:spPr>
              <a:gradFill rotWithShape="1">
                <a:gsLst>
                  <a:gs pos="0">
                    <a:srgbClr val="F698E6"/>
                  </a:gs>
                  <a:gs pos="100000">
                    <a:srgbClr val="E329C8"/>
                  </a:gs>
                </a:gsLst>
                <a:lin ang="5400000" scaled="1"/>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6D2C-457A-ABA3-55849B3F073E}"/>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noFill/>
                    </a:ln>
                    <a:effectLst/>
                  </c:spPr>
                </c15:leaderLines>
              </c:ext>
            </c:extLst>
          </c:dLbls>
          <c:cat>
            <c:strRef>
              <c:f>karkal_pivot!$A$21:$A$23</c:f>
              <c:strCache>
                <c:ptCount val="2"/>
                <c:pt idx="0">
                  <c:v>Infant Death</c:v>
                </c:pt>
                <c:pt idx="1">
                  <c:v>Neonatal Death</c:v>
                </c:pt>
              </c:strCache>
            </c:strRef>
          </c:cat>
          <c:val>
            <c:numRef>
              <c:f>karkal_pivot!$B$21:$B$23</c:f>
              <c:numCache>
                <c:formatCode>General</c:formatCode>
                <c:ptCount val="2"/>
                <c:pt idx="0">
                  <c:v>3</c:v>
                </c:pt>
                <c:pt idx="1">
                  <c:v>8</c:v>
                </c:pt>
              </c:numCache>
            </c:numRef>
          </c:val>
          <c:extLst>
            <c:ext xmlns:c16="http://schemas.microsoft.com/office/drawing/2014/chart" uri="{C3380CC4-5D6E-409C-BE32-E72D297353CC}">
              <c16:uniqueId val="{00000004-6D2C-457A-ABA3-55849B3F073E}"/>
            </c:ext>
          </c:extLst>
        </c:ser>
        <c:ser>
          <c:idx val="1"/>
          <c:order val="1"/>
          <c:tx>
            <c:strRef>
              <c:f>karkal_pivot!$C$19:$C$20</c:f>
              <c:strCache>
                <c:ptCount val="1"/>
                <c:pt idx="0">
                  <c:v>Male</c:v>
                </c:pt>
              </c:strCache>
            </c:strRef>
          </c:tx>
          <c:spPr>
            <a:gradFill rotWithShape="1">
              <a:gsLst>
                <a:gs pos="0">
                  <a:schemeClr val="tx2">
                    <a:lumMod val="60000"/>
                    <a:lumOff val="40000"/>
                  </a:schemeClr>
                </a:gs>
                <a:gs pos="100000">
                  <a:schemeClr val="tx2">
                    <a:lumMod val="50000"/>
                  </a:schemeClr>
                </a:gs>
              </a:gsLst>
              <a:lin ang="5400000" scaled="1"/>
            </a:gradFill>
            <a:ln>
              <a:noFill/>
            </a:ln>
            <a:effectLst>
              <a:outerShdw blurRad="40000" dist="23000" dir="5400000" rotWithShape="0">
                <a:srgbClr val="000000">
                  <a:alpha val="35000"/>
                </a:srgbClr>
              </a:outerShdw>
            </a:effectLst>
            <a:sp3d/>
          </c:spPr>
          <c:invertIfNegative val="0"/>
          <c:dPt>
            <c:idx val="0"/>
            <c:invertIfNegative val="0"/>
            <c:bubble3D val="0"/>
            <c:spPr>
              <a:gradFill rotWithShape="1">
                <a:gsLst>
                  <a:gs pos="0">
                    <a:schemeClr val="tx2">
                      <a:lumMod val="60000"/>
                      <a:lumOff val="40000"/>
                    </a:schemeClr>
                  </a:gs>
                  <a:gs pos="100000">
                    <a:schemeClr val="tx2">
                      <a:lumMod val="50000"/>
                    </a:schemeClr>
                  </a:gs>
                </a:gsLst>
                <a:lin ang="5400000" scaled="1"/>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BA06-4445-BB85-464417509422}"/>
              </c:ext>
            </c:extLst>
          </c:dPt>
          <c:dPt>
            <c:idx val="1"/>
            <c:invertIfNegative val="0"/>
            <c:bubble3D val="0"/>
            <c:spPr>
              <a:gradFill rotWithShape="1">
                <a:gsLst>
                  <a:gs pos="0">
                    <a:schemeClr val="tx2">
                      <a:lumMod val="60000"/>
                      <a:lumOff val="40000"/>
                    </a:schemeClr>
                  </a:gs>
                  <a:gs pos="100000">
                    <a:schemeClr val="tx2">
                      <a:lumMod val="50000"/>
                    </a:schemeClr>
                  </a:gs>
                </a:gsLst>
                <a:lin ang="5400000" scaled="1"/>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BA06-4445-BB85-464417509422}"/>
              </c:ext>
            </c:extLst>
          </c:dPt>
          <c:dLbls>
            <c:dLbl>
              <c:idx val="1"/>
              <c:layout>
                <c:manualLayout>
                  <c:x val="6.6538707613563661E-2"/>
                  <c:y val="-3.47222222222222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A06-4445-BB85-464417509422}"/>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karkal_pivot!$A$21:$A$23</c:f>
              <c:strCache>
                <c:ptCount val="2"/>
                <c:pt idx="0">
                  <c:v>Infant Death</c:v>
                </c:pt>
                <c:pt idx="1">
                  <c:v>Neonatal Death</c:v>
                </c:pt>
              </c:strCache>
            </c:strRef>
          </c:cat>
          <c:val>
            <c:numRef>
              <c:f>karkal_pivot!$C$21:$C$23</c:f>
              <c:numCache>
                <c:formatCode>General</c:formatCode>
                <c:ptCount val="2"/>
                <c:pt idx="0">
                  <c:v>3</c:v>
                </c:pt>
                <c:pt idx="1">
                  <c:v>5</c:v>
                </c:pt>
              </c:numCache>
            </c:numRef>
          </c:val>
          <c:extLst>
            <c:ext xmlns:c16="http://schemas.microsoft.com/office/drawing/2014/chart" uri="{C3380CC4-5D6E-409C-BE32-E72D297353CC}">
              <c16:uniqueId val="{00000009-5E8B-44A2-B9B4-57A942817063}"/>
            </c:ext>
          </c:extLst>
        </c:ser>
        <c:dLbls>
          <c:showLegendKey val="0"/>
          <c:showVal val="1"/>
          <c:showCatName val="0"/>
          <c:showSerName val="0"/>
          <c:showPercent val="0"/>
          <c:showBubbleSize val="0"/>
        </c:dLbls>
        <c:gapWidth val="150"/>
        <c:shape val="box"/>
        <c:axId val="413658927"/>
        <c:axId val="413660367"/>
        <c:axId val="1346955231"/>
      </c:bar3DChart>
      <c:catAx>
        <c:axId val="41365892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413660367"/>
        <c:crosses val="autoZero"/>
        <c:auto val="1"/>
        <c:lblAlgn val="ctr"/>
        <c:lblOffset val="100"/>
        <c:noMultiLvlLbl val="0"/>
      </c:catAx>
      <c:valAx>
        <c:axId val="413660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413658927"/>
        <c:crosses val="autoZero"/>
        <c:crossBetween val="between"/>
      </c:valAx>
      <c:serAx>
        <c:axId val="1346955231"/>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413660367"/>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death_copy.xlsx]karkal_pivot!Hypertension(K1)</c:name>
    <c:fmtId val="22"/>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none" strike="noStrike" kern="1200" baseline="0">
                <a:solidFill>
                  <a:schemeClr val="tx1"/>
                </a:solidFill>
                <a:latin typeface="Lato Black" panose="020F0A02020204030203" pitchFamily="34" charset="0"/>
              </a:rPr>
              <a:t>Cause of Infant &amp; Neonatal Deaths due to Hypertensive Disorders</a:t>
            </a:r>
          </a:p>
        </c:rich>
      </c:tx>
      <c:layout>
        <c:manualLayout>
          <c:xMode val="edge"/>
          <c:yMode val="edge"/>
          <c:x val="0.2011614573215337"/>
          <c:y val="2.1621621621621623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solidFill>
            <a:srgbClr val="F49546"/>
          </a:solidFill>
          <a:ln>
            <a:noFill/>
          </a:ln>
          <a:effectLst>
            <a:glow rad="38100">
              <a:schemeClr val="tx1">
                <a:lumMod val="50000"/>
                <a:lumOff val="50000"/>
                <a:alpha val="40000"/>
              </a:schemeClr>
            </a:glow>
          </a:effectLst>
          <a:scene3d>
            <a:camera prst="orthographicFront">
              <a:rot lat="0" lon="0" rev="0"/>
            </a:camera>
            <a:lightRig rig="threePt" dir="t">
              <a:rot lat="0" lon="0" rev="1200000"/>
            </a:lightRig>
          </a:scene3d>
          <a:sp3d>
            <a:bevelT w="63500" h="25400"/>
          </a:sp3d>
        </c:spPr>
        <c:marker>
          <c:symbol val="circle"/>
          <c:size val="6"/>
          <c:spPr>
            <a:solidFill>
              <a:schemeClr val="tx1"/>
            </a:solidFill>
            <a:ln w="9525">
              <a:noFill/>
              <a:round/>
            </a:ln>
            <a:effectLst>
              <a:glow rad="38100">
                <a:schemeClr val="tx1">
                  <a:lumMod val="50000"/>
                  <a:lumOff val="50000"/>
                  <a:alpha val="40000"/>
                </a:schemeClr>
              </a:glo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7D0516"/>
              </a:gs>
              <a:gs pos="100000">
                <a:srgbClr val="7D0516"/>
              </a:gs>
            </a:gsLst>
            <a:lin ang="5400000" scaled="1"/>
            <a:tileRect/>
          </a:gradFill>
          <a:ln>
            <a:noFill/>
          </a:ln>
          <a:effectLst>
            <a:glow rad="88900">
              <a:schemeClr val="accent1">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7D0516"/>
              </a:gs>
              <a:gs pos="100000">
                <a:srgbClr val="7D0516"/>
              </a:gs>
            </a:gsLst>
            <a:lin ang="5400000" scaled="1"/>
            <a:tileRect/>
          </a:gradFill>
          <a:ln>
            <a:noFill/>
          </a:ln>
          <a:effectLst>
            <a:glow rad="63500">
              <a:srgbClr val="05042E">
                <a:alpha val="40000"/>
              </a:srgbClr>
            </a:glow>
          </a:effectLst>
          <a:scene3d>
            <a:camera prst="orthographicFront">
              <a:rot lat="0" lon="0" rev="0"/>
            </a:camera>
            <a:lightRig rig="threePt" dir="t">
              <a:rot lat="0" lon="0" rev="1200000"/>
            </a:lightRig>
          </a:scene3d>
          <a:sp3d>
            <a:bevelT w="63500" h="25400"/>
          </a:sp3d>
        </c:spPr>
      </c:pivotFmt>
      <c:pivotFmt>
        <c:idx val="3"/>
        <c:spPr>
          <a:solidFill>
            <a:srgbClr val="F49546"/>
          </a:solidFill>
          <a:ln w="38100" cap="rnd">
            <a:noFill/>
            <a:round/>
          </a:ln>
          <a:effectLst>
            <a:glow rad="38100">
              <a:schemeClr val="tx1">
                <a:lumMod val="50000"/>
                <a:lumOff val="50000"/>
                <a:alpha val="40000"/>
              </a:schemeClr>
            </a:glow>
          </a:effectLst>
          <a:scene3d>
            <a:camera prst="orthographicFront">
              <a:rot lat="0" lon="0" rev="0"/>
            </a:camera>
            <a:lightRig rig="threePt" dir="t">
              <a:rot lat="0" lon="0" rev="1200000"/>
            </a:lightRig>
          </a:scene3d>
          <a:sp3d>
            <a:bevelT w="63500" h="25400"/>
          </a:sp3d>
        </c:spPr>
        <c:marker>
          <c:symbol val="circle"/>
          <c:size val="6"/>
          <c:spPr>
            <a:solidFill>
              <a:schemeClr val="tx1"/>
            </a:solidFill>
            <a:ln w="9525">
              <a:noFill/>
              <a:round/>
            </a:ln>
            <a:effectLst>
              <a:glow rad="38100">
                <a:schemeClr val="tx1">
                  <a:lumMod val="50000"/>
                  <a:lumOff val="50000"/>
                  <a:alpha val="40000"/>
                </a:schemeClr>
              </a:glow>
            </a:effectLst>
            <a:scene3d>
              <a:camera prst="orthographicFront">
                <a:rot lat="0" lon="0" rev="0"/>
              </a:camera>
              <a:lightRig rig="threePt" dir="t">
                <a:rot lat="0" lon="0" rev="1200000"/>
              </a:lightRig>
            </a:scene3d>
            <a:sp3d>
              <a:bevelT w="63500" h="25400"/>
            </a:sp3d>
          </c:spPr>
        </c:marker>
      </c:pivotFmt>
      <c:pivotFmt>
        <c:idx val="4"/>
        <c:spPr>
          <a:gradFill flip="none" rotWithShape="1">
            <a:gsLst>
              <a:gs pos="0">
                <a:srgbClr val="7D0516"/>
              </a:gs>
              <a:gs pos="100000">
                <a:srgbClr val="7D0516"/>
              </a:gs>
            </a:gsLst>
            <a:lin ang="5400000" scaled="1"/>
            <a:tileRect/>
          </a:gradFill>
          <a:ln>
            <a:noFill/>
          </a:ln>
          <a:effectLst>
            <a:glow rad="88900">
              <a:schemeClr val="accent1">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7D0516"/>
              </a:gs>
              <a:gs pos="100000">
                <a:srgbClr val="7D0516"/>
              </a:gs>
            </a:gsLst>
            <a:lin ang="5400000" scaled="1"/>
            <a:tileRect/>
          </a:gradFill>
          <a:ln>
            <a:noFill/>
          </a:ln>
          <a:effectLst>
            <a:glow rad="63500">
              <a:srgbClr val="05042E">
                <a:alpha val="40000"/>
              </a:srgbClr>
            </a:glow>
          </a:effectLst>
          <a:scene3d>
            <a:camera prst="orthographicFront">
              <a:rot lat="0" lon="0" rev="0"/>
            </a:camera>
            <a:lightRig rig="threePt" dir="t">
              <a:rot lat="0" lon="0" rev="1200000"/>
            </a:lightRig>
          </a:scene3d>
          <a:sp3d>
            <a:bevelT w="63500" h="25400"/>
          </a:sp3d>
        </c:spPr>
      </c:pivotFmt>
      <c:pivotFmt>
        <c:idx val="6"/>
        <c:spPr>
          <a:solidFill>
            <a:srgbClr val="F49546"/>
          </a:solidFill>
          <a:ln>
            <a:noFill/>
          </a:ln>
          <a:effectLst>
            <a:glow rad="38100">
              <a:schemeClr val="tx1">
                <a:lumMod val="50000"/>
                <a:lumOff val="50000"/>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49546"/>
          </a:solidFill>
          <a:ln w="38100" cap="rnd">
            <a:noFill/>
            <a:round/>
          </a:ln>
          <a:effectLst>
            <a:glow rad="38100">
              <a:schemeClr val="tx1">
                <a:lumMod val="50000"/>
                <a:lumOff val="50000"/>
                <a:alpha val="40000"/>
              </a:schemeClr>
            </a:glow>
          </a:effectLst>
          <a:scene3d>
            <a:camera prst="orthographicFront">
              <a:rot lat="0" lon="0" rev="0"/>
            </a:camera>
            <a:lightRig rig="threePt" dir="t">
              <a:rot lat="0" lon="0" rev="1200000"/>
            </a:lightRig>
          </a:scene3d>
          <a:sp3d>
            <a:bevelT w="63500" h="25400"/>
          </a:sp3d>
        </c:spPr>
      </c:pivotFmt>
      <c:pivotFmt>
        <c:idx val="8"/>
        <c:spPr>
          <a:gradFill flip="none" rotWithShape="1">
            <a:gsLst>
              <a:gs pos="0">
                <a:srgbClr val="7D0516"/>
              </a:gs>
              <a:gs pos="100000">
                <a:srgbClr val="7D0516"/>
              </a:gs>
            </a:gsLst>
            <a:lin ang="5400000" scaled="1"/>
            <a:tileRect/>
          </a:gradFill>
          <a:ln>
            <a:noFill/>
          </a:ln>
          <a:effectLst>
            <a:glow rad="88900">
              <a:schemeClr val="accent1">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7D0516"/>
              </a:gs>
              <a:gs pos="100000">
                <a:srgbClr val="7D0516"/>
              </a:gs>
            </a:gsLst>
            <a:lin ang="5400000" scaled="1"/>
            <a:tileRect/>
          </a:gradFill>
          <a:ln>
            <a:noFill/>
          </a:ln>
          <a:effectLst>
            <a:glow rad="63500">
              <a:srgbClr val="05042E">
                <a:alpha val="40000"/>
              </a:srgbClr>
            </a:glow>
          </a:effectLst>
          <a:scene3d>
            <a:camera prst="orthographicFront">
              <a:rot lat="0" lon="0" rev="0"/>
            </a:camera>
            <a:lightRig rig="threePt" dir="t">
              <a:rot lat="0" lon="0" rev="1200000"/>
            </a:lightRig>
          </a:scene3d>
          <a:sp3d>
            <a:bevelT w="63500" h="25400"/>
          </a:sp3d>
        </c:spPr>
      </c:pivotFmt>
      <c:pivotFmt>
        <c:idx val="10"/>
        <c:spPr>
          <a:solidFill>
            <a:srgbClr val="F49546"/>
          </a:solidFill>
          <a:ln>
            <a:noFill/>
          </a:ln>
          <a:effectLst>
            <a:glow rad="38100">
              <a:schemeClr val="tx1">
                <a:lumMod val="50000"/>
                <a:lumOff val="50000"/>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49546"/>
          </a:solidFill>
          <a:ln w="38100" cap="rnd">
            <a:noFill/>
            <a:round/>
          </a:ln>
          <a:effectLst>
            <a:glow rad="38100">
              <a:schemeClr val="tx1">
                <a:lumMod val="50000"/>
                <a:lumOff val="50000"/>
                <a:alpha val="40000"/>
              </a:schemeClr>
            </a:glo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1211211556829"/>
          <c:y val="0.13083322692771512"/>
          <c:w val="0.68825254280055337"/>
          <c:h val="0.64046676597857699"/>
        </c:manualLayout>
      </c:layout>
      <c:barChart>
        <c:barDir val="bar"/>
        <c:grouping val="clustered"/>
        <c:varyColors val="0"/>
        <c:ser>
          <c:idx val="0"/>
          <c:order val="0"/>
          <c:tx>
            <c:strRef>
              <c:f>karkal_pivot!$B$44:$B$45</c:f>
              <c:strCache>
                <c:ptCount val="1"/>
                <c:pt idx="0">
                  <c:v>Infant Death</c:v>
                </c:pt>
              </c:strCache>
            </c:strRef>
          </c:tx>
          <c:spPr>
            <a:solidFill>
              <a:srgbClr val="F49546"/>
            </a:solidFill>
            <a:ln>
              <a:noFill/>
            </a:ln>
            <a:effectLst>
              <a:glow rad="38100">
                <a:schemeClr val="tx1">
                  <a:lumMod val="50000"/>
                  <a:lumOff val="50000"/>
                  <a:alpha val="40000"/>
                </a:schemeClr>
              </a:glow>
            </a:effectLst>
            <a:scene3d>
              <a:camera prst="orthographicFront">
                <a:rot lat="0" lon="0" rev="0"/>
              </a:camera>
              <a:lightRig rig="threePt" dir="t">
                <a:rot lat="0" lon="0" rev="1200000"/>
              </a:lightRig>
            </a:scene3d>
            <a:sp3d>
              <a:bevelT w="63500" h="25400"/>
            </a:sp3d>
          </c:spPr>
          <c:invertIfNegative val="0"/>
          <c:dPt>
            <c:idx val="1"/>
            <c:invertIfNegative val="0"/>
            <c:bubble3D val="0"/>
            <c:spPr>
              <a:solidFill>
                <a:srgbClr val="F49546"/>
              </a:solidFill>
              <a:ln w="38100" cap="rnd">
                <a:noFill/>
                <a:round/>
              </a:ln>
              <a:effectLst>
                <a:glow rad="38100">
                  <a:schemeClr val="tx1">
                    <a:lumMod val="50000"/>
                    <a:lumOff val="50000"/>
                    <a:alpha val="40000"/>
                  </a:schemeClr>
                </a:glo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2BB1-490A-9D85-C6D3EED36164}"/>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karkal_pivot!$A$46:$A$48</c:f>
              <c:strCache>
                <c:ptCount val="2"/>
                <c:pt idx="0">
                  <c:v>Without hypertensive Disorder</c:v>
                </c:pt>
                <c:pt idx="1">
                  <c:v>With Hypertensive Disorder</c:v>
                </c:pt>
              </c:strCache>
            </c:strRef>
          </c:cat>
          <c:val>
            <c:numRef>
              <c:f>karkal_pivot!$B$46:$B$48</c:f>
              <c:numCache>
                <c:formatCode>General</c:formatCode>
                <c:ptCount val="2"/>
                <c:pt idx="0">
                  <c:v>5</c:v>
                </c:pt>
                <c:pt idx="1">
                  <c:v>1</c:v>
                </c:pt>
              </c:numCache>
            </c:numRef>
          </c:val>
          <c:extLst>
            <c:ext xmlns:c16="http://schemas.microsoft.com/office/drawing/2014/chart" uri="{C3380CC4-5D6E-409C-BE32-E72D297353CC}">
              <c16:uniqueId val="{00000005-2BB1-490A-9D85-C6D3EED36164}"/>
            </c:ext>
          </c:extLst>
        </c:ser>
        <c:ser>
          <c:idx val="1"/>
          <c:order val="1"/>
          <c:tx>
            <c:strRef>
              <c:f>karkal_pivot!$C$44:$C$45</c:f>
              <c:strCache>
                <c:ptCount val="1"/>
                <c:pt idx="0">
                  <c:v>Neonatal Death</c:v>
                </c:pt>
              </c:strCache>
            </c:strRef>
          </c:tx>
          <c:spPr>
            <a:gradFill flip="none" rotWithShape="1">
              <a:gsLst>
                <a:gs pos="0">
                  <a:srgbClr val="7D0516"/>
                </a:gs>
                <a:gs pos="100000">
                  <a:srgbClr val="7D0516"/>
                </a:gs>
              </a:gsLst>
              <a:lin ang="5400000" scaled="1"/>
              <a:tileRect/>
            </a:gradFill>
            <a:ln>
              <a:noFill/>
            </a:ln>
            <a:effectLst>
              <a:glow rad="88900">
                <a:schemeClr val="accent1">
                  <a:alpha val="40000"/>
                </a:schemeClr>
              </a:glo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flip="none" rotWithShape="1">
                <a:gsLst>
                  <a:gs pos="0">
                    <a:srgbClr val="7D0516"/>
                  </a:gs>
                  <a:gs pos="100000">
                    <a:srgbClr val="7D0516"/>
                  </a:gs>
                </a:gsLst>
                <a:lin ang="5400000" scaled="1"/>
                <a:tileRect/>
              </a:gradFill>
              <a:ln>
                <a:noFill/>
              </a:ln>
              <a:effectLst>
                <a:glow rad="63500">
                  <a:srgbClr val="05042E">
                    <a:alpha val="40000"/>
                  </a:srgbClr>
                </a:glo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773-4870-B7A7-C7C9717BB351}"/>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karkal_pivot!$A$46:$A$48</c:f>
              <c:strCache>
                <c:ptCount val="2"/>
                <c:pt idx="0">
                  <c:v>Without hypertensive Disorder</c:v>
                </c:pt>
                <c:pt idx="1">
                  <c:v>With Hypertensive Disorder</c:v>
                </c:pt>
              </c:strCache>
            </c:strRef>
          </c:cat>
          <c:val>
            <c:numRef>
              <c:f>karkal_pivot!$C$46:$C$48</c:f>
              <c:numCache>
                <c:formatCode>General</c:formatCode>
                <c:ptCount val="2"/>
                <c:pt idx="0">
                  <c:v>13</c:v>
                </c:pt>
              </c:numCache>
            </c:numRef>
          </c:val>
          <c:extLst>
            <c:ext xmlns:c16="http://schemas.microsoft.com/office/drawing/2014/chart" uri="{C3380CC4-5D6E-409C-BE32-E72D297353CC}">
              <c16:uniqueId val="{00000005-3B3A-44F7-84CF-DFE33608730C}"/>
            </c:ext>
          </c:extLst>
        </c:ser>
        <c:dLbls>
          <c:dLblPos val="outEnd"/>
          <c:showLegendKey val="0"/>
          <c:showVal val="1"/>
          <c:showCatName val="0"/>
          <c:showSerName val="0"/>
          <c:showPercent val="0"/>
          <c:showBubbleSize val="0"/>
        </c:dLbls>
        <c:gapWidth val="150"/>
        <c:axId val="1103006703"/>
        <c:axId val="1102990383"/>
      </c:barChart>
      <c:catAx>
        <c:axId val="11030067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102990383"/>
        <c:crosses val="autoZero"/>
        <c:auto val="1"/>
        <c:lblAlgn val="ctr"/>
        <c:lblOffset val="100"/>
        <c:noMultiLvlLbl val="0"/>
      </c:catAx>
      <c:valAx>
        <c:axId val="1102990383"/>
        <c:scaling>
          <c:orientation val="minMax"/>
        </c:scaling>
        <c:delete val="1"/>
        <c:axPos val="b"/>
        <c:numFmt formatCode="General" sourceLinked="1"/>
        <c:majorTickMark val="none"/>
        <c:minorTickMark val="none"/>
        <c:tickLblPos val="nextTo"/>
        <c:crossAx val="1103006703"/>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death_copy.xlsx]Kundapura_pivot!High_risk(K2)</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kern="1200" baseline="0">
                <a:solidFill>
                  <a:schemeClr val="tx1"/>
                </a:solidFill>
                <a:latin typeface="Lato Black" panose="020F0A02020204030203" pitchFamily="34" charset="0"/>
              </a:rPr>
              <a:t>HRP &amp; Delivery Type  Analysis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B9EA60"/>
              </a:gs>
              <a:gs pos="100000">
                <a:srgbClr val="88A51F"/>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4CD46C"/>
              </a:gs>
              <a:gs pos="100000">
                <a:srgbClr val="1C8519"/>
              </a:gs>
            </a:gsLst>
            <a:lin ang="5400000" scaled="1"/>
          </a:gradFill>
          <a:ln>
            <a:noFill/>
          </a:ln>
          <a:effectLst/>
          <a:sp3d/>
        </c:spPr>
        <c:dLbl>
          <c:idx val="0"/>
          <c:layout>
            <c:manualLayout>
              <c:x val="2.6246719160104987E-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4CD46C"/>
              </a:gs>
              <a:gs pos="100000">
                <a:srgbClr val="1C8519"/>
              </a:gs>
            </a:gsLst>
            <a:lin ang="5400000" scaled="1"/>
          </a:gradFill>
          <a:ln>
            <a:noFill/>
          </a:ln>
          <a:effectLst/>
          <a:sp3d/>
        </c:spPr>
        <c:dLbl>
          <c:idx val="0"/>
          <c:layout>
            <c:manualLayout>
              <c:x val="2.6246719160104987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B9EA60"/>
              </a:gs>
              <a:gs pos="100000">
                <a:srgbClr val="88A51F"/>
              </a:gs>
            </a:gsLst>
            <a:lin ang="5400000" scaled="1"/>
          </a:gradFill>
          <a:ln>
            <a:noFill/>
          </a:ln>
          <a:effectLst/>
          <a:sp3d/>
        </c:spPr>
        <c:dLbl>
          <c:idx val="0"/>
          <c:layout>
            <c:manualLayout>
              <c:x val="1.3123359580052493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B9EA60"/>
              </a:gs>
              <a:gs pos="100000">
                <a:srgbClr val="88A51F"/>
              </a:gs>
            </a:gsLst>
            <a:lin ang="5400000" scaled="1"/>
          </a:gradFill>
          <a:ln>
            <a:noFill/>
          </a:ln>
          <a:effectLst/>
          <a:sp3d/>
        </c:spPr>
        <c:dLbl>
          <c:idx val="0"/>
          <c:layout>
            <c:manualLayout>
              <c:x val="2.3622047244094488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4CD46C"/>
              </a:gs>
              <a:gs pos="100000">
                <a:srgbClr val="1C8519"/>
              </a:gs>
            </a:gsLst>
            <a:lin ang="5400000" scaled="1"/>
          </a:gradFill>
          <a:ln>
            <a:noFill/>
          </a:ln>
          <a:effectLst/>
          <a:sp3d/>
        </c:spPr>
        <c:dLbl>
          <c:idx val="0"/>
          <c:layout>
            <c:manualLayout>
              <c:x val="2.6246719160104987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rgbClr val="4CD46C"/>
              </a:gs>
              <a:gs pos="100000">
                <a:srgbClr val="1C8519"/>
              </a:gs>
            </a:gsLst>
            <a:lin ang="5400000" scaled="1"/>
          </a:gradFill>
          <a:ln>
            <a:noFill/>
          </a:ln>
          <a:effectLst/>
          <a:sp3d/>
        </c:spPr>
        <c:dLbl>
          <c:idx val="0"/>
          <c:layout>
            <c:manualLayout>
              <c:x val="2.6246719160104987E-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B9EA60"/>
              </a:gs>
              <a:gs pos="100000">
                <a:srgbClr val="88A51F"/>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B9EA60"/>
              </a:gs>
              <a:gs pos="100000">
                <a:srgbClr val="88A51F"/>
              </a:gs>
            </a:gsLst>
            <a:lin ang="5400000" scaled="1"/>
          </a:gradFill>
          <a:ln>
            <a:noFill/>
          </a:ln>
          <a:effectLst/>
          <a:sp3d/>
        </c:spPr>
        <c:dLbl>
          <c:idx val="0"/>
          <c:layout>
            <c:manualLayout>
              <c:x val="1.3123359580052493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rgbClr val="B9EA60"/>
              </a:gs>
              <a:gs pos="100000">
                <a:srgbClr val="88A51F"/>
              </a:gs>
            </a:gsLst>
            <a:lin ang="5400000" scaled="1"/>
          </a:gradFill>
          <a:ln>
            <a:noFill/>
          </a:ln>
          <a:effectLst/>
          <a:sp3d/>
        </c:spPr>
        <c:dLbl>
          <c:idx val="0"/>
          <c:layout>
            <c:manualLayout>
              <c:x val="2.3622047244094488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rgbClr val="4CD46C"/>
              </a:gs>
              <a:gs pos="99000">
                <a:srgbClr val="1C8519"/>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4CD46C"/>
              </a:gs>
              <a:gs pos="99000">
                <a:srgbClr val="1C8519"/>
              </a:gs>
            </a:gsLst>
            <a:lin ang="5400000" scaled="1"/>
          </a:gradFill>
          <a:ln>
            <a:noFill/>
          </a:ln>
          <a:effectLst/>
          <a:sp3d/>
        </c:spPr>
        <c:dLbl>
          <c:idx val="0"/>
          <c:layout>
            <c:manualLayout>
              <c:x val="2.6246719160104987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rgbClr val="4CD46C"/>
              </a:gs>
              <a:gs pos="99000">
                <a:srgbClr val="1C8519"/>
              </a:gs>
            </a:gsLst>
            <a:lin ang="5400000" scaled="1"/>
          </a:gradFill>
          <a:ln>
            <a:noFill/>
          </a:ln>
          <a:effectLst/>
          <a:sp3d/>
        </c:spPr>
        <c:dLbl>
          <c:idx val="0"/>
          <c:layout>
            <c:manualLayout>
              <c:x val="2.6246719160104987E-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rgbClr val="B9EA60"/>
              </a:gs>
              <a:gs pos="100000">
                <a:srgbClr val="88A51F"/>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rgbClr val="B9EA60"/>
              </a:gs>
              <a:gs pos="100000">
                <a:srgbClr val="88A51F"/>
              </a:gs>
            </a:gsLst>
            <a:lin ang="5400000" scaled="1"/>
          </a:gradFill>
          <a:ln>
            <a:noFill/>
          </a:ln>
          <a:effectLst/>
          <a:sp3d/>
        </c:spPr>
        <c:dLbl>
          <c:idx val="0"/>
          <c:layout>
            <c:manualLayout>
              <c:x val="1.3123359580052493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0">
                <a:srgbClr val="B9EA60"/>
              </a:gs>
              <a:gs pos="100000">
                <a:srgbClr val="88A51F"/>
              </a:gs>
            </a:gsLst>
            <a:lin ang="5400000" scaled="1"/>
          </a:gradFill>
          <a:ln>
            <a:noFill/>
          </a:ln>
          <a:effectLst/>
          <a:sp3d/>
        </c:spPr>
        <c:dLbl>
          <c:idx val="0"/>
          <c:layout>
            <c:manualLayout>
              <c:x val="2.3622047244094488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2722575715812043E-2"/>
          <c:y val="9.0801238225570291E-2"/>
          <c:w val="0.86012671479431047"/>
          <c:h val="0.78558955603229652"/>
        </c:manualLayout>
      </c:layout>
      <c:bar3DChart>
        <c:barDir val="col"/>
        <c:grouping val="standard"/>
        <c:varyColors val="0"/>
        <c:ser>
          <c:idx val="0"/>
          <c:order val="0"/>
          <c:tx>
            <c:strRef>
              <c:f>Kundapura_pivot!$B$2:$B$3</c:f>
              <c:strCache>
                <c:ptCount val="1"/>
                <c:pt idx="0">
                  <c:v>LSCS</c:v>
                </c:pt>
              </c:strCache>
            </c:strRef>
          </c:tx>
          <c:spPr>
            <a:gradFill>
              <a:gsLst>
                <a:gs pos="0">
                  <a:srgbClr val="4CD46C"/>
                </a:gs>
                <a:gs pos="99000">
                  <a:srgbClr val="1C8519"/>
                </a:gs>
              </a:gsLst>
              <a:lin ang="5400000" scaled="1"/>
            </a:gradFill>
            <a:ln>
              <a:noFill/>
            </a:ln>
            <a:effectLst/>
            <a:sp3d/>
          </c:spPr>
          <c:invertIfNegative val="0"/>
          <c:dPt>
            <c:idx val="0"/>
            <c:invertIfNegative val="0"/>
            <c:bubble3D val="0"/>
            <c:spPr>
              <a:gradFill>
                <a:gsLst>
                  <a:gs pos="0">
                    <a:srgbClr val="4CD46C"/>
                  </a:gs>
                  <a:gs pos="99000">
                    <a:srgbClr val="1C8519"/>
                  </a:gs>
                </a:gsLst>
                <a:lin ang="5400000" scaled="1"/>
              </a:gradFill>
              <a:ln>
                <a:noFill/>
              </a:ln>
              <a:effectLst/>
              <a:sp3d/>
            </c:spPr>
            <c:extLst>
              <c:ext xmlns:c16="http://schemas.microsoft.com/office/drawing/2014/chart" uri="{C3380CC4-5D6E-409C-BE32-E72D297353CC}">
                <c16:uniqueId val="{00000001-1C56-48A2-A402-48C4C0A2D376}"/>
              </c:ext>
            </c:extLst>
          </c:dPt>
          <c:dPt>
            <c:idx val="1"/>
            <c:invertIfNegative val="0"/>
            <c:bubble3D val="0"/>
            <c:spPr>
              <a:gradFill>
                <a:gsLst>
                  <a:gs pos="0">
                    <a:srgbClr val="4CD46C"/>
                  </a:gs>
                  <a:gs pos="99000">
                    <a:srgbClr val="1C8519"/>
                  </a:gs>
                </a:gsLst>
                <a:lin ang="5400000" scaled="1"/>
              </a:gradFill>
              <a:ln>
                <a:noFill/>
              </a:ln>
              <a:effectLst/>
              <a:sp3d/>
            </c:spPr>
            <c:extLst>
              <c:ext xmlns:c16="http://schemas.microsoft.com/office/drawing/2014/chart" uri="{C3380CC4-5D6E-409C-BE32-E72D297353CC}">
                <c16:uniqueId val="{00000003-1C56-48A2-A402-48C4C0A2D376}"/>
              </c:ext>
            </c:extLst>
          </c:dPt>
          <c:dLbls>
            <c:dLbl>
              <c:idx val="0"/>
              <c:layout>
                <c:manualLayout>
                  <c:x val="2.6246719160104987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56-48A2-A402-48C4C0A2D376}"/>
                </c:ext>
              </c:extLst>
            </c:dLbl>
            <c:dLbl>
              <c:idx val="1"/>
              <c:layout>
                <c:manualLayout>
                  <c:x val="2.6246719160104987E-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56-48A2-A402-48C4C0A2D376}"/>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Kundapura_pivot!$A$4:$A$6</c:f>
              <c:strCache>
                <c:ptCount val="2"/>
                <c:pt idx="0">
                  <c:v>Without High Risk pregnancy</c:v>
                </c:pt>
                <c:pt idx="1">
                  <c:v>With Hig Risk Pregnancy</c:v>
                </c:pt>
              </c:strCache>
            </c:strRef>
          </c:cat>
          <c:val>
            <c:numRef>
              <c:f>Kundapura_pivot!$B$4:$B$6</c:f>
              <c:numCache>
                <c:formatCode>General</c:formatCode>
                <c:ptCount val="2"/>
                <c:pt idx="0">
                  <c:v>6</c:v>
                </c:pt>
                <c:pt idx="1">
                  <c:v>17</c:v>
                </c:pt>
              </c:numCache>
            </c:numRef>
          </c:val>
          <c:extLst>
            <c:ext xmlns:c16="http://schemas.microsoft.com/office/drawing/2014/chart" uri="{C3380CC4-5D6E-409C-BE32-E72D297353CC}">
              <c16:uniqueId val="{00000004-1C56-48A2-A402-48C4C0A2D376}"/>
            </c:ext>
          </c:extLst>
        </c:ser>
        <c:ser>
          <c:idx val="1"/>
          <c:order val="1"/>
          <c:tx>
            <c:strRef>
              <c:f>Kundapura_pivot!$C$2:$C$3</c:f>
              <c:strCache>
                <c:ptCount val="1"/>
                <c:pt idx="0">
                  <c:v>Normal</c:v>
                </c:pt>
              </c:strCache>
            </c:strRef>
          </c:tx>
          <c:spPr>
            <a:gradFill>
              <a:gsLst>
                <a:gs pos="0">
                  <a:srgbClr val="B9EA60"/>
                </a:gs>
                <a:gs pos="100000">
                  <a:srgbClr val="88A51F"/>
                </a:gs>
              </a:gsLst>
              <a:lin ang="5400000" scaled="1"/>
            </a:gradFill>
            <a:ln>
              <a:noFill/>
            </a:ln>
            <a:effectLst/>
            <a:sp3d/>
          </c:spPr>
          <c:invertIfNegative val="0"/>
          <c:dPt>
            <c:idx val="0"/>
            <c:invertIfNegative val="0"/>
            <c:bubble3D val="0"/>
            <c:spPr>
              <a:gradFill>
                <a:gsLst>
                  <a:gs pos="0">
                    <a:srgbClr val="B9EA60"/>
                  </a:gs>
                  <a:gs pos="100000">
                    <a:srgbClr val="88A51F"/>
                  </a:gs>
                </a:gsLst>
                <a:lin ang="5400000" scaled="1"/>
              </a:gradFill>
              <a:ln>
                <a:noFill/>
              </a:ln>
              <a:effectLst/>
              <a:sp3d/>
            </c:spPr>
            <c:extLst>
              <c:ext xmlns:c16="http://schemas.microsoft.com/office/drawing/2014/chart" uri="{C3380CC4-5D6E-409C-BE32-E72D297353CC}">
                <c16:uniqueId val="{00000005-AD7B-44EC-8A19-4CE28AB286DB}"/>
              </c:ext>
            </c:extLst>
          </c:dPt>
          <c:dPt>
            <c:idx val="1"/>
            <c:invertIfNegative val="0"/>
            <c:bubble3D val="0"/>
            <c:spPr>
              <a:gradFill>
                <a:gsLst>
                  <a:gs pos="0">
                    <a:srgbClr val="B9EA60"/>
                  </a:gs>
                  <a:gs pos="100000">
                    <a:srgbClr val="88A51F"/>
                  </a:gs>
                </a:gsLst>
                <a:lin ang="5400000" scaled="1"/>
              </a:gradFill>
              <a:ln>
                <a:noFill/>
              </a:ln>
              <a:effectLst/>
              <a:sp3d/>
            </c:spPr>
            <c:extLst>
              <c:ext xmlns:c16="http://schemas.microsoft.com/office/drawing/2014/chart" uri="{C3380CC4-5D6E-409C-BE32-E72D297353CC}">
                <c16:uniqueId val="{00000007-AD7B-44EC-8A19-4CE28AB286DB}"/>
              </c:ext>
            </c:extLst>
          </c:dPt>
          <c:dLbls>
            <c:dLbl>
              <c:idx val="0"/>
              <c:layout>
                <c:manualLayout>
                  <c:x val="1.3123359580052493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7B-44EC-8A19-4CE28AB286DB}"/>
                </c:ext>
              </c:extLst>
            </c:dLbl>
            <c:dLbl>
              <c:idx val="1"/>
              <c:layout>
                <c:manualLayout>
                  <c:x val="2.3622047244094488E-2"/>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D7B-44EC-8A19-4CE28AB286DB}"/>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Kundapura_pivot!$A$4:$A$6</c:f>
              <c:strCache>
                <c:ptCount val="2"/>
                <c:pt idx="0">
                  <c:v>Without High Risk pregnancy</c:v>
                </c:pt>
                <c:pt idx="1">
                  <c:v>With Hig Risk Pregnancy</c:v>
                </c:pt>
              </c:strCache>
            </c:strRef>
          </c:cat>
          <c:val>
            <c:numRef>
              <c:f>Kundapura_pivot!$C$4:$C$6</c:f>
              <c:numCache>
                <c:formatCode>General</c:formatCode>
                <c:ptCount val="2"/>
                <c:pt idx="0">
                  <c:v>3</c:v>
                </c:pt>
                <c:pt idx="1">
                  <c:v>5</c:v>
                </c:pt>
              </c:numCache>
            </c:numRef>
          </c:val>
          <c:extLst>
            <c:ext xmlns:c16="http://schemas.microsoft.com/office/drawing/2014/chart" uri="{C3380CC4-5D6E-409C-BE32-E72D297353CC}">
              <c16:uniqueId val="{00000008-2421-4CA0-8970-8783F14376D6}"/>
            </c:ext>
          </c:extLst>
        </c:ser>
        <c:dLbls>
          <c:showLegendKey val="0"/>
          <c:showVal val="1"/>
          <c:showCatName val="0"/>
          <c:showSerName val="0"/>
          <c:showPercent val="0"/>
          <c:showBubbleSize val="0"/>
        </c:dLbls>
        <c:gapWidth val="150"/>
        <c:shape val="box"/>
        <c:axId val="835033776"/>
        <c:axId val="835029456"/>
        <c:axId val="290445200"/>
      </c:bar3DChart>
      <c:catAx>
        <c:axId val="835033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835029456"/>
        <c:crosses val="autoZero"/>
        <c:auto val="1"/>
        <c:lblAlgn val="ctr"/>
        <c:lblOffset val="100"/>
        <c:noMultiLvlLbl val="0"/>
      </c:catAx>
      <c:valAx>
        <c:axId val="835029456"/>
        <c:scaling>
          <c:orientation val="minMax"/>
        </c:scaling>
        <c:delete val="1"/>
        <c:axPos val="l"/>
        <c:numFmt formatCode="General" sourceLinked="1"/>
        <c:majorTickMark val="none"/>
        <c:minorTickMark val="none"/>
        <c:tickLblPos val="nextTo"/>
        <c:crossAx val="835033776"/>
        <c:crosses val="autoZero"/>
        <c:crossBetween val="between"/>
      </c:valAx>
      <c:serAx>
        <c:axId val="2904452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835029456"/>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death_copy.xlsx]Kundapura_pivot!Hypertension(K1)</c:name>
    <c:fmtId val="16"/>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none" strike="noStrike" kern="1200" baseline="0">
                <a:solidFill>
                  <a:schemeClr val="tx1"/>
                </a:solidFill>
                <a:latin typeface="Lato Black" panose="020F0A02020204030203" pitchFamily="34" charset="0"/>
              </a:rPr>
              <a:t>Cause of Infant &amp; Neonatal Deaths due to Hypertensive Disorders</a:t>
            </a:r>
          </a:p>
        </c:rich>
      </c:tx>
      <c:layout>
        <c:manualLayout>
          <c:xMode val="edge"/>
          <c:yMode val="edge"/>
          <c:x val="0.17406433861194859"/>
          <c:y val="7.246376811594203E-3"/>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5555555555555532E-2"/>
              <c:y val="4.629629629629629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5555555555555532E-2"/>
              <c:y val="4.629629629629629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D051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D051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304832713754646E-2"/>
              <c:y val="-9.057971014492753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4954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498266915108894"/>
          <c:y val="0.11637681159420292"/>
          <c:w val="0.58910322083345534"/>
          <c:h val="0.63670261326029898"/>
        </c:manualLayout>
      </c:layout>
      <c:barChart>
        <c:barDir val="bar"/>
        <c:grouping val="clustered"/>
        <c:varyColors val="0"/>
        <c:ser>
          <c:idx val="0"/>
          <c:order val="0"/>
          <c:tx>
            <c:strRef>
              <c:f>Kundapura_pivot!$B$37:$B$38</c:f>
              <c:strCache>
                <c:ptCount val="1"/>
                <c:pt idx="0">
                  <c:v>Infant Death</c:v>
                </c:pt>
              </c:strCache>
            </c:strRef>
          </c:tx>
          <c:spPr>
            <a:solidFill>
              <a:srgbClr val="F4954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Kundapura_pivot!$A$39:$A$41</c:f>
              <c:strCache>
                <c:ptCount val="2"/>
                <c:pt idx="0">
                  <c:v>Without hypertensive Disorder</c:v>
                </c:pt>
                <c:pt idx="1">
                  <c:v>With hypertensive Disorder</c:v>
                </c:pt>
              </c:strCache>
            </c:strRef>
          </c:cat>
          <c:val>
            <c:numRef>
              <c:f>Kundapura_pivot!$B$39:$B$41</c:f>
              <c:numCache>
                <c:formatCode>General</c:formatCode>
                <c:ptCount val="2"/>
                <c:pt idx="0">
                  <c:v>12</c:v>
                </c:pt>
              </c:numCache>
            </c:numRef>
          </c:val>
          <c:extLst>
            <c:ext xmlns:c16="http://schemas.microsoft.com/office/drawing/2014/chart" uri="{C3380CC4-5D6E-409C-BE32-E72D297353CC}">
              <c16:uniqueId val="{00000002-CE55-4A7F-8162-4C9F5EDA5853}"/>
            </c:ext>
          </c:extLst>
        </c:ser>
        <c:ser>
          <c:idx val="1"/>
          <c:order val="1"/>
          <c:tx>
            <c:strRef>
              <c:f>Kundapura_pivot!$C$37:$C$38</c:f>
              <c:strCache>
                <c:ptCount val="1"/>
                <c:pt idx="0">
                  <c:v>Neonatal Death</c:v>
                </c:pt>
              </c:strCache>
            </c:strRef>
          </c:tx>
          <c:spPr>
            <a:solidFill>
              <a:srgbClr val="7D051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7D051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EFEF-421A-B0EE-31F1955C5B99}"/>
              </c:ext>
            </c:extLst>
          </c:dPt>
          <c:dLbls>
            <c:dLbl>
              <c:idx val="0"/>
              <c:layout>
                <c:manualLayout>
                  <c:x val="-2.2304832713754646E-2"/>
                  <c:y val="-9.057971014492753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EF-421A-B0EE-31F1955C5B9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Kundapura_pivot!$A$39:$A$41</c:f>
              <c:strCache>
                <c:ptCount val="2"/>
                <c:pt idx="0">
                  <c:v>Without hypertensive Disorder</c:v>
                </c:pt>
                <c:pt idx="1">
                  <c:v>With hypertensive Disorder</c:v>
                </c:pt>
              </c:strCache>
            </c:strRef>
          </c:cat>
          <c:val>
            <c:numRef>
              <c:f>Kundapura_pivot!$C$39:$C$41</c:f>
              <c:numCache>
                <c:formatCode>General</c:formatCode>
                <c:ptCount val="2"/>
                <c:pt idx="0">
                  <c:v>18</c:v>
                </c:pt>
                <c:pt idx="1">
                  <c:v>1</c:v>
                </c:pt>
              </c:numCache>
            </c:numRef>
          </c:val>
          <c:extLst>
            <c:ext xmlns:c16="http://schemas.microsoft.com/office/drawing/2014/chart" uri="{C3380CC4-5D6E-409C-BE32-E72D297353CC}">
              <c16:uniqueId val="{00000003-69FC-4002-AC83-785D835F3236}"/>
            </c:ext>
          </c:extLst>
        </c:ser>
        <c:dLbls>
          <c:dLblPos val="outEnd"/>
          <c:showLegendKey val="0"/>
          <c:showVal val="1"/>
          <c:showCatName val="0"/>
          <c:showSerName val="0"/>
          <c:showPercent val="0"/>
          <c:showBubbleSize val="0"/>
        </c:dLbls>
        <c:gapWidth val="115"/>
        <c:overlap val="-20"/>
        <c:axId val="803558944"/>
        <c:axId val="803561344"/>
      </c:barChart>
      <c:catAx>
        <c:axId val="8035589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803561344"/>
        <c:crosses val="autoZero"/>
        <c:auto val="1"/>
        <c:lblAlgn val="ctr"/>
        <c:lblOffset val="100"/>
        <c:noMultiLvlLbl val="0"/>
      </c:catAx>
      <c:valAx>
        <c:axId val="803561344"/>
        <c:scaling>
          <c:orientation val="minMax"/>
          <c:max val="18"/>
        </c:scaling>
        <c:delete val="1"/>
        <c:axPos val="b"/>
        <c:numFmt formatCode="General" sourceLinked="1"/>
        <c:majorTickMark val="none"/>
        <c:minorTickMark val="none"/>
        <c:tickLblPos val="nextTo"/>
        <c:crossAx val="803558944"/>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death_copy.xlsx]Kundapura_pivot!HR_death(K2)</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0" i="0" u="none" strike="noStrike" kern="1200" spc="0" baseline="0">
                <a:solidFill>
                  <a:schemeClr val="tx1"/>
                </a:solidFill>
                <a:latin typeface="Lato Black" panose="020F0A02020204030203" pitchFamily="34" charset="0"/>
              </a:rPr>
              <a:t>Infant &amp; Neonatal Deaths due to High-Risk Pregnancy </a:t>
            </a:r>
          </a:p>
        </c:rich>
      </c:tx>
      <c:layout>
        <c:manualLayout>
          <c:xMode val="edge"/>
          <c:yMode val="edge"/>
          <c:x val="0.20470283680293386"/>
          <c:y val="1.851848681958233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FFAFFF"/>
              </a:gs>
              <a:gs pos="60829">
                <a:srgbClr val="8F008F"/>
              </a:gs>
              <a:gs pos="100000">
                <a:srgbClr val="FF15FF"/>
              </a:gs>
            </a:gsLst>
            <a:lin ang="162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F200F2"/>
              </a:gs>
              <a:gs pos="60829">
                <a:srgbClr val="8F008F"/>
              </a:gs>
              <a:gs pos="100000">
                <a:srgbClr val="500050"/>
              </a:gs>
            </a:gsLst>
            <a:lin ang="162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200F2"/>
              </a:gs>
              <a:gs pos="60829">
                <a:srgbClr val="8F008F"/>
              </a:gs>
              <a:gs pos="100000">
                <a:srgbClr val="500050"/>
              </a:gs>
            </a:gsLst>
            <a:lin ang="16200000" scaled="1"/>
          </a:gradFill>
          <a:ln>
            <a:noFill/>
          </a:ln>
          <a:effectLst/>
          <a:sp3d/>
        </c:spPr>
        <c:dLbl>
          <c:idx val="0"/>
          <c:layout>
            <c:manualLayout>
              <c:x val="0"/>
              <c:y val="-0.12280803441236512"/>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r>
                  <a:rPr lang="en-US"/>
                  <a:t>Neonatal Death</a:t>
                </a:r>
              </a:p>
              <a:p>
                <a:pPr>
                  <a:defRPr sz="900" b="0" i="0" u="none" strike="noStrike" kern="1200" baseline="0">
                    <a:solidFill>
                      <a:sysClr val="windowText" lastClr="000000"/>
                    </a:solidFill>
                    <a:latin typeface="Lato Black" panose="020F0A02020204030203" pitchFamily="34" charset="0"/>
                    <a:ea typeface="+mn-ea"/>
                    <a:cs typeface="+mn-cs"/>
                  </a:defRPr>
                </a:pPr>
                <a:fld id="{8E04D315-A8DE-414C-A68A-7F4321F44F50}" type="VALUE">
                  <a:rPr lang="en-US"/>
                  <a:pPr>
                    <a:defRPr sz="90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a:gsLst>
              <a:gs pos="0">
                <a:srgbClr val="FFAFFF"/>
              </a:gs>
              <a:gs pos="60829">
                <a:srgbClr val="8F008F"/>
              </a:gs>
              <a:gs pos="100000">
                <a:srgbClr val="FF15FF"/>
              </a:gs>
            </a:gsLst>
            <a:lin ang="16200000" scaled="1"/>
          </a:gradFill>
          <a:ln>
            <a:noFill/>
          </a:ln>
          <a:effectLst/>
          <a:sp3d/>
        </c:spPr>
        <c:dLbl>
          <c:idx val="0"/>
          <c:layout>
            <c:manualLayout>
              <c:x val="3.3333333333333333E-2"/>
              <c:y val="1.38888888888888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sz="900" b="0" i="0" u="none" strike="noStrike" kern="1200" baseline="0">
                    <a:solidFill>
                      <a:sysClr val="windowText" lastClr="000000"/>
                    </a:solidFill>
                    <a:latin typeface="Lato Black" panose="020F0A02020204030203" pitchFamily="34" charset="0"/>
                    <a:ea typeface="+mn-ea"/>
                    <a:cs typeface="+mn-cs"/>
                  </a:defRPr>
                </a:pPr>
                <a:fld id="{AFA61AD1-F318-44DA-9256-D8BEB824450E}" type="VALUE">
                  <a:rPr lang="en-US"/>
                  <a:pPr>
                    <a:defRPr sz="90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a:gsLst>
              <a:gs pos="0">
                <a:srgbClr val="F200F2"/>
              </a:gs>
              <a:gs pos="60829">
                <a:srgbClr val="8F008F"/>
              </a:gs>
              <a:gs pos="100000">
                <a:srgbClr val="500050"/>
              </a:gs>
            </a:gsLst>
            <a:lin ang="16200000" scaled="1"/>
          </a:gradFill>
          <a:ln>
            <a:noFill/>
          </a:ln>
          <a:effectLst/>
          <a:sp3d/>
        </c:spPr>
        <c:dLbl>
          <c:idx val="0"/>
          <c:layout>
            <c:manualLayout>
              <c:x val="3.0555555555555555E-2"/>
              <c:y val="-2.3148148148148234E-2"/>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r>
                  <a:rPr lang="en-US"/>
                  <a:t>Neonatal Death</a:t>
                </a:r>
              </a:p>
              <a:p>
                <a:pPr>
                  <a:defRPr sz="900" b="0" i="0" u="none" strike="noStrike" kern="1200" baseline="0">
                    <a:solidFill>
                      <a:sysClr val="windowText" lastClr="000000"/>
                    </a:solidFill>
                    <a:latin typeface="Lato Black" panose="020F0A02020204030203" pitchFamily="34" charset="0"/>
                    <a:ea typeface="+mn-ea"/>
                    <a:cs typeface="+mn-cs"/>
                  </a:defRPr>
                </a:pPr>
                <a:fld id="{BDBC405D-A31B-476B-92A8-DD8C027B258A}" type="VALUE">
                  <a:rPr lang="en-US"/>
                  <a:pPr>
                    <a:defRPr sz="90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a:gsLst>
              <a:gs pos="0">
                <a:srgbClr val="FFAFFF"/>
              </a:gs>
              <a:gs pos="60829">
                <a:srgbClr val="8F008F"/>
              </a:gs>
              <a:gs pos="100000">
                <a:srgbClr val="FF15FF"/>
              </a:gs>
            </a:gsLst>
            <a:lin ang="16200000" scaled="1"/>
          </a:gradFill>
          <a:ln>
            <a:noFill/>
          </a:ln>
          <a:effectLst/>
          <a:sp3d/>
        </c:spPr>
        <c:dLbl>
          <c:idx val="0"/>
          <c:layout>
            <c:manualLayout>
              <c:x val="3.0555555555555555E-2"/>
              <c:y val="1.38888888888888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sz="900" b="0" i="0" u="none" strike="noStrike" kern="1200" baseline="0">
                    <a:solidFill>
                      <a:sysClr val="windowText" lastClr="000000"/>
                    </a:solidFill>
                    <a:latin typeface="Lato Black" panose="020F0A02020204030203" pitchFamily="34" charset="0"/>
                    <a:ea typeface="+mn-ea"/>
                    <a:cs typeface="+mn-cs"/>
                  </a:defRPr>
                </a:pPr>
                <a:fld id="{E9D45894-C53B-47C2-8735-BEE792B702EF}" type="VALUE">
                  <a:rPr lang="en-US"/>
                  <a:pPr>
                    <a:defRPr sz="90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a:gsLst>
              <a:gs pos="0">
                <a:srgbClr val="FFAFFF"/>
              </a:gs>
              <a:gs pos="60829">
                <a:srgbClr val="8F008F"/>
              </a:gs>
              <a:gs pos="100000">
                <a:srgbClr val="FF15FF"/>
              </a:gs>
            </a:gsLst>
            <a:lin ang="162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FFAFFF"/>
              </a:gs>
              <a:gs pos="60829">
                <a:srgbClr val="8F008F"/>
              </a:gs>
              <a:gs pos="100000">
                <a:srgbClr val="FF15FF"/>
              </a:gs>
            </a:gsLst>
            <a:lin ang="16200000" scaled="1"/>
          </a:gradFill>
          <a:ln>
            <a:noFill/>
          </a:ln>
          <a:effectLst/>
          <a:sp3d/>
        </c:spPr>
        <c:dLbl>
          <c:idx val="0"/>
          <c:layout>
            <c:manualLayout>
              <c:x val="3.0555555555555555E-2"/>
              <c:y val="1.38888888888888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sz="900" b="0" i="0" u="none" strike="noStrike" kern="1200" baseline="0">
                    <a:solidFill>
                      <a:sysClr val="windowText" lastClr="000000"/>
                    </a:solidFill>
                    <a:latin typeface="Lato Black" panose="020F0A02020204030203" pitchFamily="34" charset="0"/>
                    <a:ea typeface="+mn-ea"/>
                    <a:cs typeface="+mn-cs"/>
                  </a:defRPr>
                </a:pPr>
                <a:fld id="{E9D45894-C53B-47C2-8735-BEE792B702EF}" type="VALUE">
                  <a:rPr lang="en-US"/>
                  <a:pPr>
                    <a:defRPr sz="90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a:gsLst>
              <a:gs pos="0">
                <a:srgbClr val="FFAFFF"/>
              </a:gs>
              <a:gs pos="60829">
                <a:srgbClr val="8F008F"/>
              </a:gs>
              <a:gs pos="100000">
                <a:srgbClr val="FF15FF"/>
              </a:gs>
            </a:gsLst>
            <a:lin ang="16200000" scaled="1"/>
          </a:gradFill>
          <a:ln>
            <a:noFill/>
          </a:ln>
          <a:effectLst/>
          <a:sp3d/>
        </c:spPr>
        <c:dLbl>
          <c:idx val="0"/>
          <c:layout>
            <c:manualLayout>
              <c:x val="3.3333333333333333E-2"/>
              <c:y val="1.38888888888888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sz="900" b="0" i="0" u="none" strike="noStrike" kern="1200" baseline="0">
                    <a:solidFill>
                      <a:sysClr val="windowText" lastClr="000000"/>
                    </a:solidFill>
                    <a:latin typeface="Lato Black" panose="020F0A02020204030203" pitchFamily="34" charset="0"/>
                    <a:ea typeface="+mn-ea"/>
                    <a:cs typeface="+mn-cs"/>
                  </a:defRPr>
                </a:pPr>
                <a:fld id="{AFA61AD1-F318-44DA-9256-D8BEB824450E}" type="VALUE">
                  <a:rPr lang="en-US"/>
                  <a:pPr>
                    <a:defRPr sz="90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gradFill>
            <a:gsLst>
              <a:gs pos="0">
                <a:srgbClr val="F200F2"/>
              </a:gs>
              <a:gs pos="60829">
                <a:srgbClr val="8F008F"/>
              </a:gs>
              <a:gs pos="100000">
                <a:srgbClr val="500050"/>
              </a:gs>
            </a:gsLst>
            <a:lin ang="162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F200F2"/>
              </a:gs>
              <a:gs pos="60829">
                <a:srgbClr val="8F008F"/>
              </a:gs>
              <a:gs pos="100000">
                <a:srgbClr val="500050"/>
              </a:gs>
            </a:gsLst>
            <a:lin ang="16200000" scaled="1"/>
          </a:gradFill>
          <a:ln>
            <a:noFill/>
          </a:ln>
          <a:effectLst/>
          <a:sp3d/>
        </c:spPr>
        <c:dLbl>
          <c:idx val="0"/>
          <c:layout>
            <c:manualLayout>
              <c:x val="3.0555555555555555E-2"/>
              <c:y val="-2.3148148148148234E-2"/>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r>
                  <a:rPr lang="en-US"/>
                  <a:t>Neonatal Death</a:t>
                </a:r>
              </a:p>
              <a:p>
                <a:pPr>
                  <a:defRPr sz="900" b="0" i="0" u="none" strike="noStrike" kern="1200" baseline="0">
                    <a:solidFill>
                      <a:sysClr val="windowText" lastClr="000000"/>
                    </a:solidFill>
                    <a:latin typeface="Lato Black" panose="020F0A02020204030203" pitchFamily="34" charset="0"/>
                    <a:ea typeface="+mn-ea"/>
                    <a:cs typeface="+mn-cs"/>
                  </a:defRPr>
                </a:pPr>
                <a:fld id="{BDBC405D-A31B-476B-92A8-DD8C027B258A}" type="VALUE">
                  <a:rPr lang="en-US"/>
                  <a:pPr>
                    <a:defRPr sz="90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a:gsLst>
              <a:gs pos="0">
                <a:srgbClr val="F200F2"/>
              </a:gs>
              <a:gs pos="60829">
                <a:srgbClr val="8F008F"/>
              </a:gs>
              <a:gs pos="100000">
                <a:srgbClr val="500050"/>
              </a:gs>
            </a:gsLst>
            <a:lin ang="16200000" scaled="1"/>
          </a:gradFill>
          <a:ln>
            <a:noFill/>
          </a:ln>
          <a:effectLst/>
          <a:sp3d/>
        </c:spPr>
        <c:dLbl>
          <c:idx val="0"/>
          <c:layout>
            <c:manualLayout>
              <c:x val="0"/>
              <c:y val="-0.12280803441236512"/>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r>
                  <a:rPr lang="en-US"/>
                  <a:t>Neonatal Death</a:t>
                </a:r>
              </a:p>
              <a:p>
                <a:pPr>
                  <a:defRPr sz="900" b="0" i="0" u="none" strike="noStrike" kern="1200" baseline="0">
                    <a:solidFill>
                      <a:sysClr val="windowText" lastClr="000000"/>
                    </a:solidFill>
                    <a:latin typeface="Lato Black" panose="020F0A02020204030203" pitchFamily="34" charset="0"/>
                    <a:ea typeface="+mn-ea"/>
                    <a:cs typeface="+mn-cs"/>
                  </a:defRPr>
                </a:pPr>
                <a:fld id="{8E04D315-A8DE-414C-A68A-7F4321F44F50}" type="VALUE">
                  <a:rPr lang="en-US"/>
                  <a:pPr>
                    <a:defRPr sz="90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a:gsLst>
              <a:gs pos="0">
                <a:srgbClr val="FFAFFF"/>
              </a:gs>
              <a:gs pos="60829">
                <a:srgbClr val="8F008F"/>
              </a:gs>
              <a:gs pos="100000">
                <a:srgbClr val="FF15FF"/>
              </a:gs>
            </a:gsLst>
            <a:lin ang="162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FFAFFF"/>
              </a:gs>
              <a:gs pos="60829">
                <a:srgbClr val="8F008F"/>
              </a:gs>
              <a:gs pos="100000">
                <a:srgbClr val="FF15FF"/>
              </a:gs>
            </a:gsLst>
            <a:lin ang="16200000" scaled="1"/>
          </a:gradFill>
          <a:ln>
            <a:noFill/>
          </a:ln>
          <a:effectLst/>
          <a:sp3d/>
        </c:spPr>
        <c:dLbl>
          <c:idx val="0"/>
          <c:layout>
            <c:manualLayout>
              <c:x val="3.0555555555555555E-2"/>
              <c:y val="1.3888888888888888E-2"/>
            </c:manualLayout>
          </c:layout>
          <c:tx>
            <c:rich>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r>
                  <a:rPr lang="en-US" sz="1000"/>
                  <a:t>Infant Death</a:t>
                </a:r>
              </a:p>
              <a:p>
                <a:pPr>
                  <a:defRPr sz="1050">
                    <a:solidFill>
                      <a:sysClr val="windowText" lastClr="000000"/>
                    </a:solidFill>
                    <a:latin typeface="Lato Black" panose="020F0A02020204030203" pitchFamily="34" charset="0"/>
                  </a:defRPr>
                </a:pPr>
                <a:fld id="{E9D45894-C53B-47C2-8735-BEE792B702EF}" type="VALUE">
                  <a:rPr lang="en-US" sz="1000"/>
                  <a:pPr>
                    <a:defRPr sz="1050">
                      <a:solidFill>
                        <a:sysClr val="windowText" lastClr="000000"/>
                      </a:solidFill>
                      <a:latin typeface="Lato Black" panose="020F0A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gradFill>
            <a:gsLst>
              <a:gs pos="0">
                <a:srgbClr val="FFAFFF"/>
              </a:gs>
              <a:gs pos="60829">
                <a:srgbClr val="8F008F"/>
              </a:gs>
              <a:gs pos="100000">
                <a:srgbClr val="FF15FF"/>
              </a:gs>
            </a:gsLst>
            <a:lin ang="16200000" scaled="1"/>
          </a:gradFill>
          <a:ln>
            <a:noFill/>
          </a:ln>
          <a:effectLst/>
          <a:sp3d/>
        </c:spPr>
        <c:dLbl>
          <c:idx val="0"/>
          <c:layout>
            <c:manualLayout>
              <c:x val="3.3333333333333333E-2"/>
              <c:y val="1.3888888888888846E-2"/>
            </c:manualLayout>
          </c:layout>
          <c:tx>
            <c:rich>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r>
                  <a:rPr lang="en-US" sz="1000"/>
                  <a:t>Infant Death</a:t>
                </a:r>
              </a:p>
              <a:p>
                <a:pPr>
                  <a:defRPr sz="1050">
                    <a:solidFill>
                      <a:sysClr val="windowText" lastClr="000000"/>
                    </a:solidFill>
                    <a:latin typeface="Lato Black" panose="020F0A02020204030203" pitchFamily="34" charset="0"/>
                  </a:defRPr>
                </a:pPr>
                <a:fld id="{AFA61AD1-F318-44DA-9256-D8BEB824450E}" type="VALUE">
                  <a:rPr lang="en-US" sz="1000"/>
                  <a:pPr>
                    <a:defRPr sz="1050">
                      <a:solidFill>
                        <a:sysClr val="windowText" lastClr="000000"/>
                      </a:solidFill>
                      <a:latin typeface="Lato Black" panose="020F0A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gradFill>
            <a:gsLst>
              <a:gs pos="0">
                <a:srgbClr val="F200F2"/>
              </a:gs>
              <a:gs pos="100000">
                <a:srgbClr val="8F008F"/>
              </a:gs>
              <a:gs pos="100000">
                <a:srgbClr val="500050"/>
              </a:gs>
            </a:gsLst>
            <a:lin ang="162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rgbClr val="F200F2"/>
              </a:gs>
              <a:gs pos="100000">
                <a:srgbClr val="8F008F"/>
              </a:gs>
              <a:gs pos="100000">
                <a:srgbClr val="500050"/>
              </a:gs>
            </a:gsLst>
            <a:lin ang="16200000" scaled="1"/>
          </a:gradFill>
          <a:ln>
            <a:noFill/>
          </a:ln>
          <a:effectLst/>
          <a:sp3d/>
        </c:spPr>
        <c:dLbl>
          <c:idx val="0"/>
          <c:layout>
            <c:manualLayout>
              <c:x val="3.0555555555555555E-2"/>
              <c:y val="-2.3148148148148234E-2"/>
            </c:manualLayout>
          </c:layout>
          <c:tx>
            <c:rich>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r>
                  <a:rPr lang="en-US" sz="1000"/>
                  <a:t>Neonatal Death</a:t>
                </a:r>
              </a:p>
              <a:p>
                <a:pPr>
                  <a:defRPr sz="1050">
                    <a:solidFill>
                      <a:sysClr val="windowText" lastClr="000000"/>
                    </a:solidFill>
                    <a:latin typeface="Lato Black" panose="020F0A02020204030203" pitchFamily="34" charset="0"/>
                  </a:defRPr>
                </a:pPr>
                <a:fld id="{BDBC405D-A31B-476B-92A8-DD8C027B258A}" type="VALUE">
                  <a:rPr lang="en-US" sz="1000"/>
                  <a:pPr>
                    <a:defRPr sz="1050">
                      <a:solidFill>
                        <a:sysClr val="windowText" lastClr="000000"/>
                      </a:solidFill>
                      <a:latin typeface="Lato Black" panose="020F0A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gradFill>
            <a:gsLst>
              <a:gs pos="0">
                <a:srgbClr val="F200F2"/>
              </a:gs>
              <a:gs pos="100000">
                <a:srgbClr val="8F008F"/>
              </a:gs>
              <a:gs pos="100000">
                <a:srgbClr val="500050"/>
              </a:gs>
            </a:gsLst>
            <a:lin ang="16200000" scaled="1"/>
          </a:gradFill>
          <a:ln>
            <a:noFill/>
          </a:ln>
          <a:effectLst/>
          <a:sp3d/>
        </c:spPr>
        <c:dLbl>
          <c:idx val="0"/>
          <c:layout>
            <c:manualLayout>
              <c:x val="0"/>
              <c:y val="-0.13358971637979214"/>
            </c:manualLayout>
          </c:layout>
          <c:tx>
            <c:rich>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r>
                  <a:rPr lang="en-US" sz="1000"/>
                  <a:t>Neonatal Death</a:t>
                </a:r>
              </a:p>
              <a:p>
                <a:pPr>
                  <a:defRPr sz="1050">
                    <a:solidFill>
                      <a:sysClr val="windowText" lastClr="000000"/>
                    </a:solidFill>
                    <a:latin typeface="Lato Black" panose="020F0A02020204030203" pitchFamily="34" charset="0"/>
                  </a:defRPr>
                </a:pPr>
                <a:fld id="{8E04D315-A8DE-414C-A68A-7F4321F44F50}" type="VALUE">
                  <a:rPr lang="en-US" sz="1000"/>
                  <a:pPr>
                    <a:defRPr sz="1050">
                      <a:solidFill>
                        <a:sysClr val="windowText" lastClr="000000"/>
                      </a:solidFill>
                      <a:latin typeface="Lato Black" panose="020F0A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092818877092417"/>
          <c:y val="9.5981775862922794E-2"/>
          <c:w val="0.71672712143858719"/>
          <c:h val="0.89116511379473795"/>
        </c:manualLayout>
      </c:layout>
      <c:bar3DChart>
        <c:barDir val="bar"/>
        <c:grouping val="clustered"/>
        <c:varyColors val="0"/>
        <c:ser>
          <c:idx val="0"/>
          <c:order val="0"/>
          <c:tx>
            <c:strRef>
              <c:f>Kundapura_pivot!$B$30:$B$31</c:f>
              <c:strCache>
                <c:ptCount val="1"/>
                <c:pt idx="0">
                  <c:v>Infant Death</c:v>
                </c:pt>
              </c:strCache>
            </c:strRef>
          </c:tx>
          <c:spPr>
            <a:gradFill>
              <a:gsLst>
                <a:gs pos="0">
                  <a:srgbClr val="FFAFFF"/>
                </a:gs>
                <a:gs pos="60829">
                  <a:srgbClr val="8F008F"/>
                </a:gs>
                <a:gs pos="100000">
                  <a:srgbClr val="FF15FF"/>
                </a:gs>
              </a:gsLst>
              <a:lin ang="16200000" scaled="1"/>
            </a:gradFill>
            <a:ln>
              <a:noFill/>
            </a:ln>
            <a:effectLst/>
            <a:sp3d/>
          </c:spPr>
          <c:invertIfNegative val="0"/>
          <c:dPt>
            <c:idx val="0"/>
            <c:invertIfNegative val="0"/>
            <c:bubble3D val="0"/>
            <c:spPr>
              <a:gradFill>
                <a:gsLst>
                  <a:gs pos="0">
                    <a:srgbClr val="FFAFFF"/>
                  </a:gs>
                  <a:gs pos="60829">
                    <a:srgbClr val="8F008F"/>
                  </a:gs>
                  <a:gs pos="100000">
                    <a:srgbClr val="FF15FF"/>
                  </a:gs>
                </a:gsLst>
                <a:lin ang="16200000" scaled="1"/>
              </a:gradFill>
              <a:ln>
                <a:noFill/>
              </a:ln>
              <a:effectLst/>
              <a:sp3d/>
            </c:spPr>
            <c:extLst>
              <c:ext xmlns:c16="http://schemas.microsoft.com/office/drawing/2014/chart" uri="{C3380CC4-5D6E-409C-BE32-E72D297353CC}">
                <c16:uniqueId val="{00000000-1C6F-4163-8F18-6B8BB6ABBB57}"/>
              </c:ext>
            </c:extLst>
          </c:dPt>
          <c:dPt>
            <c:idx val="1"/>
            <c:invertIfNegative val="0"/>
            <c:bubble3D val="0"/>
            <c:spPr>
              <a:gradFill>
                <a:gsLst>
                  <a:gs pos="0">
                    <a:srgbClr val="FFAFFF"/>
                  </a:gs>
                  <a:gs pos="60829">
                    <a:srgbClr val="8F008F"/>
                  </a:gs>
                  <a:gs pos="100000">
                    <a:srgbClr val="FF15FF"/>
                  </a:gs>
                </a:gsLst>
                <a:lin ang="16200000" scaled="1"/>
              </a:gradFill>
              <a:ln>
                <a:noFill/>
              </a:ln>
              <a:effectLst/>
              <a:sp3d/>
            </c:spPr>
            <c:extLst>
              <c:ext xmlns:c16="http://schemas.microsoft.com/office/drawing/2014/chart" uri="{C3380CC4-5D6E-409C-BE32-E72D297353CC}">
                <c16:uniqueId val="{00000001-1C6F-4163-8F18-6B8BB6ABBB57}"/>
              </c:ext>
            </c:extLst>
          </c:dPt>
          <c:dLbls>
            <c:dLbl>
              <c:idx val="0"/>
              <c:layout>
                <c:manualLayout>
                  <c:x val="3.0555555555555555E-2"/>
                  <c:y val="1.3888888888888888E-2"/>
                </c:manualLayout>
              </c:layout>
              <c:tx>
                <c:rich>
                  <a:bodyPr/>
                  <a:lstStyle/>
                  <a:p>
                    <a:r>
                      <a:rPr lang="en-US" sz="1000"/>
                      <a:t>Infant Death</a:t>
                    </a:r>
                  </a:p>
                  <a:p>
                    <a:fld id="{E9D45894-C53B-47C2-8735-BEE792B702EF}" type="VALUE">
                      <a:rPr lang="en-US" sz="10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1C6F-4163-8F18-6B8BB6ABBB57}"/>
                </c:ext>
              </c:extLst>
            </c:dLbl>
            <c:dLbl>
              <c:idx val="1"/>
              <c:layout>
                <c:manualLayout>
                  <c:x val="3.3333333333333333E-2"/>
                  <c:y val="1.3888888888888846E-2"/>
                </c:manualLayout>
              </c:layout>
              <c:tx>
                <c:rich>
                  <a:bodyPr/>
                  <a:lstStyle/>
                  <a:p>
                    <a:r>
                      <a:rPr lang="en-US" sz="1000"/>
                      <a:t>Infant Death</a:t>
                    </a:r>
                  </a:p>
                  <a:p>
                    <a:fld id="{AFA61AD1-F318-44DA-9256-D8BEB824450E}" type="VALUE">
                      <a:rPr lang="en-US" sz="10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C6F-4163-8F18-6B8BB6ABBB5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Kundapura_pivot!$A$32:$A$34</c:f>
              <c:strCache>
                <c:ptCount val="2"/>
                <c:pt idx="0">
                  <c:v>Without High Risk Pregnancy</c:v>
                </c:pt>
                <c:pt idx="1">
                  <c:v>With High Risk Pregnancy</c:v>
                </c:pt>
              </c:strCache>
            </c:strRef>
          </c:cat>
          <c:val>
            <c:numRef>
              <c:f>Kundapura_pivot!$B$32:$B$34</c:f>
              <c:numCache>
                <c:formatCode>General</c:formatCode>
                <c:ptCount val="2"/>
                <c:pt idx="0">
                  <c:v>5</c:v>
                </c:pt>
                <c:pt idx="1">
                  <c:v>7</c:v>
                </c:pt>
              </c:numCache>
            </c:numRef>
          </c:val>
          <c:shape val="cylinder"/>
          <c:extLst>
            <c:ext xmlns:c16="http://schemas.microsoft.com/office/drawing/2014/chart" uri="{C3380CC4-5D6E-409C-BE32-E72D297353CC}">
              <c16:uniqueId val="{00000002-1C6F-4163-8F18-6B8BB6ABBB57}"/>
            </c:ext>
          </c:extLst>
        </c:ser>
        <c:ser>
          <c:idx val="1"/>
          <c:order val="1"/>
          <c:tx>
            <c:strRef>
              <c:f>Kundapura_pivot!$C$30:$C$31</c:f>
              <c:strCache>
                <c:ptCount val="1"/>
                <c:pt idx="0">
                  <c:v>Neonatal Death</c:v>
                </c:pt>
              </c:strCache>
            </c:strRef>
          </c:tx>
          <c:spPr>
            <a:gradFill>
              <a:gsLst>
                <a:gs pos="0">
                  <a:srgbClr val="F200F2"/>
                </a:gs>
                <a:gs pos="100000">
                  <a:srgbClr val="8F008F"/>
                </a:gs>
                <a:gs pos="100000">
                  <a:srgbClr val="500050"/>
                </a:gs>
              </a:gsLst>
              <a:lin ang="16200000" scaled="1"/>
            </a:gradFill>
            <a:ln>
              <a:noFill/>
            </a:ln>
            <a:effectLst/>
            <a:sp3d/>
          </c:spPr>
          <c:invertIfNegative val="0"/>
          <c:dPt>
            <c:idx val="0"/>
            <c:invertIfNegative val="0"/>
            <c:bubble3D val="0"/>
            <c:spPr>
              <a:gradFill>
                <a:gsLst>
                  <a:gs pos="0">
                    <a:srgbClr val="F200F2"/>
                  </a:gs>
                  <a:gs pos="100000">
                    <a:srgbClr val="8F008F"/>
                  </a:gs>
                  <a:gs pos="100000">
                    <a:srgbClr val="500050"/>
                  </a:gs>
                </a:gsLst>
                <a:lin ang="16200000" scaled="1"/>
              </a:gradFill>
              <a:ln>
                <a:noFill/>
              </a:ln>
              <a:effectLst/>
              <a:sp3d/>
            </c:spPr>
            <c:extLst>
              <c:ext xmlns:c16="http://schemas.microsoft.com/office/drawing/2014/chart" uri="{C3380CC4-5D6E-409C-BE32-E72D297353CC}">
                <c16:uniqueId val="{00000005-705A-476E-A246-4794E3EA02D4}"/>
              </c:ext>
            </c:extLst>
          </c:dPt>
          <c:dPt>
            <c:idx val="1"/>
            <c:invertIfNegative val="0"/>
            <c:bubble3D val="0"/>
            <c:spPr>
              <a:gradFill>
                <a:gsLst>
                  <a:gs pos="0">
                    <a:srgbClr val="F200F2"/>
                  </a:gs>
                  <a:gs pos="100000">
                    <a:srgbClr val="8F008F"/>
                  </a:gs>
                  <a:gs pos="100000">
                    <a:srgbClr val="500050"/>
                  </a:gs>
                </a:gsLst>
                <a:lin ang="16200000" scaled="1"/>
              </a:gradFill>
              <a:ln>
                <a:noFill/>
              </a:ln>
              <a:effectLst/>
              <a:sp3d/>
            </c:spPr>
            <c:extLst>
              <c:ext xmlns:c16="http://schemas.microsoft.com/office/drawing/2014/chart" uri="{C3380CC4-5D6E-409C-BE32-E72D297353CC}">
                <c16:uniqueId val="{00000007-705A-476E-A246-4794E3EA02D4}"/>
              </c:ext>
            </c:extLst>
          </c:dPt>
          <c:dLbls>
            <c:dLbl>
              <c:idx val="0"/>
              <c:layout>
                <c:manualLayout>
                  <c:x val="3.0555555555555555E-2"/>
                  <c:y val="-2.3148148148148234E-2"/>
                </c:manualLayout>
              </c:layout>
              <c:tx>
                <c:rich>
                  <a:bodyPr/>
                  <a:lstStyle/>
                  <a:p>
                    <a:r>
                      <a:rPr lang="en-US" sz="1000"/>
                      <a:t>Neonatal Death</a:t>
                    </a:r>
                  </a:p>
                  <a:p>
                    <a:fld id="{BDBC405D-A31B-476B-92A8-DD8C027B258A}" type="VALUE">
                      <a:rPr lang="en-US" sz="10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05A-476E-A246-4794E3EA02D4}"/>
                </c:ext>
              </c:extLst>
            </c:dLbl>
            <c:dLbl>
              <c:idx val="1"/>
              <c:layout>
                <c:manualLayout>
                  <c:x val="0"/>
                  <c:y val="-0.13358971637979214"/>
                </c:manualLayout>
              </c:layout>
              <c:tx>
                <c:rich>
                  <a:bodyPr/>
                  <a:lstStyle/>
                  <a:p>
                    <a:r>
                      <a:rPr lang="en-US" sz="1000"/>
                      <a:t>Neonatal Death</a:t>
                    </a:r>
                  </a:p>
                  <a:p>
                    <a:fld id="{8E04D315-A8DE-414C-A68A-7F4321F44F50}" type="VALUE">
                      <a:rPr lang="en-US" sz="10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05A-476E-A246-4794E3EA02D4}"/>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Kundapura_pivot!$A$32:$A$34</c:f>
              <c:strCache>
                <c:ptCount val="2"/>
                <c:pt idx="0">
                  <c:v>Without High Risk Pregnancy</c:v>
                </c:pt>
                <c:pt idx="1">
                  <c:v>With High Risk Pregnancy</c:v>
                </c:pt>
              </c:strCache>
            </c:strRef>
          </c:cat>
          <c:val>
            <c:numRef>
              <c:f>Kundapura_pivot!$C$32:$C$34</c:f>
              <c:numCache>
                <c:formatCode>General</c:formatCode>
                <c:ptCount val="2"/>
                <c:pt idx="0">
                  <c:v>4</c:v>
                </c:pt>
                <c:pt idx="1">
                  <c:v>15</c:v>
                </c:pt>
              </c:numCache>
            </c:numRef>
          </c:val>
          <c:extLst>
            <c:ext xmlns:c16="http://schemas.microsoft.com/office/drawing/2014/chart" uri="{C3380CC4-5D6E-409C-BE32-E72D297353CC}">
              <c16:uniqueId val="{00000004-A527-42C3-A6F0-FA45BB17C70F}"/>
            </c:ext>
          </c:extLst>
        </c:ser>
        <c:dLbls>
          <c:showLegendKey val="0"/>
          <c:showVal val="1"/>
          <c:showCatName val="0"/>
          <c:showSerName val="0"/>
          <c:showPercent val="0"/>
          <c:showBubbleSize val="0"/>
        </c:dLbls>
        <c:gapWidth val="150"/>
        <c:shape val="box"/>
        <c:axId val="1358718080"/>
        <c:axId val="1358709440"/>
        <c:axId val="0"/>
      </c:bar3DChart>
      <c:catAx>
        <c:axId val="1358718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358709440"/>
        <c:crosses val="autoZero"/>
        <c:auto val="1"/>
        <c:lblAlgn val="ctr"/>
        <c:lblOffset val="100"/>
        <c:noMultiLvlLbl val="0"/>
      </c:catAx>
      <c:valAx>
        <c:axId val="1358709440"/>
        <c:scaling>
          <c:orientation val="minMax"/>
        </c:scaling>
        <c:delete val="1"/>
        <c:axPos val="b"/>
        <c:numFmt formatCode="General" sourceLinked="1"/>
        <c:majorTickMark val="none"/>
        <c:minorTickMark val="none"/>
        <c:tickLblPos val="nextTo"/>
        <c:crossAx val="1358718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death_copy.xlsx]Kundapura_pivot!Delivary_type(K2)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kern="1200" baseline="0">
                <a:solidFill>
                  <a:schemeClr val="tx1"/>
                </a:solidFill>
                <a:latin typeface="Lato Black" panose="020F0A02020204030203" pitchFamily="34" charset="0"/>
              </a:rPr>
              <a:t>Delivery Type &amp; Death Category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3.02114803625377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58965102286293E-2"/>
              <c:y val="-4.5317220543806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0084235860409147E-3"/>
              <c:y val="-2.51762336354481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0084235860409147E-3"/>
              <c:y val="-4.53172205438066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0084235860409147E-3"/>
              <c:y val="-4.53172205438066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3.02114803625377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0084235860409147E-3"/>
              <c:y val="-2.51762336354481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58965102286293E-2"/>
              <c:y val="-4.5317220543806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rgbClr val="F8F568"/>
              </a:gs>
              <a:gs pos="99000">
                <a:srgbClr val="E1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rgbClr val="F8F568"/>
              </a:gs>
              <a:gs pos="99000">
                <a:srgbClr val="E1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0084235860409147E-3"/>
              <c:y val="-4.531722054380664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rgbClr val="F8F568"/>
              </a:gs>
              <a:gs pos="99000">
                <a:srgbClr val="E1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3.021148036253776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0084235860409147E-3"/>
              <c:y val="-2.517623363544813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58965102286293E-2"/>
              <c:y val="-4.5317220543806741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310701460151414"/>
          <c:y val="0.20005105919137162"/>
          <c:w val="0.73087613822640396"/>
          <c:h val="0.6369677151011861"/>
        </c:manualLayout>
      </c:layout>
      <c:bar3DChart>
        <c:barDir val="col"/>
        <c:grouping val="clustered"/>
        <c:varyColors val="0"/>
        <c:ser>
          <c:idx val="0"/>
          <c:order val="0"/>
          <c:tx>
            <c:strRef>
              <c:f>Kundapura_pivot!$B$9:$B$10</c:f>
              <c:strCache>
                <c:ptCount val="1"/>
                <c:pt idx="0">
                  <c:v>Infant Death</c:v>
                </c:pt>
              </c:strCache>
            </c:strRef>
          </c:tx>
          <c:spPr>
            <a:gradFill rotWithShape="1">
              <a:gsLst>
                <a:gs pos="0">
                  <a:srgbClr val="F8F568"/>
                </a:gs>
                <a:gs pos="99000">
                  <a:srgbClr val="E1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rgbClr val="F8F568"/>
                  </a:gs>
                  <a:gs pos="99000">
                    <a:srgbClr val="E1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70E-4872-89B5-8B57840371D1}"/>
              </c:ext>
            </c:extLst>
          </c:dPt>
          <c:dPt>
            <c:idx val="1"/>
            <c:invertIfNegative val="0"/>
            <c:bubble3D val="0"/>
            <c:spPr>
              <a:gradFill rotWithShape="1">
                <a:gsLst>
                  <a:gs pos="0">
                    <a:srgbClr val="F8F568"/>
                  </a:gs>
                  <a:gs pos="99000">
                    <a:srgbClr val="E1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70E-4872-89B5-8B57840371D1}"/>
              </c:ext>
            </c:extLst>
          </c:dPt>
          <c:dLbls>
            <c:dLbl>
              <c:idx val="0"/>
              <c:layout>
                <c:manualLayout>
                  <c:x val="-3.0084235860409147E-3"/>
                  <c:y val="-4.53172205438066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0E-4872-89B5-8B57840371D1}"/>
                </c:ext>
              </c:extLst>
            </c:dLbl>
            <c:dLbl>
              <c:idx val="1"/>
              <c:layout>
                <c:manualLayout>
                  <c:x val="0"/>
                  <c:y val="-3.02114803625377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0E-4872-89B5-8B57840371D1}"/>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Kundapura_pivot!$A$11:$A$13</c:f>
              <c:strCache>
                <c:ptCount val="2"/>
                <c:pt idx="0">
                  <c:v>LSCS</c:v>
                </c:pt>
                <c:pt idx="1">
                  <c:v>Normal</c:v>
                </c:pt>
              </c:strCache>
            </c:strRef>
          </c:cat>
          <c:val>
            <c:numRef>
              <c:f>Kundapura_pivot!$B$11:$B$13</c:f>
              <c:numCache>
                <c:formatCode>General</c:formatCode>
                <c:ptCount val="2"/>
                <c:pt idx="0">
                  <c:v>7</c:v>
                </c:pt>
                <c:pt idx="1">
                  <c:v>5</c:v>
                </c:pt>
              </c:numCache>
            </c:numRef>
          </c:val>
          <c:extLst>
            <c:ext xmlns:c16="http://schemas.microsoft.com/office/drawing/2014/chart" uri="{C3380CC4-5D6E-409C-BE32-E72D297353CC}">
              <c16:uniqueId val="{00000004-270E-4872-89B5-8B57840371D1}"/>
            </c:ext>
          </c:extLst>
        </c:ser>
        <c:ser>
          <c:idx val="1"/>
          <c:order val="1"/>
          <c:tx>
            <c:strRef>
              <c:f>Kundapura_pivot!$C$9:$C$10</c:f>
              <c:strCache>
                <c:ptCount val="1"/>
                <c:pt idx="0">
                  <c:v>Neonatal Death</c:v>
                </c:pt>
              </c:strCache>
            </c:strRef>
          </c:tx>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C32-4DAA-B22B-85E1868DFBC7}"/>
              </c:ext>
            </c:extLst>
          </c:dPt>
          <c:dPt>
            <c:idx val="1"/>
            <c:invertIfNegative val="0"/>
            <c:bubble3D val="0"/>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C32-4DAA-B22B-85E1868DFBC7}"/>
              </c:ext>
            </c:extLst>
          </c:dPt>
          <c:dLbls>
            <c:dLbl>
              <c:idx val="0"/>
              <c:layout>
                <c:manualLayout>
                  <c:x val="3.0084235860409147E-3"/>
                  <c:y val="-2.51762336354481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32-4DAA-B22B-85E1868DFBC7}"/>
                </c:ext>
              </c:extLst>
            </c:dLbl>
            <c:dLbl>
              <c:idx val="1"/>
              <c:layout>
                <c:manualLayout>
                  <c:x val="2.1058965102286293E-2"/>
                  <c:y val="-4.53172205438067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32-4DAA-B22B-85E1868DFBC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Kundapura_pivot!$A$11:$A$13</c:f>
              <c:strCache>
                <c:ptCount val="2"/>
                <c:pt idx="0">
                  <c:v>LSCS</c:v>
                </c:pt>
                <c:pt idx="1">
                  <c:v>Normal</c:v>
                </c:pt>
              </c:strCache>
            </c:strRef>
          </c:cat>
          <c:val>
            <c:numRef>
              <c:f>Kundapura_pivot!$C$11:$C$13</c:f>
              <c:numCache>
                <c:formatCode>General</c:formatCode>
                <c:ptCount val="2"/>
                <c:pt idx="0">
                  <c:v>16</c:v>
                </c:pt>
                <c:pt idx="1">
                  <c:v>3</c:v>
                </c:pt>
              </c:numCache>
            </c:numRef>
          </c:val>
          <c:extLst>
            <c:ext xmlns:c16="http://schemas.microsoft.com/office/drawing/2014/chart" uri="{C3380CC4-5D6E-409C-BE32-E72D297353CC}">
              <c16:uniqueId val="{00000008-654D-4FAD-8BBE-8AE44A12AE93}"/>
            </c:ext>
          </c:extLst>
        </c:ser>
        <c:dLbls>
          <c:showLegendKey val="0"/>
          <c:showVal val="1"/>
          <c:showCatName val="0"/>
          <c:showSerName val="0"/>
          <c:showPercent val="0"/>
          <c:showBubbleSize val="0"/>
        </c:dLbls>
        <c:gapWidth val="150"/>
        <c:shape val="box"/>
        <c:axId val="803394048"/>
        <c:axId val="803393568"/>
        <c:axId val="0"/>
      </c:bar3DChart>
      <c:catAx>
        <c:axId val="80339404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393568"/>
        <c:crosses val="autoZero"/>
        <c:auto val="1"/>
        <c:lblAlgn val="ctr"/>
        <c:lblOffset val="100"/>
        <c:noMultiLvlLbl val="0"/>
      </c:catAx>
      <c:valAx>
        <c:axId val="803393568"/>
        <c:scaling>
          <c:orientation val="minMax"/>
        </c:scaling>
        <c:delete val="1"/>
        <c:axPos val="l"/>
        <c:numFmt formatCode="General" sourceLinked="1"/>
        <c:majorTickMark val="out"/>
        <c:minorTickMark val="none"/>
        <c:tickLblPos val="nextTo"/>
        <c:crossAx val="803394048"/>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death_copy.xlsx]Kundapura_pivot!LBW_ku</c:name>
    <c:fmtId val="5"/>
  </c:pivotSource>
  <c:chart>
    <c:title>
      <c:tx>
        <c:rich>
          <a:bodyPr rot="0" spcFirstLastPara="1" vertOverflow="ellipsis" vert="horz" wrap="square" anchor="ctr" anchorCtr="1"/>
          <a:lstStyle/>
          <a:p>
            <a:pPr>
              <a:defRPr sz="1600" b="1" i="0" u="sng" strike="noStrike" kern="1200" baseline="0">
                <a:solidFill>
                  <a:sysClr val="windowText" lastClr="000000"/>
                </a:solidFill>
                <a:latin typeface="Lato Black" panose="020F0A02020204030203" pitchFamily="34" charset="0"/>
                <a:ea typeface="+mn-ea"/>
                <a:cs typeface="+mn-cs"/>
              </a:defRPr>
            </a:pPr>
            <a:r>
              <a:rPr lang="en-IN" u="sng"/>
              <a:t>Infant Deaths by LBW Status</a:t>
            </a:r>
          </a:p>
        </c:rich>
      </c:tx>
      <c:overlay val="0"/>
      <c:spPr>
        <a:noFill/>
        <a:ln>
          <a:noFill/>
        </a:ln>
        <a:effectLst/>
      </c:spPr>
      <c:txPr>
        <a:bodyPr rot="0" spcFirstLastPara="1" vertOverflow="ellipsis" vert="horz" wrap="square" anchor="ctr" anchorCtr="1"/>
        <a:lstStyle/>
        <a:p>
          <a:pPr>
            <a:defRPr sz="1600" b="1" i="0" u="sng"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12E-2"/>
              <c:y val="-1.3888888888888888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888E-2"/>
              <c:y val="-1.8518518518518517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888E-2"/>
              <c:y val="-4.6296296296297144E-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888E-2"/>
              <c:y val="-4.6296296296297144E-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888E-2"/>
              <c:y val="-1.8518518518518517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12E-2"/>
              <c:y val="-1.3888888888888888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888E-2"/>
              <c:y val="-4.6296296296297144E-3"/>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888E-2"/>
              <c:y val="-1.8518518518518517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12E-2"/>
              <c:y val="-1.3888888888888888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208200278391878"/>
          <c:y val="0.13926652142338419"/>
          <c:w val="0.83491955293539666"/>
          <c:h val="0.59534313725490196"/>
        </c:manualLayout>
      </c:layout>
      <c:bar3DChart>
        <c:barDir val="bar"/>
        <c:grouping val="clustered"/>
        <c:varyColors val="0"/>
        <c:ser>
          <c:idx val="0"/>
          <c:order val="0"/>
          <c:tx>
            <c:strRef>
              <c:f>Kundapura_pivot!$B$45:$B$46</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82A1-4602-BDC1-A7C138393BD4}"/>
              </c:ext>
            </c:extLst>
          </c:dPt>
          <c:dLbls>
            <c:dLbl>
              <c:idx val="0"/>
              <c:layout>
                <c:manualLayout>
                  <c:x val="1.3888888888888888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A1-4602-BDC1-A7C138393BD4}"/>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Kundapura_pivot!$A$47:$A$49</c:f>
              <c:strCache>
                <c:ptCount val="2"/>
                <c:pt idx="0">
                  <c:v>LBW: NO</c:v>
                </c:pt>
                <c:pt idx="1">
                  <c:v>LBW: YES</c:v>
                </c:pt>
              </c:strCache>
            </c:strRef>
          </c:cat>
          <c:val>
            <c:numRef>
              <c:f>Kundapura_pivot!$B$47:$B$49</c:f>
              <c:numCache>
                <c:formatCode>General</c:formatCode>
                <c:ptCount val="2"/>
                <c:pt idx="0">
                  <c:v>12</c:v>
                </c:pt>
              </c:numCache>
            </c:numRef>
          </c:val>
          <c:extLst>
            <c:ext xmlns:c16="http://schemas.microsoft.com/office/drawing/2014/chart" uri="{C3380CC4-5D6E-409C-BE32-E72D297353CC}">
              <c16:uniqueId val="{00000001-82A1-4602-BDC1-A7C138393BD4}"/>
            </c:ext>
          </c:extLst>
        </c:ser>
        <c:ser>
          <c:idx val="1"/>
          <c:order val="1"/>
          <c:tx>
            <c:strRef>
              <c:f>Kundapura_pivot!$C$45:$C$46</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A08-465A-9590-1EAD41354E3E}"/>
              </c:ext>
            </c:extLst>
          </c:dPt>
          <c:dPt>
            <c:idx val="1"/>
            <c:invertIfNegative val="0"/>
            <c:bubble3D val="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A08-465A-9590-1EAD41354E3E}"/>
              </c:ext>
            </c:extLst>
          </c:dPt>
          <c:dLbls>
            <c:dLbl>
              <c:idx val="0"/>
              <c:layout>
                <c:manualLayout>
                  <c:x val="1.3888888888888888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08-465A-9590-1EAD41354E3E}"/>
                </c:ext>
              </c:extLst>
            </c:dLbl>
            <c:dLbl>
              <c:idx val="1"/>
              <c:layout>
                <c:manualLayout>
                  <c:x val="1.1111111111111112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08-465A-9590-1EAD41354E3E}"/>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Kundapura_pivot!$A$47:$A$49</c:f>
              <c:strCache>
                <c:ptCount val="2"/>
                <c:pt idx="0">
                  <c:v>LBW: NO</c:v>
                </c:pt>
                <c:pt idx="1">
                  <c:v>LBW: YES</c:v>
                </c:pt>
              </c:strCache>
            </c:strRef>
          </c:cat>
          <c:val>
            <c:numRef>
              <c:f>Kundapura_pivot!$C$47:$C$49</c:f>
              <c:numCache>
                <c:formatCode>General</c:formatCode>
                <c:ptCount val="2"/>
                <c:pt idx="0">
                  <c:v>5</c:v>
                </c:pt>
                <c:pt idx="1">
                  <c:v>14</c:v>
                </c:pt>
              </c:numCache>
            </c:numRef>
          </c:val>
          <c:extLst>
            <c:ext xmlns:c16="http://schemas.microsoft.com/office/drawing/2014/chart" uri="{C3380CC4-5D6E-409C-BE32-E72D297353CC}">
              <c16:uniqueId val="{00000001-3B34-40C5-B1DF-5CA9BE522E53}"/>
            </c:ext>
          </c:extLst>
        </c:ser>
        <c:dLbls>
          <c:showLegendKey val="0"/>
          <c:showVal val="1"/>
          <c:showCatName val="0"/>
          <c:showSerName val="0"/>
          <c:showPercent val="0"/>
          <c:showBubbleSize val="0"/>
        </c:dLbls>
        <c:gapWidth val="150"/>
        <c:shape val="box"/>
        <c:axId val="133267232"/>
        <c:axId val="133264352"/>
        <c:axId val="0"/>
      </c:bar3DChart>
      <c:catAx>
        <c:axId val="1332672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33264352"/>
        <c:crosses val="autoZero"/>
        <c:auto val="1"/>
        <c:lblAlgn val="ctr"/>
        <c:lblOffset val="100"/>
        <c:noMultiLvlLbl val="0"/>
      </c:catAx>
      <c:valAx>
        <c:axId val="133264352"/>
        <c:scaling>
          <c:orientation val="minMax"/>
        </c:scaling>
        <c:delete val="1"/>
        <c:axPos val="b"/>
        <c:numFmt formatCode="General" sourceLinked="1"/>
        <c:majorTickMark val="none"/>
        <c:minorTickMark val="none"/>
        <c:tickLblPos val="nextTo"/>
        <c:crossAx val="133267232"/>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death_copy.xlsx]Kundapura_pivot!Extreme_kr</c:name>
    <c:fmtId val="5"/>
  </c:pivotSource>
  <c:chart>
    <c:title>
      <c:tx>
        <c:rich>
          <a:bodyPr rot="0" spcFirstLastPara="1" vertOverflow="ellipsis" vert="horz" wrap="square" anchor="ctr" anchorCtr="1"/>
          <a:lstStyle/>
          <a:p>
            <a:pPr>
              <a:defRPr sz="1600" b="1" i="0" u="sng" strike="noStrike" kern="1200" baseline="0">
                <a:solidFill>
                  <a:sysClr val="windowText" lastClr="000000"/>
                </a:solidFill>
                <a:latin typeface="Lato Black" panose="020F0A02020204030203" pitchFamily="34" charset="0"/>
                <a:ea typeface="+mn-ea"/>
                <a:cs typeface="+mn-cs"/>
              </a:defRPr>
            </a:pPr>
            <a:r>
              <a:rPr lang="en-IN" u="sng"/>
              <a:t>Infant Deaths by Extreme Premature Status</a:t>
            </a:r>
          </a:p>
        </c:rich>
      </c:tx>
      <c:layout>
        <c:manualLayout>
          <c:xMode val="edge"/>
          <c:yMode val="edge"/>
          <c:x val="0.16472099402276263"/>
          <c:y val="2.1030501089324621E-2"/>
        </c:manualLayout>
      </c:layout>
      <c:overlay val="0"/>
      <c:spPr>
        <a:noFill/>
        <a:ln>
          <a:noFill/>
        </a:ln>
        <a:effectLst/>
      </c:spPr>
      <c:txPr>
        <a:bodyPr rot="0" spcFirstLastPara="1" vertOverflow="ellipsis" vert="horz" wrap="square" anchor="ctr" anchorCtr="1"/>
        <a:lstStyle/>
        <a:p>
          <a:pPr>
            <a:defRPr sz="1600" b="1" i="0" u="sng"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12E-2"/>
              <c:y val="-1.8518518518518517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1.3888888888888888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4.6296296296295444E-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4.6296296296295444E-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1.3888888888888888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12E-2"/>
              <c:y val="-1.8518518518518517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4.6296296296295444E-3"/>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1.3888888888888888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12E-2"/>
              <c:y val="-1.8518518518518517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022271350200607"/>
          <c:y val="0.18538525780682644"/>
          <c:w val="0.57043150741013671"/>
          <c:h val="0.58639179375453887"/>
        </c:manualLayout>
      </c:layout>
      <c:bar3DChart>
        <c:barDir val="bar"/>
        <c:grouping val="clustered"/>
        <c:varyColors val="0"/>
        <c:ser>
          <c:idx val="0"/>
          <c:order val="0"/>
          <c:tx>
            <c:strRef>
              <c:f>Kundapura_pivot!$B$52:$B$53</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C132-48E3-B5FE-079890E61609}"/>
              </c:ext>
            </c:extLst>
          </c:dPt>
          <c:dLbls>
            <c:dLbl>
              <c:idx val="0"/>
              <c:layout>
                <c:manualLayout>
                  <c:x val="8.3333333333333332E-3"/>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132-48E3-B5FE-079890E61609}"/>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Kundapura_pivot!$A$54:$A$56</c:f>
              <c:strCache>
                <c:ptCount val="2"/>
                <c:pt idx="0">
                  <c:v> Extreme preterm (&lt;28 weeks): NO</c:v>
                </c:pt>
                <c:pt idx="1">
                  <c:v> Extreme preterm (&lt;28 weeks): YES</c:v>
                </c:pt>
              </c:strCache>
            </c:strRef>
          </c:cat>
          <c:val>
            <c:numRef>
              <c:f>Kundapura_pivot!$B$54:$B$56</c:f>
              <c:numCache>
                <c:formatCode>General</c:formatCode>
                <c:ptCount val="2"/>
                <c:pt idx="0">
                  <c:v>12</c:v>
                </c:pt>
              </c:numCache>
            </c:numRef>
          </c:val>
          <c:extLst>
            <c:ext xmlns:c16="http://schemas.microsoft.com/office/drawing/2014/chart" uri="{C3380CC4-5D6E-409C-BE32-E72D297353CC}">
              <c16:uniqueId val="{00000001-C132-48E3-B5FE-079890E61609}"/>
            </c:ext>
          </c:extLst>
        </c:ser>
        <c:ser>
          <c:idx val="1"/>
          <c:order val="1"/>
          <c:tx>
            <c:strRef>
              <c:f>Kundapura_pivot!$C$52:$C$53</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62E1-4E18-BF40-A8482A640D54}"/>
              </c:ext>
            </c:extLst>
          </c:dPt>
          <c:dPt>
            <c:idx val="1"/>
            <c:invertIfNegative val="0"/>
            <c:bubble3D val="0"/>
            <c:extLst>
              <c:ext xmlns:c16="http://schemas.microsoft.com/office/drawing/2014/chart" uri="{C3380CC4-5D6E-409C-BE32-E72D297353CC}">
                <c16:uniqueId val="{00000002-62E1-4E18-BF40-A8482A640D54}"/>
              </c:ext>
            </c:extLst>
          </c:dPt>
          <c:dLbls>
            <c:dLbl>
              <c:idx val="0"/>
              <c:layout>
                <c:manualLayout>
                  <c:x val="2.7777777777777779E-3"/>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E1-4E18-BF40-A8482A640D54}"/>
                </c:ext>
              </c:extLst>
            </c:dLbl>
            <c:dLbl>
              <c:idx val="1"/>
              <c:layout>
                <c:manualLayout>
                  <c:x val="1.1111111111111112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E1-4E18-BF40-A8482A640D54}"/>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Kundapura_pivot!$A$54:$A$56</c:f>
              <c:strCache>
                <c:ptCount val="2"/>
                <c:pt idx="0">
                  <c:v> Extreme preterm (&lt;28 weeks): NO</c:v>
                </c:pt>
                <c:pt idx="1">
                  <c:v> Extreme preterm (&lt;28 weeks): YES</c:v>
                </c:pt>
              </c:strCache>
            </c:strRef>
          </c:cat>
          <c:val>
            <c:numRef>
              <c:f>Kundapura_pivot!$C$54:$C$56</c:f>
              <c:numCache>
                <c:formatCode>General</c:formatCode>
                <c:ptCount val="2"/>
                <c:pt idx="0">
                  <c:v>12</c:v>
                </c:pt>
                <c:pt idx="1">
                  <c:v>7</c:v>
                </c:pt>
              </c:numCache>
            </c:numRef>
          </c:val>
          <c:extLst>
            <c:ext xmlns:c16="http://schemas.microsoft.com/office/drawing/2014/chart" uri="{C3380CC4-5D6E-409C-BE32-E72D297353CC}">
              <c16:uniqueId val="{00000001-B56D-4C1E-B46F-23888739749C}"/>
            </c:ext>
          </c:extLst>
        </c:ser>
        <c:dLbls>
          <c:showLegendKey val="0"/>
          <c:showVal val="1"/>
          <c:showCatName val="0"/>
          <c:showSerName val="0"/>
          <c:showPercent val="0"/>
          <c:showBubbleSize val="0"/>
        </c:dLbls>
        <c:gapWidth val="150"/>
        <c:shape val="box"/>
        <c:axId val="132534416"/>
        <c:axId val="132532016"/>
        <c:axId val="0"/>
      </c:bar3DChart>
      <c:catAx>
        <c:axId val="1325344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32532016"/>
        <c:crosses val="autoZero"/>
        <c:auto val="1"/>
        <c:lblAlgn val="ctr"/>
        <c:lblOffset val="100"/>
        <c:noMultiLvlLbl val="0"/>
      </c:catAx>
      <c:valAx>
        <c:axId val="132532016"/>
        <c:scaling>
          <c:orientation val="minMax"/>
        </c:scaling>
        <c:delete val="1"/>
        <c:axPos val="b"/>
        <c:numFmt formatCode="General" sourceLinked="1"/>
        <c:majorTickMark val="none"/>
        <c:minorTickMark val="none"/>
        <c:tickLblPos val="nextTo"/>
        <c:crossAx val="132534416"/>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death_copy.xlsx]Kundapura_pivot!Early_ku</c:name>
    <c:fmtId val="4"/>
  </c:pivotSource>
  <c:chart>
    <c:title>
      <c:tx>
        <c:rich>
          <a:bodyPr rot="0" spcFirstLastPara="1" vertOverflow="ellipsis" vert="horz" wrap="square" anchor="ctr" anchorCtr="1"/>
          <a:lstStyle/>
          <a:p>
            <a:pPr>
              <a:defRPr sz="1600" b="1" i="0" u="sng" strike="noStrike" kern="1200" baseline="0">
                <a:solidFill>
                  <a:sysClr val="windowText" lastClr="000000"/>
                </a:solidFill>
                <a:latin typeface="Lato Black" panose="020F0A02020204030203" pitchFamily="34" charset="0"/>
                <a:ea typeface="+mn-ea"/>
                <a:cs typeface="+mn-cs"/>
              </a:defRPr>
            </a:pPr>
            <a:r>
              <a:rPr lang="en-IN" u="sng"/>
              <a:t>Infant Deaths by Early Premature Status</a:t>
            </a:r>
          </a:p>
        </c:rich>
      </c:tx>
      <c:layout>
        <c:manualLayout>
          <c:xMode val="edge"/>
          <c:yMode val="edge"/>
          <c:x val="0.11909974755064014"/>
          <c:y val="5.005005005005005E-3"/>
        </c:manualLayout>
      </c:layout>
      <c:overlay val="0"/>
      <c:spPr>
        <a:noFill/>
        <a:ln>
          <a:noFill/>
        </a:ln>
        <a:effectLst/>
      </c:spPr>
      <c:txPr>
        <a:bodyPr rot="0" spcFirstLastPara="1" vertOverflow="ellipsis" vert="horz" wrap="square" anchor="ctr" anchorCtr="1"/>
        <a:lstStyle/>
        <a:p>
          <a:pPr>
            <a:defRPr sz="1600" b="1" i="0" u="sng"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2.1218890680033321E-17"/>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4.6296296296296294E-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8.4875562720133283E-17"/>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8.4875562720133283E-17"/>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4.6296296296296294E-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2.1218890680033321E-17"/>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8.4875562720133283E-17"/>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4.6296296296296294E-3"/>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2.1218890680033321E-17"/>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Kundapura_pivot!$B$59:$B$60</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EEAC-4900-BE83-3B9BD2FA8C89}"/>
              </c:ext>
            </c:extLst>
          </c:dPt>
          <c:dLbls>
            <c:dLbl>
              <c:idx val="0"/>
              <c:layout>
                <c:manualLayout>
                  <c:x val="1.6666666666666666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EAC-4900-BE83-3B9BD2FA8C89}"/>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Kundapura_pivot!$A$61:$A$63</c:f>
              <c:strCache>
                <c:ptCount val="2"/>
                <c:pt idx="0">
                  <c:v> Early Premature (28-31 weeks): NO</c:v>
                </c:pt>
                <c:pt idx="1">
                  <c:v> Early Premature (28-31 weeks): YES</c:v>
                </c:pt>
              </c:strCache>
            </c:strRef>
          </c:cat>
          <c:val>
            <c:numRef>
              <c:f>Kundapura_pivot!$B$61:$B$63</c:f>
              <c:numCache>
                <c:formatCode>General</c:formatCode>
                <c:ptCount val="2"/>
                <c:pt idx="0">
                  <c:v>12</c:v>
                </c:pt>
              </c:numCache>
            </c:numRef>
          </c:val>
          <c:extLst>
            <c:ext xmlns:c16="http://schemas.microsoft.com/office/drawing/2014/chart" uri="{C3380CC4-5D6E-409C-BE32-E72D297353CC}">
              <c16:uniqueId val="{00000001-EEAC-4900-BE83-3B9BD2FA8C89}"/>
            </c:ext>
          </c:extLst>
        </c:ser>
        <c:ser>
          <c:idx val="1"/>
          <c:order val="1"/>
          <c:tx>
            <c:strRef>
              <c:f>Kundapura_pivot!$C$59:$C$60</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7D7A-4085-AB7F-2F62EBF41643}"/>
              </c:ext>
            </c:extLst>
          </c:dPt>
          <c:dPt>
            <c:idx val="1"/>
            <c:invertIfNegative val="0"/>
            <c:bubble3D val="0"/>
            <c:extLst>
              <c:ext xmlns:c16="http://schemas.microsoft.com/office/drawing/2014/chart" uri="{C3380CC4-5D6E-409C-BE32-E72D297353CC}">
                <c16:uniqueId val="{00000002-7D7A-4085-AB7F-2F62EBF41643}"/>
              </c:ext>
            </c:extLst>
          </c:dPt>
          <c:dLbls>
            <c:dLbl>
              <c:idx val="0"/>
              <c:layout>
                <c:manualLayout>
                  <c:x val="8.3333333333333332E-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7A-4085-AB7F-2F62EBF41643}"/>
                </c:ext>
              </c:extLst>
            </c:dLbl>
            <c:dLbl>
              <c:idx val="1"/>
              <c:layout>
                <c:manualLayout>
                  <c:x val="1.6666666666666666E-2"/>
                  <c:y val="-2.121889068003332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7A-4085-AB7F-2F62EBF41643}"/>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Kundapura_pivot!$A$61:$A$63</c:f>
              <c:strCache>
                <c:ptCount val="2"/>
                <c:pt idx="0">
                  <c:v> Early Premature (28-31 weeks): NO</c:v>
                </c:pt>
                <c:pt idx="1">
                  <c:v> Early Premature (28-31 weeks): YES</c:v>
                </c:pt>
              </c:strCache>
            </c:strRef>
          </c:cat>
          <c:val>
            <c:numRef>
              <c:f>Kundapura_pivot!$C$61:$C$63</c:f>
              <c:numCache>
                <c:formatCode>General</c:formatCode>
                <c:ptCount val="2"/>
                <c:pt idx="0">
                  <c:v>15</c:v>
                </c:pt>
                <c:pt idx="1">
                  <c:v>4</c:v>
                </c:pt>
              </c:numCache>
            </c:numRef>
          </c:val>
          <c:extLst>
            <c:ext xmlns:c16="http://schemas.microsoft.com/office/drawing/2014/chart" uri="{C3380CC4-5D6E-409C-BE32-E72D297353CC}">
              <c16:uniqueId val="{00000001-50B9-47FD-94E8-75B21A923676}"/>
            </c:ext>
          </c:extLst>
        </c:ser>
        <c:dLbls>
          <c:showLegendKey val="0"/>
          <c:showVal val="1"/>
          <c:showCatName val="0"/>
          <c:showSerName val="0"/>
          <c:showPercent val="0"/>
          <c:showBubbleSize val="0"/>
        </c:dLbls>
        <c:gapWidth val="150"/>
        <c:shape val="box"/>
        <c:axId val="834249152"/>
        <c:axId val="834248672"/>
        <c:axId val="0"/>
      </c:bar3DChart>
      <c:catAx>
        <c:axId val="8342491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834248672"/>
        <c:crosses val="autoZero"/>
        <c:auto val="1"/>
        <c:lblAlgn val="ctr"/>
        <c:lblOffset val="100"/>
        <c:noMultiLvlLbl val="0"/>
      </c:catAx>
      <c:valAx>
        <c:axId val="834248672"/>
        <c:scaling>
          <c:orientation val="minMax"/>
        </c:scaling>
        <c:delete val="1"/>
        <c:axPos val="b"/>
        <c:numFmt formatCode="General" sourceLinked="1"/>
        <c:majorTickMark val="none"/>
        <c:minorTickMark val="none"/>
        <c:tickLblPos val="nextTo"/>
        <c:crossAx val="834249152"/>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death_copy.xlsx]Kundapura_pivot!Moderate_ku</c:name>
    <c:fmtId val="5"/>
  </c:pivotSource>
  <c:chart>
    <c:title>
      <c:tx>
        <c:rich>
          <a:bodyPr rot="0" spcFirstLastPara="1" vertOverflow="ellipsis" vert="horz" wrap="square" anchor="ctr" anchorCtr="1"/>
          <a:lstStyle/>
          <a:p>
            <a:pPr>
              <a:defRPr sz="1600" b="1" i="0" u="sng" strike="noStrike" kern="1200" spc="0" baseline="0">
                <a:solidFill>
                  <a:sysClr val="windowText" lastClr="000000"/>
                </a:solidFill>
                <a:latin typeface="Lato Black" panose="020F0A02020204030203" pitchFamily="34" charset="0"/>
                <a:ea typeface="+mn-ea"/>
                <a:cs typeface="+mn-cs"/>
              </a:defRPr>
            </a:pPr>
            <a:r>
              <a:rPr lang="en-IN" sz="1600" b="1" u="sng"/>
              <a:t>Infant Deaths by Moderate Premature Status</a:t>
            </a:r>
          </a:p>
        </c:rich>
      </c:tx>
      <c:layout>
        <c:manualLayout>
          <c:xMode val="edge"/>
          <c:yMode val="edge"/>
          <c:x val="0.13285249324490297"/>
          <c:y val="1.383442265795207E-2"/>
        </c:manualLayout>
      </c:layout>
      <c:overlay val="0"/>
      <c:spPr>
        <a:noFill/>
        <a:ln>
          <a:noFill/>
        </a:ln>
        <a:effectLst/>
      </c:spPr>
      <c:txPr>
        <a:bodyPr rot="0" spcFirstLastPara="1" vertOverflow="ellipsis" vert="horz" wrap="square" anchor="ctr" anchorCtr="1"/>
        <a:lstStyle/>
        <a:p>
          <a:pPr>
            <a:defRPr sz="1600" b="1" i="0" u="sng"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438006753932831"/>
          <c:y val="0.14996623093681918"/>
          <c:w val="0.65351802163264627"/>
          <c:h val="0.54479302832244014"/>
        </c:manualLayout>
      </c:layout>
      <c:bar3DChart>
        <c:barDir val="bar"/>
        <c:grouping val="clustered"/>
        <c:varyColors val="0"/>
        <c:ser>
          <c:idx val="0"/>
          <c:order val="0"/>
          <c:tx>
            <c:strRef>
              <c:f>Kundapura_pivot!$B$66:$B$67</c:f>
              <c:strCache>
                <c:ptCount val="1"/>
                <c:pt idx="0">
                  <c:v>Infant Death</c:v>
                </c:pt>
              </c:strCache>
            </c:strRef>
          </c:tx>
          <c:spPr>
            <a:solidFill>
              <a:schemeClr val="accent2">
                <a:shade val="76000"/>
              </a:schemeClr>
            </a:solidFill>
            <a:ln>
              <a:noFill/>
            </a:ln>
            <a:effectLst/>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Kundapura_pivot!$A$68:$A$70</c:f>
              <c:strCache>
                <c:ptCount val="2"/>
                <c:pt idx="0">
                  <c:v>Morderate Premature (&lt;32-33 weeks): NO</c:v>
                </c:pt>
                <c:pt idx="1">
                  <c:v>Morderate Premature (&lt;32-33 weeks): YES</c:v>
                </c:pt>
              </c:strCache>
            </c:strRef>
          </c:cat>
          <c:val>
            <c:numRef>
              <c:f>Kundapura_pivot!$B$68:$B$70</c:f>
              <c:numCache>
                <c:formatCode>General</c:formatCode>
                <c:ptCount val="2"/>
                <c:pt idx="0">
                  <c:v>11</c:v>
                </c:pt>
                <c:pt idx="1">
                  <c:v>1</c:v>
                </c:pt>
              </c:numCache>
            </c:numRef>
          </c:val>
          <c:extLst>
            <c:ext xmlns:c16="http://schemas.microsoft.com/office/drawing/2014/chart" uri="{C3380CC4-5D6E-409C-BE32-E72D297353CC}">
              <c16:uniqueId val="{00000000-D628-41C4-84C5-7C4FACF80BCD}"/>
            </c:ext>
          </c:extLst>
        </c:ser>
        <c:ser>
          <c:idx val="1"/>
          <c:order val="1"/>
          <c:tx>
            <c:strRef>
              <c:f>Kundapura_pivot!$C$66:$C$67</c:f>
              <c:strCache>
                <c:ptCount val="1"/>
                <c:pt idx="0">
                  <c:v>Neonatal Death</c:v>
                </c:pt>
              </c:strCache>
            </c:strRef>
          </c:tx>
          <c:spPr>
            <a:solidFill>
              <a:schemeClr val="accent2">
                <a:tint val="77000"/>
              </a:schemeClr>
            </a:solidFill>
            <a:ln>
              <a:noFill/>
            </a:ln>
            <a:effectLst/>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Kundapura_pivot!$A$68:$A$70</c:f>
              <c:strCache>
                <c:ptCount val="2"/>
                <c:pt idx="0">
                  <c:v>Morderate Premature (&lt;32-33 weeks): NO</c:v>
                </c:pt>
                <c:pt idx="1">
                  <c:v>Morderate Premature (&lt;32-33 weeks): YES</c:v>
                </c:pt>
              </c:strCache>
            </c:strRef>
          </c:cat>
          <c:val>
            <c:numRef>
              <c:f>Kundapura_pivot!$C$68:$C$70</c:f>
              <c:numCache>
                <c:formatCode>General</c:formatCode>
                <c:ptCount val="2"/>
                <c:pt idx="0">
                  <c:v>16</c:v>
                </c:pt>
                <c:pt idx="1">
                  <c:v>3</c:v>
                </c:pt>
              </c:numCache>
            </c:numRef>
          </c:val>
          <c:extLst>
            <c:ext xmlns:c16="http://schemas.microsoft.com/office/drawing/2014/chart" uri="{C3380CC4-5D6E-409C-BE32-E72D297353CC}">
              <c16:uniqueId val="{00000001-8CA7-44CA-8520-FC33FD058458}"/>
            </c:ext>
          </c:extLst>
        </c:ser>
        <c:dLbls>
          <c:showLegendKey val="0"/>
          <c:showVal val="1"/>
          <c:showCatName val="0"/>
          <c:showSerName val="0"/>
          <c:showPercent val="0"/>
          <c:showBubbleSize val="0"/>
        </c:dLbls>
        <c:gapWidth val="150"/>
        <c:shape val="box"/>
        <c:axId val="808237280"/>
        <c:axId val="804433712"/>
        <c:axId val="0"/>
      </c:bar3DChart>
      <c:catAx>
        <c:axId val="808237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804433712"/>
        <c:crosses val="autoZero"/>
        <c:auto val="1"/>
        <c:lblAlgn val="ctr"/>
        <c:lblOffset val="100"/>
        <c:noMultiLvlLbl val="0"/>
      </c:catAx>
      <c:valAx>
        <c:axId val="804433712"/>
        <c:scaling>
          <c:orientation val="minMax"/>
        </c:scaling>
        <c:delete val="1"/>
        <c:axPos val="b"/>
        <c:numFmt formatCode="General" sourceLinked="1"/>
        <c:majorTickMark val="none"/>
        <c:minorTickMark val="none"/>
        <c:tickLblPos val="nextTo"/>
        <c:crossAx val="808237280"/>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death_copy.xlsx]Kundapura_pivot!Late_ku</c:name>
    <c:fmtId val="5"/>
  </c:pivotSource>
  <c:chart>
    <c:title>
      <c:tx>
        <c:rich>
          <a:bodyPr rot="0" spcFirstLastPara="1" vertOverflow="ellipsis" vert="horz" wrap="square" anchor="ctr" anchorCtr="1"/>
          <a:lstStyle/>
          <a:p>
            <a:pPr>
              <a:defRPr sz="1600" b="1" i="0" u="sng" strike="noStrike" kern="1200" spc="0" baseline="0">
                <a:solidFill>
                  <a:sysClr val="windowText" lastClr="000000"/>
                </a:solidFill>
                <a:latin typeface="Lato Black" panose="020F0A02020204030203" pitchFamily="34" charset="0"/>
                <a:ea typeface="+mn-ea"/>
                <a:cs typeface="+mn-cs"/>
              </a:defRPr>
            </a:pPr>
            <a:r>
              <a:rPr lang="en-IN" sz="1600" b="1" u="sng"/>
              <a:t>Infant Deaths by Late Premature Status</a:t>
            </a:r>
          </a:p>
        </c:rich>
      </c:tx>
      <c:layout>
        <c:manualLayout>
          <c:xMode val="edge"/>
          <c:yMode val="edge"/>
          <c:x val="0.13563188976377952"/>
          <c:y val="1.8518518518518517E-2"/>
        </c:manualLayout>
      </c:layout>
      <c:overlay val="0"/>
      <c:spPr>
        <a:noFill/>
        <a:ln>
          <a:noFill/>
        </a:ln>
        <a:effectLst/>
      </c:spPr>
      <c:txPr>
        <a:bodyPr rot="0" spcFirstLastPara="1" vertOverflow="ellipsis" vert="horz" wrap="square" anchor="ctr" anchorCtr="1"/>
        <a:lstStyle/>
        <a:p>
          <a:pPr>
            <a:defRPr sz="1600" b="1" i="0" u="sng"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183967629046371"/>
          <c:y val="0.12407407407407406"/>
          <c:w val="0.56704921259842522"/>
          <c:h val="0.59837926509186357"/>
        </c:manualLayout>
      </c:layout>
      <c:bar3DChart>
        <c:barDir val="bar"/>
        <c:grouping val="clustered"/>
        <c:varyColors val="0"/>
        <c:ser>
          <c:idx val="0"/>
          <c:order val="0"/>
          <c:tx>
            <c:strRef>
              <c:f>Kundapura_pivot!$B$73:$B$74</c:f>
              <c:strCache>
                <c:ptCount val="1"/>
                <c:pt idx="0">
                  <c:v>Infant Death</c:v>
                </c:pt>
              </c:strCache>
            </c:strRef>
          </c:tx>
          <c:spPr>
            <a:solidFill>
              <a:schemeClr val="accent2">
                <a:shade val="76000"/>
              </a:schemeClr>
            </a:solidFill>
            <a:ln>
              <a:noFill/>
            </a:ln>
            <a:effectLst/>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Kundapura_pivot!$A$75:$A$77</c:f>
              <c:strCache>
                <c:ptCount val="2"/>
                <c:pt idx="0">
                  <c:v>Late Pre-term (34-36 weeks): NO</c:v>
                </c:pt>
                <c:pt idx="1">
                  <c:v>Late Pre-term (34-36 weeks): YES</c:v>
                </c:pt>
              </c:strCache>
            </c:strRef>
          </c:cat>
          <c:val>
            <c:numRef>
              <c:f>Kundapura_pivot!$B$75:$B$77</c:f>
              <c:numCache>
                <c:formatCode>General</c:formatCode>
                <c:ptCount val="2"/>
                <c:pt idx="0">
                  <c:v>12</c:v>
                </c:pt>
              </c:numCache>
            </c:numRef>
          </c:val>
          <c:extLst>
            <c:ext xmlns:c16="http://schemas.microsoft.com/office/drawing/2014/chart" uri="{C3380CC4-5D6E-409C-BE32-E72D297353CC}">
              <c16:uniqueId val="{00000000-8144-443A-8D1D-C0B60F2807A5}"/>
            </c:ext>
          </c:extLst>
        </c:ser>
        <c:ser>
          <c:idx val="1"/>
          <c:order val="1"/>
          <c:tx>
            <c:strRef>
              <c:f>Kundapura_pivot!$C$73:$C$74</c:f>
              <c:strCache>
                <c:ptCount val="1"/>
                <c:pt idx="0">
                  <c:v>Neonatal Death</c:v>
                </c:pt>
              </c:strCache>
            </c:strRef>
          </c:tx>
          <c:spPr>
            <a:solidFill>
              <a:schemeClr val="accent2">
                <a:tint val="77000"/>
              </a:schemeClr>
            </a:solidFill>
            <a:ln>
              <a:noFill/>
            </a:ln>
            <a:effectLst/>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Kundapura_pivot!$A$75:$A$77</c:f>
              <c:strCache>
                <c:ptCount val="2"/>
                <c:pt idx="0">
                  <c:v>Late Pre-term (34-36 weeks): NO</c:v>
                </c:pt>
                <c:pt idx="1">
                  <c:v>Late Pre-term (34-36 weeks): YES</c:v>
                </c:pt>
              </c:strCache>
            </c:strRef>
          </c:cat>
          <c:val>
            <c:numRef>
              <c:f>Kundapura_pivot!$C$75:$C$77</c:f>
              <c:numCache>
                <c:formatCode>General</c:formatCode>
                <c:ptCount val="2"/>
                <c:pt idx="0">
                  <c:v>18</c:v>
                </c:pt>
                <c:pt idx="1">
                  <c:v>1</c:v>
                </c:pt>
              </c:numCache>
            </c:numRef>
          </c:val>
          <c:extLst>
            <c:ext xmlns:c16="http://schemas.microsoft.com/office/drawing/2014/chart" uri="{C3380CC4-5D6E-409C-BE32-E72D297353CC}">
              <c16:uniqueId val="{00000001-FD88-413A-B836-516090A2F7CC}"/>
            </c:ext>
          </c:extLst>
        </c:ser>
        <c:dLbls>
          <c:showLegendKey val="0"/>
          <c:showVal val="1"/>
          <c:showCatName val="0"/>
          <c:showSerName val="0"/>
          <c:showPercent val="0"/>
          <c:showBubbleSize val="0"/>
        </c:dLbls>
        <c:gapWidth val="150"/>
        <c:shape val="box"/>
        <c:axId val="814608912"/>
        <c:axId val="814610832"/>
        <c:axId val="0"/>
      </c:bar3DChart>
      <c:catAx>
        <c:axId val="814608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814610832"/>
        <c:crosses val="autoZero"/>
        <c:auto val="1"/>
        <c:lblAlgn val="ctr"/>
        <c:lblOffset val="100"/>
        <c:noMultiLvlLbl val="0"/>
      </c:catAx>
      <c:valAx>
        <c:axId val="814610832"/>
        <c:scaling>
          <c:orientation val="minMax"/>
        </c:scaling>
        <c:delete val="1"/>
        <c:axPos val="b"/>
        <c:numFmt formatCode="General" sourceLinked="1"/>
        <c:majorTickMark val="none"/>
        <c:minorTickMark val="none"/>
        <c:tickLblPos val="nextTo"/>
        <c:crossAx val="814608912"/>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death_copy.xlsx]Kundapura_pivot!gender(K2)</c:name>
    <c:fmtId val="5"/>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Lato Black" panose="020F0A02020204030203" pitchFamily="34" charset="0"/>
                <a:ea typeface="+mn-ea"/>
                <a:cs typeface="+mn-cs"/>
              </a:defRPr>
            </a:pPr>
            <a:r>
              <a:rPr lang="en-IN" sz="1600"/>
              <a:t>Gender-wise Analysis of Infant &amp; Neonatal Deaths</a:t>
            </a: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a:gsLst>
              <a:gs pos="0">
                <a:schemeClr val="tx2">
                  <a:lumMod val="60000"/>
                  <a:lumOff val="40000"/>
                </a:schemeClr>
              </a:gs>
              <a:gs pos="100000">
                <a:schemeClr val="tx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8"/>
          <c:spPr>
            <a:solidFill>
              <a:schemeClr val="accent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60000"/>
                  <a:lumOff val="40000"/>
                </a:schemeClr>
              </a:gs>
              <a:gs pos="100000">
                <a:schemeClr val="tx2">
                  <a:lumMod val="75000"/>
                </a:schemeClr>
              </a:gs>
            </a:gsLst>
            <a:lin ang="5400000" scaled="1"/>
          </a:gradFill>
          <a:ln>
            <a:noFill/>
          </a:ln>
          <a:effectLst/>
        </c:spPr>
        <c:dLbl>
          <c:idx val="0"/>
          <c:layout>
            <c:manualLayout>
              <c:x val="-5.555555555555555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tx2">
                  <a:lumMod val="60000"/>
                  <a:lumOff val="40000"/>
                </a:schemeClr>
              </a:gs>
              <a:gs pos="100000">
                <a:schemeClr val="tx2">
                  <a:lumMod val="75000"/>
                </a:schemeClr>
              </a:gs>
            </a:gsLst>
            <a:lin ang="5400000" scaled="1"/>
          </a:gradFill>
          <a:ln>
            <a:noFill/>
          </a:ln>
          <a:effectLst/>
        </c:spPr>
        <c:dLbl>
          <c:idx val="0"/>
          <c:layout>
            <c:manualLayout>
              <c:x val="6.9444444444444337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circle"/>
          <c:size val="8"/>
          <c:spPr>
            <a:solidFill>
              <a:schemeClr val="accent2"/>
            </a:solidFill>
            <a:ln w="9525">
              <a:noFill/>
            </a:ln>
            <a:effectLst/>
          </c:spPr>
        </c:marker>
        <c:dLbl>
          <c:idx val="0"/>
          <c:layout>
            <c:manualLayout>
              <c:x val="-3.3333333333333437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circle"/>
          <c:size val="8"/>
          <c:spPr>
            <a:solidFill>
              <a:schemeClr val="accent2"/>
            </a:solidFill>
            <a:ln w="9525">
              <a:noFill/>
            </a:ln>
            <a:effectLst/>
          </c:spPr>
        </c:marker>
        <c:dLbl>
          <c:idx val="0"/>
          <c:layout>
            <c:manualLayout>
              <c:x val="-4.1666666666666664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tx2">
                  <a:lumMod val="60000"/>
                  <a:lumOff val="40000"/>
                </a:schemeClr>
              </a:gs>
              <a:gs pos="100000">
                <a:schemeClr val="tx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tx2">
                  <a:lumMod val="60000"/>
                  <a:lumOff val="40000"/>
                </a:schemeClr>
              </a:gs>
              <a:gs pos="100000">
                <a:schemeClr val="tx2">
                  <a:lumMod val="75000"/>
                </a:schemeClr>
              </a:gs>
            </a:gsLst>
            <a:lin ang="5400000" scaled="1"/>
          </a:gradFill>
          <a:ln>
            <a:noFill/>
          </a:ln>
          <a:effectLst/>
        </c:spPr>
        <c:dLbl>
          <c:idx val="0"/>
          <c:layout>
            <c:manualLayout>
              <c:x val="-5.555555555555555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tx2">
                  <a:lumMod val="60000"/>
                  <a:lumOff val="40000"/>
                </a:schemeClr>
              </a:gs>
              <a:gs pos="100000">
                <a:schemeClr val="tx2">
                  <a:lumMod val="75000"/>
                </a:schemeClr>
              </a:gs>
            </a:gsLst>
            <a:lin ang="5400000" scaled="1"/>
          </a:gradFill>
          <a:ln>
            <a:noFill/>
          </a:ln>
          <a:effectLst/>
        </c:spPr>
        <c:dLbl>
          <c:idx val="0"/>
          <c:layout>
            <c:manualLayout>
              <c:x val="6.9444444444444337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8"/>
          <c:spPr>
            <a:solidFill>
              <a:schemeClr val="accent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solidFill>
            <a:round/>
          </a:ln>
          <a:effectLst/>
        </c:spPr>
        <c:marker>
          <c:symbol val="circle"/>
          <c:size val="8"/>
          <c:spPr>
            <a:solidFill>
              <a:schemeClr val="accent2"/>
            </a:solidFill>
            <a:ln w="9525">
              <a:noFill/>
            </a:ln>
            <a:effectLst/>
          </c:spPr>
        </c:marker>
        <c:dLbl>
          <c:idx val="0"/>
          <c:layout>
            <c:manualLayout>
              <c:x val="-4.1666666666666664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ymbol val="circle"/>
          <c:size val="8"/>
          <c:spPr>
            <a:solidFill>
              <a:schemeClr val="accent2"/>
            </a:solidFill>
            <a:ln w="9525">
              <a:noFill/>
            </a:ln>
            <a:effectLst/>
          </c:spPr>
        </c:marker>
        <c:dLbl>
          <c:idx val="0"/>
          <c:layout>
            <c:manualLayout>
              <c:x val="-3.3333333333333437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rgbClr val="F698E6"/>
              </a:gs>
              <a:gs pos="100000">
                <a:srgbClr val="E329C8"/>
              </a:gs>
            </a:gsLst>
            <a:lin ang="54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F698E6"/>
              </a:gs>
              <a:gs pos="100000">
                <a:srgbClr val="E329C8"/>
              </a:gs>
            </a:gsLst>
            <a:lin ang="5400000" scaled="1"/>
          </a:gradFill>
          <a:ln>
            <a:noFill/>
          </a:ln>
          <a:effectLst/>
          <a:sp3d/>
        </c:spPr>
      </c:pivotFmt>
      <c:pivotFmt>
        <c:idx val="14"/>
        <c:spPr>
          <a:gradFill>
            <a:gsLst>
              <a:gs pos="0">
                <a:srgbClr val="F698E6"/>
              </a:gs>
              <a:gs pos="100000">
                <a:srgbClr val="E329C8"/>
              </a:gs>
            </a:gsLst>
            <a:lin ang="5400000" scaled="1"/>
          </a:gradFill>
          <a:ln>
            <a:noFill/>
          </a:ln>
          <a:effectLst/>
          <a:sp3d/>
        </c:spPr>
      </c:pivotFmt>
      <c:pivotFmt>
        <c:idx val="15"/>
        <c:spPr>
          <a:gradFill>
            <a:gsLst>
              <a:gs pos="0">
                <a:schemeClr val="tx2">
                  <a:lumMod val="60000"/>
                  <a:lumOff val="40000"/>
                </a:schemeClr>
              </a:gs>
              <a:gs pos="100000">
                <a:schemeClr val="tx2">
                  <a:lumMod val="50000"/>
                </a:schemeClr>
              </a:gs>
            </a:gsLst>
            <a:lin ang="54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chemeClr val="tx2">
                  <a:lumMod val="60000"/>
                  <a:lumOff val="40000"/>
                </a:schemeClr>
              </a:gs>
              <a:gs pos="100000">
                <a:schemeClr val="tx2">
                  <a:lumMod val="50000"/>
                </a:schemeClr>
              </a:gs>
            </a:gsLst>
            <a:lin ang="5400000" scaled="1"/>
          </a:gradFill>
          <a:ln>
            <a:noFill/>
          </a:ln>
          <a:effectLst/>
          <a:sp3d/>
        </c:spPr>
      </c:pivotFmt>
      <c:pivotFmt>
        <c:idx val="17"/>
        <c:spPr>
          <a:gradFill>
            <a:gsLst>
              <a:gs pos="0">
                <a:schemeClr val="tx2">
                  <a:lumMod val="60000"/>
                  <a:lumOff val="40000"/>
                </a:schemeClr>
              </a:gs>
              <a:gs pos="100000">
                <a:schemeClr val="tx2">
                  <a:lumMod val="50000"/>
                </a:schemeClr>
              </a:gs>
            </a:gsLst>
            <a:lin ang="5400000" scaled="1"/>
          </a:gra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803149606299215E-2"/>
          <c:y val="0.12541666666666668"/>
          <c:w val="0.98341907261592298"/>
          <c:h val="0.7260954359871683"/>
        </c:manualLayout>
      </c:layout>
      <c:bar3DChart>
        <c:barDir val="col"/>
        <c:grouping val="standard"/>
        <c:varyColors val="0"/>
        <c:ser>
          <c:idx val="0"/>
          <c:order val="0"/>
          <c:tx>
            <c:strRef>
              <c:f>Kundapura_pivot!$B$16:$B$17</c:f>
              <c:strCache>
                <c:ptCount val="1"/>
                <c:pt idx="0">
                  <c:v>Female</c:v>
                </c:pt>
              </c:strCache>
            </c:strRef>
          </c:tx>
          <c:spPr>
            <a:gradFill>
              <a:gsLst>
                <a:gs pos="0">
                  <a:srgbClr val="F698E6"/>
                </a:gs>
                <a:gs pos="100000">
                  <a:srgbClr val="E329C8"/>
                </a:gs>
              </a:gsLst>
              <a:lin ang="5400000" scaled="1"/>
            </a:gradFill>
            <a:ln>
              <a:noFill/>
            </a:ln>
            <a:effectLst/>
            <a:sp3d/>
          </c:spPr>
          <c:invertIfNegative val="0"/>
          <c:dPt>
            <c:idx val="0"/>
            <c:invertIfNegative val="0"/>
            <c:bubble3D val="0"/>
            <c:spPr>
              <a:gradFill>
                <a:gsLst>
                  <a:gs pos="0">
                    <a:srgbClr val="F698E6"/>
                  </a:gs>
                  <a:gs pos="100000">
                    <a:srgbClr val="E329C8"/>
                  </a:gs>
                </a:gsLst>
                <a:lin ang="5400000" scaled="1"/>
              </a:gradFill>
              <a:ln>
                <a:noFill/>
              </a:ln>
              <a:effectLst/>
              <a:sp3d/>
            </c:spPr>
            <c:extLst>
              <c:ext xmlns:c16="http://schemas.microsoft.com/office/drawing/2014/chart" uri="{C3380CC4-5D6E-409C-BE32-E72D297353CC}">
                <c16:uniqueId val="{00000000-B69A-4F74-B2F7-6505039CFC0F}"/>
              </c:ext>
            </c:extLst>
          </c:dPt>
          <c:dPt>
            <c:idx val="1"/>
            <c:invertIfNegative val="0"/>
            <c:bubble3D val="0"/>
            <c:spPr>
              <a:gradFill>
                <a:gsLst>
                  <a:gs pos="0">
                    <a:srgbClr val="F698E6"/>
                  </a:gs>
                  <a:gs pos="100000">
                    <a:srgbClr val="E329C8"/>
                  </a:gs>
                </a:gsLst>
                <a:lin ang="5400000" scaled="1"/>
              </a:gradFill>
              <a:ln>
                <a:noFill/>
              </a:ln>
              <a:effectLst/>
              <a:sp3d/>
            </c:spPr>
            <c:extLst>
              <c:ext xmlns:c16="http://schemas.microsoft.com/office/drawing/2014/chart" uri="{C3380CC4-5D6E-409C-BE32-E72D297353CC}">
                <c16:uniqueId val="{00000001-B69A-4F74-B2F7-6505039CFC0F}"/>
              </c:ext>
            </c:extLst>
          </c:dPt>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Kundapura_pivot!$A$18:$A$20</c:f>
              <c:strCache>
                <c:ptCount val="2"/>
                <c:pt idx="0">
                  <c:v>Infant Death</c:v>
                </c:pt>
                <c:pt idx="1">
                  <c:v>Neonatal Death</c:v>
                </c:pt>
              </c:strCache>
            </c:strRef>
          </c:cat>
          <c:val>
            <c:numRef>
              <c:f>Kundapura_pivot!$B$18:$B$20</c:f>
              <c:numCache>
                <c:formatCode>General</c:formatCode>
                <c:ptCount val="2"/>
                <c:pt idx="0">
                  <c:v>5</c:v>
                </c:pt>
                <c:pt idx="1">
                  <c:v>9</c:v>
                </c:pt>
              </c:numCache>
            </c:numRef>
          </c:val>
          <c:extLst>
            <c:ext xmlns:c16="http://schemas.microsoft.com/office/drawing/2014/chart" uri="{C3380CC4-5D6E-409C-BE32-E72D297353CC}">
              <c16:uniqueId val="{00000002-B69A-4F74-B2F7-6505039CFC0F}"/>
            </c:ext>
          </c:extLst>
        </c:ser>
        <c:ser>
          <c:idx val="1"/>
          <c:order val="1"/>
          <c:tx>
            <c:strRef>
              <c:f>Kundapura_pivot!$C$16:$C$17</c:f>
              <c:strCache>
                <c:ptCount val="1"/>
                <c:pt idx="0">
                  <c:v>Male</c:v>
                </c:pt>
              </c:strCache>
            </c:strRef>
          </c:tx>
          <c:spPr>
            <a:gradFill>
              <a:gsLst>
                <a:gs pos="0">
                  <a:schemeClr val="tx2">
                    <a:lumMod val="60000"/>
                    <a:lumOff val="40000"/>
                  </a:schemeClr>
                </a:gs>
                <a:gs pos="100000">
                  <a:schemeClr val="tx2">
                    <a:lumMod val="50000"/>
                  </a:schemeClr>
                </a:gs>
              </a:gsLst>
              <a:lin ang="5400000" scaled="1"/>
            </a:gradFill>
            <a:ln>
              <a:noFill/>
            </a:ln>
            <a:effectLst/>
            <a:sp3d/>
          </c:spPr>
          <c:invertIfNegative val="0"/>
          <c:dPt>
            <c:idx val="0"/>
            <c:invertIfNegative val="0"/>
            <c:bubble3D val="0"/>
            <c:spPr>
              <a:gradFill>
                <a:gsLst>
                  <a:gs pos="0">
                    <a:schemeClr val="tx2">
                      <a:lumMod val="60000"/>
                      <a:lumOff val="40000"/>
                    </a:schemeClr>
                  </a:gs>
                  <a:gs pos="100000">
                    <a:schemeClr val="tx2">
                      <a:lumMod val="50000"/>
                    </a:schemeClr>
                  </a:gs>
                </a:gsLst>
                <a:lin ang="5400000" scaled="1"/>
              </a:gradFill>
              <a:ln>
                <a:noFill/>
              </a:ln>
              <a:effectLst/>
              <a:sp3d/>
            </c:spPr>
            <c:extLst>
              <c:ext xmlns:c16="http://schemas.microsoft.com/office/drawing/2014/chart" uri="{C3380CC4-5D6E-409C-BE32-E72D297353CC}">
                <c16:uniqueId val="{00000005-BD4E-414F-852F-9E24153B68BA}"/>
              </c:ext>
            </c:extLst>
          </c:dPt>
          <c:dPt>
            <c:idx val="1"/>
            <c:invertIfNegative val="0"/>
            <c:bubble3D val="0"/>
            <c:spPr>
              <a:gradFill>
                <a:gsLst>
                  <a:gs pos="0">
                    <a:schemeClr val="tx2">
                      <a:lumMod val="60000"/>
                      <a:lumOff val="40000"/>
                    </a:schemeClr>
                  </a:gs>
                  <a:gs pos="100000">
                    <a:schemeClr val="tx2">
                      <a:lumMod val="50000"/>
                    </a:schemeClr>
                  </a:gs>
                </a:gsLst>
                <a:lin ang="5400000" scaled="1"/>
              </a:gradFill>
              <a:ln>
                <a:noFill/>
              </a:ln>
              <a:effectLst/>
              <a:sp3d/>
            </c:spPr>
            <c:extLst>
              <c:ext xmlns:c16="http://schemas.microsoft.com/office/drawing/2014/chart" uri="{C3380CC4-5D6E-409C-BE32-E72D297353CC}">
                <c16:uniqueId val="{00000007-BD4E-414F-852F-9E24153B68BA}"/>
              </c:ext>
            </c:extLst>
          </c:dPt>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Kundapura_pivot!$A$18:$A$20</c:f>
              <c:strCache>
                <c:ptCount val="2"/>
                <c:pt idx="0">
                  <c:v>Infant Death</c:v>
                </c:pt>
                <c:pt idx="1">
                  <c:v>Neonatal Death</c:v>
                </c:pt>
              </c:strCache>
            </c:strRef>
          </c:cat>
          <c:val>
            <c:numRef>
              <c:f>Kundapura_pivot!$C$18:$C$20</c:f>
              <c:numCache>
                <c:formatCode>General</c:formatCode>
                <c:ptCount val="2"/>
                <c:pt idx="0">
                  <c:v>7</c:v>
                </c:pt>
                <c:pt idx="1">
                  <c:v>10</c:v>
                </c:pt>
              </c:numCache>
            </c:numRef>
          </c:val>
          <c:extLst>
            <c:ext xmlns:c16="http://schemas.microsoft.com/office/drawing/2014/chart" uri="{C3380CC4-5D6E-409C-BE32-E72D297353CC}">
              <c16:uniqueId val="{00000004-7C8B-4A74-B95A-B35A5FDE22E7}"/>
            </c:ext>
          </c:extLst>
        </c:ser>
        <c:dLbls>
          <c:showLegendKey val="0"/>
          <c:showVal val="1"/>
          <c:showCatName val="0"/>
          <c:showSerName val="0"/>
          <c:showPercent val="0"/>
          <c:showBubbleSize val="0"/>
        </c:dLbls>
        <c:gapWidth val="219"/>
        <c:shape val="box"/>
        <c:axId val="1151488736"/>
        <c:axId val="1151494016"/>
        <c:axId val="791995727"/>
      </c:bar3DChart>
      <c:catAx>
        <c:axId val="1151488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151494016"/>
        <c:crosses val="autoZero"/>
        <c:auto val="1"/>
        <c:lblAlgn val="ctr"/>
        <c:lblOffset val="100"/>
        <c:noMultiLvlLbl val="0"/>
      </c:catAx>
      <c:valAx>
        <c:axId val="11514940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151488736"/>
        <c:crosses val="autoZero"/>
        <c:crossBetween val="between"/>
      </c:valAx>
      <c:serAx>
        <c:axId val="791995727"/>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151494016"/>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death_copy.xlsx]Kundapura_pivot!Preventable(K2)</c:name>
    <c:fmtId val="14"/>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none" strike="noStrike" kern="1200" baseline="0">
                <a:solidFill>
                  <a:schemeClr val="tx1"/>
                </a:solidFill>
                <a:latin typeface="Lato Black" panose="020F0A02020204030203" pitchFamily="34" charset="0"/>
              </a:rPr>
              <a:t>Preventability of Infant &amp; Neonatal Deaths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rgbClr val="E64D10"/>
              </a:gs>
              <a:gs pos="99000">
                <a:srgbClr val="CB0707"/>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rgbClr val="E64D10"/>
                </a:gs>
                <a:gs pos="99000">
                  <a:srgbClr val="CB0707"/>
                </a:gs>
              </a:gsLst>
              <a:lin ang="5400000" scaled="1"/>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E90D22"/>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E64D10"/>
              </a:gs>
              <a:gs pos="99000">
                <a:srgbClr val="CB0707"/>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E90D22"/>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F06128"/>
              </a:gs>
              <a:gs pos="99000">
                <a:srgbClr val="9C060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E90D22"/>
              </a:gs>
              <a:gs pos="99000">
                <a:srgbClr val="850505"/>
              </a:gs>
            </a:gsLst>
            <a:lin ang="5400000" scaled="1"/>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Kundapura_pivot!$B$23:$B$24</c:f>
              <c:strCache>
                <c:ptCount val="1"/>
                <c:pt idx="0">
                  <c:v>Infant Death</c:v>
                </c:pt>
              </c:strCache>
            </c:strRef>
          </c:tx>
          <c:spPr>
            <a:gradFill rotWithShape="1">
              <a:gsLst>
                <a:gs pos="0">
                  <a:srgbClr val="F06128"/>
                </a:gs>
                <a:gs pos="99000">
                  <a:srgbClr val="9C060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Kundapura_pivot!$A$25:$A$27</c:f>
              <c:strCache>
                <c:ptCount val="2"/>
                <c:pt idx="0">
                  <c:v>Non-Preventable</c:v>
                </c:pt>
                <c:pt idx="1">
                  <c:v>Preventable</c:v>
                </c:pt>
              </c:strCache>
            </c:strRef>
          </c:cat>
          <c:val>
            <c:numRef>
              <c:f>Kundapura_pivot!$B$25:$B$27</c:f>
              <c:numCache>
                <c:formatCode>General</c:formatCode>
                <c:ptCount val="2"/>
                <c:pt idx="0">
                  <c:v>5</c:v>
                </c:pt>
                <c:pt idx="1">
                  <c:v>7</c:v>
                </c:pt>
              </c:numCache>
            </c:numRef>
          </c:val>
          <c:extLst>
            <c:ext xmlns:c16="http://schemas.microsoft.com/office/drawing/2014/chart" uri="{C3380CC4-5D6E-409C-BE32-E72D297353CC}">
              <c16:uniqueId val="{00000000-743F-453F-9ECA-4274DBC8E8B3}"/>
            </c:ext>
          </c:extLst>
        </c:ser>
        <c:ser>
          <c:idx val="1"/>
          <c:order val="1"/>
          <c:tx>
            <c:strRef>
              <c:f>Kundapura_pivot!$C$23:$C$24</c:f>
              <c:strCache>
                <c:ptCount val="1"/>
                <c:pt idx="0">
                  <c:v>Neonatal Death</c:v>
                </c:pt>
              </c:strCache>
            </c:strRef>
          </c:tx>
          <c:spPr>
            <a:gradFill rotWithShape="1">
              <a:gsLst>
                <a:gs pos="0">
                  <a:srgbClr val="E90D22"/>
                </a:gs>
                <a:gs pos="99000">
                  <a:srgbClr val="850505"/>
                </a:gs>
              </a:gsLst>
              <a:lin ang="5400000" scaled="1"/>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Kundapura_pivot!$A$25:$A$27</c:f>
              <c:strCache>
                <c:ptCount val="2"/>
                <c:pt idx="0">
                  <c:v>Non-Preventable</c:v>
                </c:pt>
                <c:pt idx="1">
                  <c:v>Preventable</c:v>
                </c:pt>
              </c:strCache>
            </c:strRef>
          </c:cat>
          <c:val>
            <c:numRef>
              <c:f>Kundapura_pivot!$C$25:$C$27</c:f>
              <c:numCache>
                <c:formatCode>General</c:formatCode>
                <c:ptCount val="2"/>
                <c:pt idx="0">
                  <c:v>18</c:v>
                </c:pt>
                <c:pt idx="1">
                  <c:v>1</c:v>
                </c:pt>
              </c:numCache>
            </c:numRef>
          </c:val>
          <c:extLst>
            <c:ext xmlns:c16="http://schemas.microsoft.com/office/drawing/2014/chart" uri="{C3380CC4-5D6E-409C-BE32-E72D297353CC}">
              <c16:uniqueId val="{00000002-8976-47B2-90FB-C3C60FED5847}"/>
            </c:ext>
          </c:extLst>
        </c:ser>
        <c:dLbls>
          <c:showLegendKey val="0"/>
          <c:showVal val="1"/>
          <c:showCatName val="0"/>
          <c:showSerName val="0"/>
          <c:showPercent val="0"/>
          <c:showBubbleSize val="0"/>
        </c:dLbls>
        <c:gapWidth val="75"/>
        <c:axId val="1151485856"/>
        <c:axId val="1151484416"/>
      </c:barChart>
      <c:valAx>
        <c:axId val="1151484416"/>
        <c:scaling>
          <c:orientation val="minMax"/>
          <c:max val="18"/>
        </c:scaling>
        <c:delete val="1"/>
        <c:axPos val="t"/>
        <c:numFmt formatCode="General" sourceLinked="1"/>
        <c:majorTickMark val="none"/>
        <c:minorTickMark val="none"/>
        <c:tickLblPos val="nextTo"/>
        <c:crossAx val="1151485856"/>
        <c:crosses val="max"/>
        <c:crossBetween val="between"/>
      </c:valAx>
      <c:catAx>
        <c:axId val="11514858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151484416"/>
        <c:crosses val="autoZero"/>
        <c:auto val="1"/>
        <c:lblAlgn val="ctr"/>
        <c:lblOffset val="100"/>
        <c:noMultiLvlLbl val="0"/>
      </c:cat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death_copy.xlsx]Udupi_pivot!LBW_ud</c:name>
    <c:fmtId val="4"/>
  </c:pivotSource>
  <c:chart>
    <c:title>
      <c:tx>
        <c:rich>
          <a:bodyPr rot="0" spcFirstLastPara="1" vertOverflow="ellipsis" vert="horz" wrap="square" anchor="ctr" anchorCtr="1"/>
          <a:lstStyle/>
          <a:p>
            <a:pPr>
              <a:defRPr sz="1600" b="1" i="0" u="sng" strike="noStrike" kern="1200" baseline="0">
                <a:solidFill>
                  <a:sysClr val="windowText" lastClr="000000"/>
                </a:solidFill>
                <a:latin typeface="Lato Black" panose="020F0A02020204030203" pitchFamily="34" charset="0"/>
                <a:ea typeface="+mn-ea"/>
                <a:cs typeface="+mn-cs"/>
              </a:defRPr>
            </a:pPr>
            <a:r>
              <a:rPr lang="en-IN" sz="1600" u="sng"/>
              <a:t>Infant Deaths by LBW Status</a:t>
            </a:r>
          </a:p>
        </c:rich>
      </c:tx>
      <c:overlay val="0"/>
      <c:spPr>
        <a:noFill/>
        <a:ln>
          <a:noFill/>
        </a:ln>
        <a:effectLst/>
      </c:spPr>
      <c:txPr>
        <a:bodyPr rot="0" spcFirstLastPara="1" vertOverflow="ellipsis" vert="horz" wrap="square" anchor="ctr" anchorCtr="1"/>
        <a:lstStyle/>
        <a:p>
          <a:pPr>
            <a:defRPr sz="1600" b="1" i="0" u="sng"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8587105624142658E-3"/>
              <c:y val="-1.7182130584192441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8587105624142658E-3"/>
              <c:y val="-1.7182130584192441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8587105624142658E-3"/>
              <c:y val="-1.7182130584192441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303419634274114"/>
          <c:y val="0.17485681557846505"/>
          <c:w val="0.81818665413736869"/>
          <c:h val="0.5450564169169575"/>
        </c:manualLayout>
      </c:layout>
      <c:bar3DChart>
        <c:barDir val="bar"/>
        <c:grouping val="clustered"/>
        <c:varyColors val="0"/>
        <c:ser>
          <c:idx val="0"/>
          <c:order val="0"/>
          <c:tx>
            <c:strRef>
              <c:f>Udupi_pivot!$B$52:$B$53</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Udupi_pivot!$A$54:$A$56</c:f>
              <c:strCache>
                <c:ptCount val="2"/>
                <c:pt idx="0">
                  <c:v>LBW: NO</c:v>
                </c:pt>
                <c:pt idx="1">
                  <c:v>LBW: YES</c:v>
                </c:pt>
              </c:strCache>
            </c:strRef>
          </c:cat>
          <c:val>
            <c:numRef>
              <c:f>Udupi_pivot!$B$54:$B$56</c:f>
              <c:numCache>
                <c:formatCode>General</c:formatCode>
                <c:ptCount val="2"/>
                <c:pt idx="0">
                  <c:v>9</c:v>
                </c:pt>
              </c:numCache>
            </c:numRef>
          </c:val>
          <c:extLst>
            <c:ext xmlns:c16="http://schemas.microsoft.com/office/drawing/2014/chart" uri="{C3380CC4-5D6E-409C-BE32-E72D297353CC}">
              <c16:uniqueId val="{00000000-9ABD-4A3F-AA43-FFA917EA7D8A}"/>
            </c:ext>
          </c:extLst>
        </c:ser>
        <c:ser>
          <c:idx val="1"/>
          <c:order val="1"/>
          <c:tx>
            <c:strRef>
              <c:f>Udupi_pivot!$C$52:$C$53</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649-4163-8A1A-FC56B9EB5F01}"/>
              </c:ext>
            </c:extLst>
          </c:dPt>
          <c:dLbls>
            <c:dLbl>
              <c:idx val="0"/>
              <c:layout>
                <c:manualLayout>
                  <c:x val="6.8587105624142658E-3"/>
                  <c:y val="-1.71821305841924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49-4163-8A1A-FC56B9EB5F01}"/>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Udupi_pivot!$A$54:$A$56</c:f>
              <c:strCache>
                <c:ptCount val="2"/>
                <c:pt idx="0">
                  <c:v>LBW: NO</c:v>
                </c:pt>
                <c:pt idx="1">
                  <c:v>LBW: YES</c:v>
                </c:pt>
              </c:strCache>
            </c:strRef>
          </c:cat>
          <c:val>
            <c:numRef>
              <c:f>Udupi_pivot!$C$54:$C$56</c:f>
              <c:numCache>
                <c:formatCode>General</c:formatCode>
                <c:ptCount val="2"/>
                <c:pt idx="0">
                  <c:v>5</c:v>
                </c:pt>
                <c:pt idx="1">
                  <c:v>9</c:v>
                </c:pt>
              </c:numCache>
            </c:numRef>
          </c:val>
          <c:extLst>
            <c:ext xmlns:c16="http://schemas.microsoft.com/office/drawing/2014/chart" uri="{C3380CC4-5D6E-409C-BE32-E72D297353CC}">
              <c16:uniqueId val="{00000003-26B8-44B6-B395-5AF7058CFA43}"/>
            </c:ext>
          </c:extLst>
        </c:ser>
        <c:dLbls>
          <c:showLegendKey val="0"/>
          <c:showVal val="1"/>
          <c:showCatName val="0"/>
          <c:showSerName val="0"/>
          <c:showPercent val="0"/>
          <c:showBubbleSize val="0"/>
        </c:dLbls>
        <c:gapWidth val="150"/>
        <c:shape val="box"/>
        <c:axId val="1383473248"/>
        <c:axId val="1383485248"/>
        <c:axId val="0"/>
      </c:bar3DChart>
      <c:catAx>
        <c:axId val="13834732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383485248"/>
        <c:crosses val="autoZero"/>
        <c:auto val="1"/>
        <c:lblAlgn val="ctr"/>
        <c:lblOffset val="100"/>
        <c:noMultiLvlLbl val="0"/>
      </c:catAx>
      <c:valAx>
        <c:axId val="1383485248"/>
        <c:scaling>
          <c:orientation val="minMax"/>
        </c:scaling>
        <c:delete val="1"/>
        <c:axPos val="b"/>
        <c:numFmt formatCode="General" sourceLinked="1"/>
        <c:majorTickMark val="none"/>
        <c:minorTickMark val="none"/>
        <c:tickLblPos val="nextTo"/>
        <c:crossAx val="1383473248"/>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sz="1050">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death_copy.xlsx]Udupi_pivot!extreme_ud</c:name>
    <c:fmtId val="4"/>
  </c:pivotSource>
  <c:chart>
    <c:title>
      <c:tx>
        <c:rich>
          <a:bodyPr rot="0" spcFirstLastPara="1" vertOverflow="ellipsis" vert="horz" wrap="square" anchor="ctr" anchorCtr="1"/>
          <a:lstStyle/>
          <a:p>
            <a:pPr>
              <a:defRPr sz="1600" b="1" i="0" u="sng" strike="noStrike" kern="1200" baseline="0">
                <a:solidFill>
                  <a:sysClr val="windowText" lastClr="000000"/>
                </a:solidFill>
                <a:latin typeface="Lato Black" panose="020F0A02020204030203" pitchFamily="34" charset="0"/>
                <a:ea typeface="+mn-ea"/>
                <a:cs typeface="+mn-cs"/>
              </a:defRPr>
            </a:pPr>
            <a:r>
              <a:rPr lang="en-IN" sz="1600" u="sng"/>
              <a:t>Infant Deaths by Extreme Premature Status</a:t>
            </a:r>
          </a:p>
        </c:rich>
      </c:tx>
      <c:layout>
        <c:manualLayout>
          <c:xMode val="edge"/>
          <c:yMode val="edge"/>
          <c:x val="0.11912489063867017"/>
          <c:y val="1.3888888888888888E-2"/>
        </c:manualLayout>
      </c:layout>
      <c:overlay val="0"/>
      <c:spPr>
        <a:noFill/>
        <a:ln>
          <a:noFill/>
        </a:ln>
        <a:effectLst/>
      </c:spPr>
      <c:txPr>
        <a:bodyPr rot="0" spcFirstLastPara="1" vertOverflow="ellipsis" vert="horz" wrap="square" anchor="ctr" anchorCtr="1"/>
        <a:lstStyle/>
        <a:p>
          <a:pPr>
            <a:defRPr sz="1600" b="1" i="0" u="sng"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2.7777777777777776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2309E-3"/>
              <c:y val="-1.8518518518518517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2309E-3"/>
              <c:y val="-1.8518518518518517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2.7777777777777776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2309E-3"/>
              <c:y val="-1.8518518518518517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2.7777777777777776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Udupi_pivot!$B$59:$B$60</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2C99-440E-BE5A-ACD7ECE76BCA}"/>
              </c:ext>
            </c:extLst>
          </c:dPt>
          <c:dLbls>
            <c:dLbl>
              <c:idx val="0"/>
              <c:layout>
                <c:manualLayout>
                  <c:x val="8.3333333333332309E-3"/>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99-440E-BE5A-ACD7ECE76BCA}"/>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Udupi_pivot!$A$61:$A$63</c:f>
              <c:strCache>
                <c:ptCount val="2"/>
                <c:pt idx="0">
                  <c:v>Extreme preterm (&lt;28 weeks): NO</c:v>
                </c:pt>
                <c:pt idx="1">
                  <c:v>Extreme preterm (&lt;28 weeks): YES</c:v>
                </c:pt>
              </c:strCache>
            </c:strRef>
          </c:cat>
          <c:val>
            <c:numRef>
              <c:f>Udupi_pivot!$B$61:$B$63</c:f>
              <c:numCache>
                <c:formatCode>General</c:formatCode>
                <c:ptCount val="2"/>
                <c:pt idx="0">
                  <c:v>9</c:v>
                </c:pt>
              </c:numCache>
            </c:numRef>
          </c:val>
          <c:extLst>
            <c:ext xmlns:c16="http://schemas.microsoft.com/office/drawing/2014/chart" uri="{C3380CC4-5D6E-409C-BE32-E72D297353CC}">
              <c16:uniqueId val="{00000001-2C99-440E-BE5A-ACD7ECE76BCA}"/>
            </c:ext>
          </c:extLst>
        </c:ser>
        <c:ser>
          <c:idx val="1"/>
          <c:order val="1"/>
          <c:tx>
            <c:strRef>
              <c:f>Udupi_pivot!$C$59:$C$60</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CA2E-4C81-BAF8-D5E0EFAA2862}"/>
              </c:ext>
            </c:extLst>
          </c:dPt>
          <c:dLbls>
            <c:dLbl>
              <c:idx val="0"/>
              <c:layout>
                <c:manualLayout>
                  <c:x val="1.6666666666666666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2E-4C81-BAF8-D5E0EFAA2862}"/>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Udupi_pivot!$A$61:$A$63</c:f>
              <c:strCache>
                <c:ptCount val="2"/>
                <c:pt idx="0">
                  <c:v>Extreme preterm (&lt;28 weeks): NO</c:v>
                </c:pt>
                <c:pt idx="1">
                  <c:v>Extreme preterm (&lt;28 weeks): YES</c:v>
                </c:pt>
              </c:strCache>
            </c:strRef>
          </c:cat>
          <c:val>
            <c:numRef>
              <c:f>Udupi_pivot!$C$61:$C$63</c:f>
              <c:numCache>
                <c:formatCode>General</c:formatCode>
                <c:ptCount val="2"/>
                <c:pt idx="0">
                  <c:v>7</c:v>
                </c:pt>
                <c:pt idx="1">
                  <c:v>7</c:v>
                </c:pt>
              </c:numCache>
            </c:numRef>
          </c:val>
          <c:extLst>
            <c:ext xmlns:c16="http://schemas.microsoft.com/office/drawing/2014/chart" uri="{C3380CC4-5D6E-409C-BE32-E72D297353CC}">
              <c16:uniqueId val="{00000004-ED74-4296-BE3C-04E8081F3777}"/>
            </c:ext>
          </c:extLst>
        </c:ser>
        <c:dLbls>
          <c:showLegendKey val="0"/>
          <c:showVal val="1"/>
          <c:showCatName val="0"/>
          <c:showSerName val="0"/>
          <c:showPercent val="0"/>
          <c:showBubbleSize val="0"/>
        </c:dLbls>
        <c:gapWidth val="150"/>
        <c:shape val="box"/>
        <c:axId val="798034048"/>
        <c:axId val="798034528"/>
        <c:axId val="0"/>
      </c:bar3DChart>
      <c:catAx>
        <c:axId val="7980340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798034528"/>
        <c:crosses val="autoZero"/>
        <c:auto val="1"/>
        <c:lblAlgn val="ctr"/>
        <c:lblOffset val="100"/>
        <c:noMultiLvlLbl val="0"/>
      </c:catAx>
      <c:valAx>
        <c:axId val="798034528"/>
        <c:scaling>
          <c:orientation val="minMax"/>
        </c:scaling>
        <c:delete val="1"/>
        <c:axPos val="b"/>
        <c:numFmt formatCode="General" sourceLinked="1"/>
        <c:majorTickMark val="none"/>
        <c:minorTickMark val="none"/>
        <c:tickLblPos val="nextTo"/>
        <c:crossAx val="798034048"/>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sz="1050">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death_copy.xlsx]Udupi_pivot!Early_ud</c:name>
    <c:fmtId val="4"/>
  </c:pivotSource>
  <c:chart>
    <c:title>
      <c:tx>
        <c:rich>
          <a:bodyPr rot="0" spcFirstLastPara="1" vertOverflow="ellipsis" vert="horz" wrap="square" anchor="ctr" anchorCtr="1"/>
          <a:lstStyle/>
          <a:p>
            <a:pPr>
              <a:defRPr sz="1600" b="1" i="0" u="sng" strike="noStrike" kern="1200" baseline="0">
                <a:solidFill>
                  <a:sysClr val="windowText" lastClr="000000"/>
                </a:solidFill>
                <a:latin typeface="Lato Black" panose="020F0A02020204030203" pitchFamily="34" charset="0"/>
                <a:ea typeface="+mn-ea"/>
                <a:cs typeface="+mn-cs"/>
              </a:defRPr>
            </a:pPr>
            <a:r>
              <a:rPr lang="en-IN" sz="1600" u="sng"/>
              <a:t>Infant Deaths by Early Premature Status</a:t>
            </a:r>
          </a:p>
        </c:rich>
      </c:tx>
      <c:overlay val="0"/>
      <c:spPr>
        <a:noFill/>
        <a:ln>
          <a:noFill/>
        </a:ln>
        <a:effectLst/>
      </c:spPr>
      <c:txPr>
        <a:bodyPr rot="0" spcFirstLastPara="1" vertOverflow="ellipsis" vert="horz" wrap="square" anchor="ctr" anchorCtr="1"/>
        <a:lstStyle/>
        <a:p>
          <a:pPr>
            <a:defRPr sz="1600" b="1" i="0" u="sng"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Udupi_pivot!$B$66:$B$67</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Udupi_pivot!$A$68:$A$70</c:f>
              <c:strCache>
                <c:ptCount val="2"/>
                <c:pt idx="0">
                  <c:v>Early Premature (28-31 weeks): NO</c:v>
                </c:pt>
                <c:pt idx="1">
                  <c:v>Early Premature (28-31 weeks): YES</c:v>
                </c:pt>
              </c:strCache>
            </c:strRef>
          </c:cat>
          <c:val>
            <c:numRef>
              <c:f>Udupi_pivot!$B$68:$B$70</c:f>
              <c:numCache>
                <c:formatCode>General</c:formatCode>
                <c:ptCount val="2"/>
                <c:pt idx="0">
                  <c:v>9</c:v>
                </c:pt>
              </c:numCache>
            </c:numRef>
          </c:val>
          <c:extLst>
            <c:ext xmlns:c16="http://schemas.microsoft.com/office/drawing/2014/chart" uri="{C3380CC4-5D6E-409C-BE32-E72D297353CC}">
              <c16:uniqueId val="{00000000-0DA2-4CA0-8449-B2A32557C24D}"/>
            </c:ext>
          </c:extLst>
        </c:ser>
        <c:ser>
          <c:idx val="1"/>
          <c:order val="1"/>
          <c:tx>
            <c:strRef>
              <c:f>Udupi_pivot!$C$66:$C$67</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Udupi_pivot!$A$68:$A$70</c:f>
              <c:strCache>
                <c:ptCount val="2"/>
                <c:pt idx="0">
                  <c:v>Early Premature (28-31 weeks): NO</c:v>
                </c:pt>
                <c:pt idx="1">
                  <c:v>Early Premature (28-31 weeks): YES</c:v>
                </c:pt>
              </c:strCache>
            </c:strRef>
          </c:cat>
          <c:val>
            <c:numRef>
              <c:f>Udupi_pivot!$C$68:$C$70</c:f>
              <c:numCache>
                <c:formatCode>General</c:formatCode>
                <c:ptCount val="2"/>
                <c:pt idx="0">
                  <c:v>13</c:v>
                </c:pt>
                <c:pt idx="1">
                  <c:v>1</c:v>
                </c:pt>
              </c:numCache>
            </c:numRef>
          </c:val>
          <c:extLst>
            <c:ext xmlns:c16="http://schemas.microsoft.com/office/drawing/2014/chart" uri="{C3380CC4-5D6E-409C-BE32-E72D297353CC}">
              <c16:uniqueId val="{00000001-4F9A-4686-AB71-9C50C5666611}"/>
            </c:ext>
          </c:extLst>
        </c:ser>
        <c:dLbls>
          <c:showLegendKey val="0"/>
          <c:showVal val="1"/>
          <c:showCatName val="0"/>
          <c:showSerName val="0"/>
          <c:showPercent val="0"/>
          <c:showBubbleSize val="0"/>
        </c:dLbls>
        <c:gapWidth val="150"/>
        <c:shape val="box"/>
        <c:axId val="1158690256"/>
        <c:axId val="1158701776"/>
        <c:axId val="0"/>
      </c:bar3DChart>
      <c:catAx>
        <c:axId val="11586902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158701776"/>
        <c:crosses val="autoZero"/>
        <c:auto val="1"/>
        <c:lblAlgn val="ctr"/>
        <c:lblOffset val="100"/>
        <c:noMultiLvlLbl val="0"/>
      </c:catAx>
      <c:valAx>
        <c:axId val="1158701776"/>
        <c:scaling>
          <c:orientation val="minMax"/>
        </c:scaling>
        <c:delete val="1"/>
        <c:axPos val="b"/>
        <c:numFmt formatCode="General" sourceLinked="1"/>
        <c:majorTickMark val="none"/>
        <c:minorTickMark val="none"/>
        <c:tickLblPos val="nextTo"/>
        <c:crossAx val="1158690256"/>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sz="1050">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death_copy.xlsx]Udupi_pivot!Moderate_ud</c:name>
    <c:fmtId val="4"/>
  </c:pivotSource>
  <c:chart>
    <c:title>
      <c:tx>
        <c:rich>
          <a:bodyPr rot="0" spcFirstLastPara="1" vertOverflow="ellipsis" vert="horz" wrap="square" anchor="ctr" anchorCtr="1"/>
          <a:lstStyle/>
          <a:p>
            <a:pPr>
              <a:defRPr sz="1600" b="1" i="0" u="sng" strike="noStrike" kern="1200" baseline="0">
                <a:solidFill>
                  <a:sysClr val="windowText" lastClr="000000"/>
                </a:solidFill>
                <a:latin typeface="Lato Black" panose="020F0A02020204030203" pitchFamily="34" charset="0"/>
                <a:ea typeface="+mn-ea"/>
                <a:cs typeface="+mn-cs"/>
              </a:defRPr>
            </a:pPr>
            <a:r>
              <a:rPr lang="en-IN" sz="1600" u="sng"/>
              <a:t>Infant Deaths by Moderate Premature Status</a:t>
            </a:r>
          </a:p>
        </c:rich>
      </c:tx>
      <c:layout>
        <c:manualLayout>
          <c:xMode val="edge"/>
          <c:yMode val="edge"/>
          <c:x val="0.13325174027159647"/>
          <c:y val="3.9331366764995081E-2"/>
        </c:manualLayout>
      </c:layout>
      <c:overlay val="0"/>
      <c:spPr>
        <a:noFill/>
        <a:ln>
          <a:noFill/>
        </a:ln>
        <a:effectLst/>
      </c:spPr>
      <c:txPr>
        <a:bodyPr rot="0" spcFirstLastPara="1" vertOverflow="ellipsis" vert="horz" wrap="square" anchor="ctr" anchorCtr="1"/>
        <a:lstStyle/>
        <a:p>
          <a:pPr>
            <a:defRPr sz="1600" b="1" i="0" u="sng"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444444444444342E-2"/>
              <c:y val="-4.6296296296296294E-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888E-2"/>
              <c:y val="-3.2407407407407447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444444444444342E-2"/>
              <c:y val="-4.6296296296296294E-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888E-2"/>
              <c:y val="-3.2407407407407447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444444444444342E-2"/>
              <c:y val="-4.6296296296296294E-3"/>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888E-2"/>
              <c:y val="-3.2407407407407447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Udupi_pivot!$B$73:$B$74</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6F55-430F-8E87-655B73624610}"/>
              </c:ext>
            </c:extLst>
          </c:dPt>
          <c:dLbls>
            <c:dLbl>
              <c:idx val="0"/>
              <c:layout>
                <c:manualLayout>
                  <c:x val="4.4444444444444342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55-430F-8E87-655B73624610}"/>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Udupi_pivot!$A$75:$A$76</c:f>
              <c:strCache>
                <c:ptCount val="1"/>
                <c:pt idx="0">
                  <c:v>Morderate Premature (&lt;32-33 weeks): NO</c:v>
                </c:pt>
              </c:strCache>
            </c:strRef>
          </c:cat>
          <c:val>
            <c:numRef>
              <c:f>Udupi_pivot!$B$75:$B$76</c:f>
              <c:numCache>
                <c:formatCode>General</c:formatCode>
                <c:ptCount val="1"/>
                <c:pt idx="0">
                  <c:v>9</c:v>
                </c:pt>
              </c:numCache>
            </c:numRef>
          </c:val>
          <c:extLst>
            <c:ext xmlns:c16="http://schemas.microsoft.com/office/drawing/2014/chart" uri="{C3380CC4-5D6E-409C-BE32-E72D297353CC}">
              <c16:uniqueId val="{00000001-6F55-430F-8E87-655B73624610}"/>
            </c:ext>
          </c:extLst>
        </c:ser>
        <c:ser>
          <c:idx val="1"/>
          <c:order val="1"/>
          <c:tx>
            <c:strRef>
              <c:f>Udupi_pivot!$C$73:$C$74</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9BD-40AA-B932-E49D7E8F4915}"/>
              </c:ext>
            </c:extLst>
          </c:dPt>
          <c:dLbls>
            <c:dLbl>
              <c:idx val="0"/>
              <c:layout>
                <c:manualLayout>
                  <c:x val="1.3888888888888888E-2"/>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BD-40AA-B932-E49D7E8F4915}"/>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Udupi_pivot!$A$75:$A$76</c:f>
              <c:strCache>
                <c:ptCount val="1"/>
                <c:pt idx="0">
                  <c:v>Morderate Premature (&lt;32-33 weeks): NO</c:v>
                </c:pt>
              </c:strCache>
            </c:strRef>
          </c:cat>
          <c:val>
            <c:numRef>
              <c:f>Udupi_pivot!$C$75:$C$76</c:f>
              <c:numCache>
                <c:formatCode>General</c:formatCode>
                <c:ptCount val="1"/>
                <c:pt idx="0">
                  <c:v>14</c:v>
                </c:pt>
              </c:numCache>
            </c:numRef>
          </c:val>
          <c:extLst>
            <c:ext xmlns:c16="http://schemas.microsoft.com/office/drawing/2014/chart" uri="{C3380CC4-5D6E-409C-BE32-E72D297353CC}">
              <c16:uniqueId val="{00000005-A998-49AC-B58A-9F20C6723AA8}"/>
            </c:ext>
          </c:extLst>
        </c:ser>
        <c:dLbls>
          <c:showLegendKey val="0"/>
          <c:showVal val="1"/>
          <c:showCatName val="0"/>
          <c:showSerName val="0"/>
          <c:showPercent val="0"/>
          <c:showBubbleSize val="0"/>
        </c:dLbls>
        <c:gapWidth val="150"/>
        <c:shape val="box"/>
        <c:axId val="1158705136"/>
        <c:axId val="1158697456"/>
        <c:axId val="0"/>
      </c:bar3DChart>
      <c:catAx>
        <c:axId val="11587051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158697456"/>
        <c:crosses val="autoZero"/>
        <c:auto val="1"/>
        <c:lblAlgn val="ctr"/>
        <c:lblOffset val="100"/>
        <c:noMultiLvlLbl val="0"/>
      </c:catAx>
      <c:valAx>
        <c:axId val="1158697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158705136"/>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sz="1050">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[Infant death_copy.xlsx]Udupi_pivot!Late_ud</c:name>
    <c:fmtId val="5"/>
  </c:pivotSource>
  <c:chart>
    <c:title>
      <c:tx>
        <c:rich>
          <a:bodyPr rot="0" spcFirstLastPara="1" vertOverflow="ellipsis" vert="horz" wrap="square" anchor="ctr" anchorCtr="1"/>
          <a:lstStyle/>
          <a:p>
            <a:pPr>
              <a:defRPr sz="1600" b="1" i="0" u="sng" strike="noStrike" kern="1200" baseline="0">
                <a:solidFill>
                  <a:sysClr val="windowText" lastClr="000000"/>
                </a:solidFill>
                <a:latin typeface="Lato Black" panose="020F0A02020204030203" pitchFamily="34" charset="0"/>
                <a:ea typeface="+mn-ea"/>
                <a:cs typeface="+mn-cs"/>
              </a:defRPr>
            </a:pPr>
            <a:r>
              <a:rPr lang="en-IN" sz="1600" u="sng"/>
              <a:t>Infant Deaths by Late Premature Status</a:t>
            </a:r>
          </a:p>
        </c:rich>
      </c:tx>
      <c:overlay val="0"/>
      <c:spPr>
        <a:noFill/>
        <a:ln>
          <a:noFill/>
        </a:ln>
        <a:effectLst/>
      </c:spPr>
      <c:txPr>
        <a:bodyPr rot="0" spcFirstLastPara="1" vertOverflow="ellipsis" vert="horz" wrap="square" anchor="ctr" anchorCtr="1"/>
        <a:lstStyle/>
        <a:p>
          <a:pPr>
            <a:defRPr sz="1600" b="1" i="0" u="sng"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Udupi_pivot!$B$79:$B$80</c:f>
              <c:strCache>
                <c:ptCount val="1"/>
                <c:pt idx="0">
                  <c:v>Infant Death</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Udupi_pivot!$A$81:$A$83</c:f>
              <c:strCache>
                <c:ptCount val="2"/>
                <c:pt idx="0">
                  <c:v>Late Pre-term (34-36 weeks): NO</c:v>
                </c:pt>
                <c:pt idx="1">
                  <c:v>Late Pre-term (34-36 weeks): YES</c:v>
                </c:pt>
              </c:strCache>
            </c:strRef>
          </c:cat>
          <c:val>
            <c:numRef>
              <c:f>Udupi_pivot!$B$81:$B$83</c:f>
              <c:numCache>
                <c:formatCode>General</c:formatCode>
                <c:ptCount val="2"/>
                <c:pt idx="0">
                  <c:v>8</c:v>
                </c:pt>
                <c:pt idx="1">
                  <c:v>1</c:v>
                </c:pt>
              </c:numCache>
            </c:numRef>
          </c:val>
          <c:extLst>
            <c:ext xmlns:c16="http://schemas.microsoft.com/office/drawing/2014/chart" uri="{C3380CC4-5D6E-409C-BE32-E72D297353CC}">
              <c16:uniqueId val="{00000000-5B43-4DF0-8613-60557A887FED}"/>
            </c:ext>
          </c:extLst>
        </c:ser>
        <c:ser>
          <c:idx val="1"/>
          <c:order val="1"/>
          <c:tx>
            <c:strRef>
              <c:f>Udupi_pivot!$C$79:$C$80</c:f>
              <c:strCache>
                <c:ptCount val="1"/>
                <c:pt idx="0">
                  <c:v>Neonatal Death</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Udupi_pivot!$A$81:$A$83</c:f>
              <c:strCache>
                <c:ptCount val="2"/>
                <c:pt idx="0">
                  <c:v>Late Pre-term (34-36 weeks): NO</c:v>
                </c:pt>
                <c:pt idx="1">
                  <c:v>Late Pre-term (34-36 weeks): YES</c:v>
                </c:pt>
              </c:strCache>
            </c:strRef>
          </c:cat>
          <c:val>
            <c:numRef>
              <c:f>Udupi_pivot!$C$81:$C$83</c:f>
              <c:numCache>
                <c:formatCode>General</c:formatCode>
                <c:ptCount val="2"/>
                <c:pt idx="0">
                  <c:v>14</c:v>
                </c:pt>
              </c:numCache>
            </c:numRef>
          </c:val>
          <c:extLst>
            <c:ext xmlns:c16="http://schemas.microsoft.com/office/drawing/2014/chart" uri="{C3380CC4-5D6E-409C-BE32-E72D297353CC}">
              <c16:uniqueId val="{00000001-4E0D-4812-A684-15C1AD42DE58}"/>
            </c:ext>
          </c:extLst>
        </c:ser>
        <c:dLbls>
          <c:showLegendKey val="0"/>
          <c:showVal val="1"/>
          <c:showCatName val="0"/>
          <c:showSerName val="0"/>
          <c:showPercent val="0"/>
          <c:showBubbleSize val="0"/>
        </c:dLbls>
        <c:gapWidth val="150"/>
        <c:shape val="box"/>
        <c:axId val="1327907872"/>
        <c:axId val="1327908352"/>
        <c:axId val="0"/>
      </c:bar3DChart>
      <c:catAx>
        <c:axId val="13279078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327908352"/>
        <c:crosses val="autoZero"/>
        <c:auto val="1"/>
        <c:lblAlgn val="ctr"/>
        <c:lblOffset val="100"/>
        <c:noMultiLvlLbl val="0"/>
      </c:catAx>
      <c:valAx>
        <c:axId val="1327908352"/>
        <c:scaling>
          <c:orientation val="minMax"/>
        </c:scaling>
        <c:delete val="1"/>
        <c:axPos val="b"/>
        <c:numFmt formatCode="General" sourceLinked="1"/>
        <c:majorTickMark val="none"/>
        <c:minorTickMark val="none"/>
        <c:tickLblPos val="nextTo"/>
        <c:crossAx val="1327907872"/>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sz="1050">
          <a:solidFill>
            <a:sysClr val="windowText" lastClr="000000"/>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death_copy.xlsx]Udupi_pivot!High_risk(Ud)</c:name>
    <c:fmtId val="5"/>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Lato Black" panose="020F0A02020204030203" pitchFamily="34" charset="0"/>
                <a:ea typeface="+mn-ea"/>
                <a:cs typeface="+mn-cs"/>
              </a:defRPr>
            </a:pPr>
            <a:r>
              <a:rPr lang="en-IN" sz="1600" b="1" i="0" u="none" strike="noStrike" kern="1200" baseline="0">
                <a:solidFill>
                  <a:schemeClr val="tx1"/>
                </a:solidFill>
                <a:latin typeface="Lato Black" panose="020F0A02020204030203" pitchFamily="34" charset="0"/>
              </a:rPr>
              <a:t>HRP &amp; Delivery Type Analysis</a:t>
            </a:r>
          </a:p>
        </c:rich>
      </c:tx>
      <c:layout>
        <c:manualLayout>
          <c:xMode val="edge"/>
          <c:yMode val="edge"/>
          <c:x val="0.1676260261088377"/>
          <c:y val="1.388887696939789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a:gsLst>
              <a:gs pos="0">
                <a:srgbClr val="4CD46C"/>
              </a:gs>
              <a:gs pos="100000">
                <a:srgbClr val="1C8519"/>
              </a:gs>
            </a:gsLst>
            <a:lin ang="5400000" scaled="1"/>
          </a:gra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B9EA60"/>
              </a:gs>
              <a:gs pos="100000">
                <a:srgbClr val="88A51F"/>
              </a:gs>
            </a:gsLst>
            <a:lin ang="5400000" scaled="1"/>
          </a:gra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4CD46C"/>
              </a:gs>
              <a:gs pos="100000">
                <a:srgbClr val="1C8519"/>
              </a:gs>
            </a:gsLst>
            <a:lin ang="5400000" scaled="1"/>
          </a:gradFill>
          <a:ln>
            <a:noFill/>
          </a:ln>
          <a:effectLst/>
          <a:sp3d/>
        </c:spPr>
        <c:dLbl>
          <c:idx val="0"/>
          <c:layout>
            <c:manualLayout>
              <c:x val="2.7777777777777267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B9EA60"/>
              </a:gs>
              <a:gs pos="100000">
                <a:srgbClr val="88A51F"/>
              </a:gs>
            </a:gsLst>
            <a:lin ang="5400000" scaled="1"/>
          </a:gradFill>
          <a:ln>
            <a:noFill/>
          </a:ln>
          <a:effectLst/>
          <a:sp3d/>
        </c:spPr>
        <c:dLbl>
          <c:idx val="0"/>
          <c:layout>
            <c:manualLayout>
              <c:x val="3.888888888888889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B9EA60"/>
              </a:gs>
              <a:gs pos="100000">
                <a:srgbClr val="88A51F"/>
              </a:gs>
            </a:gsLst>
            <a:lin ang="5400000" scaled="1"/>
          </a:gradFill>
          <a:ln>
            <a:noFill/>
          </a:ln>
          <a:effectLst/>
          <a:sp3d/>
        </c:spPr>
        <c:dLbl>
          <c:idx val="0"/>
          <c:layout>
            <c:manualLayout>
              <c:x val="2.7777777777777267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4CD46C"/>
              </a:gs>
              <a:gs pos="100000">
                <a:srgbClr val="1C8519"/>
              </a:gs>
            </a:gsLst>
            <a:lin ang="5400000" scaled="1"/>
          </a:gradFill>
          <a:ln>
            <a:noFill/>
          </a:ln>
          <a:effectLst/>
          <a:sp3d/>
        </c:spPr>
        <c:dLbl>
          <c:idx val="0"/>
          <c:layout>
            <c:manualLayout>
              <c:x val="-8.3333333333333592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4CD46C"/>
              </a:gs>
              <a:gs pos="100000">
                <a:srgbClr val="1C8519"/>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4CD46C"/>
              </a:gs>
              <a:gs pos="100000">
                <a:srgbClr val="1C8519"/>
              </a:gs>
            </a:gsLst>
            <a:lin ang="5400000" scaled="1"/>
          </a:gradFill>
          <a:ln>
            <a:noFill/>
          </a:ln>
          <a:effectLst/>
          <a:sp3d/>
        </c:spPr>
        <c:dLbl>
          <c:idx val="0"/>
          <c:layout>
            <c:manualLayout>
              <c:x val="-8.3333333333333592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rgbClr val="4CD46C"/>
              </a:gs>
              <a:gs pos="100000">
                <a:srgbClr val="1C8519"/>
              </a:gs>
            </a:gsLst>
            <a:lin ang="5400000" scaled="1"/>
          </a:gradFill>
          <a:ln>
            <a:noFill/>
          </a:ln>
          <a:effectLst/>
          <a:sp3d/>
        </c:spPr>
        <c:dLbl>
          <c:idx val="0"/>
          <c:layout>
            <c:manualLayout>
              <c:x val="2.7777777777777267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B9EA60"/>
              </a:gs>
              <a:gs pos="100000">
                <a:srgbClr val="88A51F"/>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B9EA60"/>
              </a:gs>
              <a:gs pos="100000">
                <a:srgbClr val="88A51F"/>
              </a:gs>
            </a:gsLst>
            <a:lin ang="5400000" scaled="1"/>
          </a:gradFill>
          <a:ln>
            <a:noFill/>
          </a:ln>
          <a:effectLst/>
          <a:sp3d/>
        </c:spPr>
        <c:dLbl>
          <c:idx val="0"/>
          <c:layout>
            <c:manualLayout>
              <c:x val="2.7777777777777267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rgbClr val="B9EA60"/>
              </a:gs>
              <a:gs pos="100000">
                <a:srgbClr val="88A51F"/>
              </a:gs>
            </a:gsLst>
            <a:lin ang="5400000" scaled="1"/>
          </a:gradFill>
          <a:ln>
            <a:noFill/>
          </a:ln>
          <a:effectLst/>
          <a:sp3d/>
        </c:spPr>
        <c:dLbl>
          <c:idx val="0"/>
          <c:layout>
            <c:manualLayout>
              <c:x val="3.888888888888889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rgbClr val="4CD46C"/>
              </a:gs>
              <a:gs pos="100000">
                <a:srgbClr val="1C8519"/>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4CD46C"/>
              </a:gs>
              <a:gs pos="100000">
                <a:srgbClr val="1C8519"/>
              </a:gs>
            </a:gsLst>
            <a:lin ang="5400000" scaled="1"/>
          </a:gradFill>
          <a:ln>
            <a:noFill/>
          </a:ln>
          <a:effectLst/>
          <a:sp3d/>
        </c:spPr>
        <c:dLbl>
          <c:idx val="0"/>
          <c:layout>
            <c:manualLayout>
              <c:x val="-8.3333333333333592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rgbClr val="4CD46C"/>
              </a:gs>
              <a:gs pos="100000">
                <a:srgbClr val="1C8519"/>
              </a:gs>
            </a:gsLst>
            <a:lin ang="5400000" scaled="1"/>
          </a:gradFill>
          <a:ln>
            <a:noFill/>
          </a:ln>
          <a:effectLst/>
          <a:sp3d/>
        </c:spPr>
        <c:dLbl>
          <c:idx val="0"/>
          <c:layout>
            <c:manualLayout>
              <c:x val="2.7777777777777267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rgbClr val="B9EA60"/>
              </a:gs>
              <a:gs pos="100000">
                <a:srgbClr val="88A51F"/>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rgbClr val="B9EA60"/>
              </a:gs>
              <a:gs pos="100000">
                <a:srgbClr val="88A51F"/>
              </a:gs>
            </a:gsLst>
            <a:lin ang="5400000" scaled="1"/>
          </a:gradFill>
          <a:ln>
            <a:noFill/>
          </a:ln>
          <a:effectLst/>
          <a:sp3d/>
        </c:spPr>
        <c:dLbl>
          <c:idx val="0"/>
          <c:layout>
            <c:manualLayout>
              <c:x val="2.7777777777777267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0">
                <a:srgbClr val="B9EA60"/>
              </a:gs>
              <a:gs pos="100000">
                <a:srgbClr val="88A51F"/>
              </a:gs>
            </a:gsLst>
            <a:lin ang="5400000" scaled="1"/>
          </a:gradFill>
          <a:ln>
            <a:noFill/>
          </a:ln>
          <a:effectLst/>
          <a:sp3d/>
        </c:spPr>
        <c:dLbl>
          <c:idx val="0"/>
          <c:layout>
            <c:manualLayout>
              <c:x val="3.888888888888889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780314960629921E-2"/>
          <c:y val="0.12130389695838427"/>
          <c:w val="0.86079921998493147"/>
          <c:h val="0.74950445908157926"/>
        </c:manualLayout>
      </c:layout>
      <c:bar3DChart>
        <c:barDir val="col"/>
        <c:grouping val="standard"/>
        <c:varyColors val="0"/>
        <c:ser>
          <c:idx val="0"/>
          <c:order val="0"/>
          <c:tx>
            <c:strRef>
              <c:f>Udupi_pivot!$B$3:$B$4</c:f>
              <c:strCache>
                <c:ptCount val="1"/>
                <c:pt idx="0">
                  <c:v>LSCS</c:v>
                </c:pt>
              </c:strCache>
            </c:strRef>
          </c:tx>
          <c:spPr>
            <a:gradFill>
              <a:gsLst>
                <a:gs pos="0">
                  <a:srgbClr val="4CD46C"/>
                </a:gs>
                <a:gs pos="100000">
                  <a:srgbClr val="1C8519"/>
                </a:gs>
              </a:gsLst>
              <a:lin ang="5400000" scaled="1"/>
            </a:gradFill>
            <a:ln>
              <a:noFill/>
            </a:ln>
            <a:effectLst/>
            <a:sp3d/>
          </c:spPr>
          <c:invertIfNegative val="0"/>
          <c:dPt>
            <c:idx val="0"/>
            <c:invertIfNegative val="0"/>
            <c:bubble3D val="0"/>
            <c:spPr>
              <a:gradFill>
                <a:gsLst>
                  <a:gs pos="0">
                    <a:srgbClr val="4CD46C"/>
                  </a:gs>
                  <a:gs pos="100000">
                    <a:srgbClr val="1C8519"/>
                  </a:gs>
                </a:gsLst>
                <a:lin ang="5400000" scaled="1"/>
              </a:gradFill>
              <a:ln>
                <a:noFill/>
              </a:ln>
              <a:effectLst/>
              <a:sp3d/>
            </c:spPr>
            <c:extLst>
              <c:ext xmlns:c16="http://schemas.microsoft.com/office/drawing/2014/chart" uri="{C3380CC4-5D6E-409C-BE32-E72D297353CC}">
                <c16:uniqueId val="{00000000-8BEB-4716-9F5B-DDB50E9B2739}"/>
              </c:ext>
            </c:extLst>
          </c:dPt>
          <c:dPt>
            <c:idx val="1"/>
            <c:invertIfNegative val="0"/>
            <c:bubble3D val="0"/>
            <c:spPr>
              <a:gradFill>
                <a:gsLst>
                  <a:gs pos="0">
                    <a:srgbClr val="4CD46C"/>
                  </a:gs>
                  <a:gs pos="100000">
                    <a:srgbClr val="1C8519"/>
                  </a:gs>
                </a:gsLst>
                <a:lin ang="5400000" scaled="1"/>
              </a:gradFill>
              <a:ln>
                <a:noFill/>
              </a:ln>
              <a:effectLst/>
              <a:sp3d/>
            </c:spPr>
            <c:extLst>
              <c:ext xmlns:c16="http://schemas.microsoft.com/office/drawing/2014/chart" uri="{C3380CC4-5D6E-409C-BE32-E72D297353CC}">
                <c16:uniqueId val="{00000001-8BEB-4716-9F5B-DDB50E9B2739}"/>
              </c:ext>
            </c:extLst>
          </c:dPt>
          <c:dLbls>
            <c:dLbl>
              <c:idx val="0"/>
              <c:layout>
                <c:manualLayout>
                  <c:x val="-8.3333333333333592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BEB-4716-9F5B-DDB50E9B2739}"/>
                </c:ext>
              </c:extLst>
            </c:dLbl>
            <c:dLbl>
              <c:idx val="1"/>
              <c:layout>
                <c:manualLayout>
                  <c:x val="2.7777777777777267E-3"/>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EB-4716-9F5B-DDB50E9B273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Udupi_pivot!$A$5:$A$7</c:f>
              <c:strCache>
                <c:ptCount val="2"/>
                <c:pt idx="0">
                  <c:v>Without High Risk Pregnancy</c:v>
                </c:pt>
                <c:pt idx="1">
                  <c:v>With High Risk Pregnancy</c:v>
                </c:pt>
              </c:strCache>
            </c:strRef>
          </c:cat>
          <c:val>
            <c:numRef>
              <c:f>Udupi_pivot!$B$5:$B$7</c:f>
              <c:numCache>
                <c:formatCode>General</c:formatCode>
                <c:ptCount val="2"/>
                <c:pt idx="0">
                  <c:v>4</c:v>
                </c:pt>
                <c:pt idx="1">
                  <c:v>6</c:v>
                </c:pt>
              </c:numCache>
            </c:numRef>
          </c:val>
          <c:extLst>
            <c:ext xmlns:c16="http://schemas.microsoft.com/office/drawing/2014/chart" uri="{C3380CC4-5D6E-409C-BE32-E72D297353CC}">
              <c16:uniqueId val="{00000002-8BEB-4716-9F5B-DDB50E9B2739}"/>
            </c:ext>
          </c:extLst>
        </c:ser>
        <c:ser>
          <c:idx val="1"/>
          <c:order val="1"/>
          <c:tx>
            <c:strRef>
              <c:f>Udupi_pivot!$C$3:$C$4</c:f>
              <c:strCache>
                <c:ptCount val="1"/>
                <c:pt idx="0">
                  <c:v>Normal</c:v>
                </c:pt>
              </c:strCache>
            </c:strRef>
          </c:tx>
          <c:spPr>
            <a:gradFill>
              <a:gsLst>
                <a:gs pos="0">
                  <a:srgbClr val="B9EA60"/>
                </a:gs>
                <a:gs pos="100000">
                  <a:srgbClr val="88A51F"/>
                </a:gs>
              </a:gsLst>
              <a:lin ang="5400000" scaled="1"/>
            </a:gradFill>
            <a:ln>
              <a:noFill/>
            </a:ln>
            <a:effectLst/>
            <a:sp3d/>
          </c:spPr>
          <c:invertIfNegative val="0"/>
          <c:dPt>
            <c:idx val="0"/>
            <c:invertIfNegative val="0"/>
            <c:bubble3D val="0"/>
            <c:spPr>
              <a:gradFill>
                <a:gsLst>
                  <a:gs pos="0">
                    <a:srgbClr val="B9EA60"/>
                  </a:gs>
                  <a:gs pos="100000">
                    <a:srgbClr val="88A51F"/>
                  </a:gs>
                </a:gsLst>
                <a:lin ang="5400000" scaled="1"/>
              </a:gradFill>
              <a:ln>
                <a:noFill/>
              </a:ln>
              <a:effectLst/>
              <a:sp3d/>
            </c:spPr>
            <c:extLst>
              <c:ext xmlns:c16="http://schemas.microsoft.com/office/drawing/2014/chart" uri="{C3380CC4-5D6E-409C-BE32-E72D297353CC}">
                <c16:uniqueId val="{00000005-03D0-47B1-972D-4A2108B7960E}"/>
              </c:ext>
            </c:extLst>
          </c:dPt>
          <c:dPt>
            <c:idx val="1"/>
            <c:invertIfNegative val="0"/>
            <c:bubble3D val="0"/>
            <c:spPr>
              <a:gradFill>
                <a:gsLst>
                  <a:gs pos="0">
                    <a:srgbClr val="B9EA60"/>
                  </a:gs>
                  <a:gs pos="100000">
                    <a:srgbClr val="88A51F"/>
                  </a:gs>
                </a:gsLst>
                <a:lin ang="5400000" scaled="1"/>
              </a:gradFill>
              <a:ln>
                <a:noFill/>
              </a:ln>
              <a:effectLst/>
              <a:sp3d/>
            </c:spPr>
            <c:extLst>
              <c:ext xmlns:c16="http://schemas.microsoft.com/office/drawing/2014/chart" uri="{C3380CC4-5D6E-409C-BE32-E72D297353CC}">
                <c16:uniqueId val="{00000007-03D0-47B1-972D-4A2108B7960E}"/>
              </c:ext>
            </c:extLst>
          </c:dPt>
          <c:dLbls>
            <c:dLbl>
              <c:idx val="0"/>
              <c:layout>
                <c:manualLayout>
                  <c:x val="2.7777777777777267E-3"/>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D0-47B1-972D-4A2108B7960E}"/>
                </c:ext>
              </c:extLst>
            </c:dLbl>
            <c:dLbl>
              <c:idx val="1"/>
              <c:layout>
                <c:manualLayout>
                  <c:x val="3.888888888888889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D0-47B1-972D-4A2108B7960E}"/>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Udupi_pivot!$A$5:$A$7</c:f>
              <c:strCache>
                <c:ptCount val="2"/>
                <c:pt idx="0">
                  <c:v>Without High Risk Pregnancy</c:v>
                </c:pt>
                <c:pt idx="1">
                  <c:v>With High Risk Pregnancy</c:v>
                </c:pt>
              </c:strCache>
            </c:strRef>
          </c:cat>
          <c:val>
            <c:numRef>
              <c:f>Udupi_pivot!$C$5:$C$7</c:f>
              <c:numCache>
                <c:formatCode>General</c:formatCode>
                <c:ptCount val="2"/>
                <c:pt idx="0">
                  <c:v>9</c:v>
                </c:pt>
                <c:pt idx="1">
                  <c:v>4</c:v>
                </c:pt>
              </c:numCache>
            </c:numRef>
          </c:val>
          <c:extLst>
            <c:ext xmlns:c16="http://schemas.microsoft.com/office/drawing/2014/chart" uri="{C3380CC4-5D6E-409C-BE32-E72D297353CC}">
              <c16:uniqueId val="{00000009-3981-49B9-9C0C-3B1B45F84562}"/>
            </c:ext>
          </c:extLst>
        </c:ser>
        <c:dLbls>
          <c:showLegendKey val="0"/>
          <c:showVal val="1"/>
          <c:showCatName val="0"/>
          <c:showSerName val="0"/>
          <c:showPercent val="0"/>
          <c:showBubbleSize val="0"/>
        </c:dLbls>
        <c:gapWidth val="150"/>
        <c:shape val="box"/>
        <c:axId val="1358767040"/>
        <c:axId val="1358774720"/>
        <c:axId val="808217968"/>
      </c:bar3DChart>
      <c:catAx>
        <c:axId val="1358767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358774720"/>
        <c:crosses val="autoZero"/>
        <c:auto val="1"/>
        <c:lblAlgn val="ctr"/>
        <c:lblOffset val="100"/>
        <c:noMultiLvlLbl val="0"/>
      </c:catAx>
      <c:valAx>
        <c:axId val="1358774720"/>
        <c:scaling>
          <c:orientation val="minMax"/>
        </c:scaling>
        <c:delete val="1"/>
        <c:axPos val="l"/>
        <c:numFmt formatCode="General" sourceLinked="1"/>
        <c:majorTickMark val="none"/>
        <c:minorTickMark val="none"/>
        <c:tickLblPos val="nextTo"/>
        <c:crossAx val="1358767040"/>
        <c:crosses val="autoZero"/>
        <c:crossBetween val="between"/>
      </c:valAx>
      <c:serAx>
        <c:axId val="8082179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358774720"/>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death_copy.xlsx]Udupi_pivot!Hypertension(Ud)</c:name>
    <c:fmtId val="1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none" strike="noStrike" kern="1200" baseline="0">
                <a:solidFill>
                  <a:schemeClr val="tx1"/>
                </a:solidFill>
                <a:latin typeface="Lato Black" panose="020F0A02020204030203" pitchFamily="34" charset="0"/>
              </a:rPr>
              <a:t>Cause of Infant &amp; Neonatal Deaths due to Hypertensive Disorders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D051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4954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Udupi_pivot!$B$43:$B$44</c:f>
              <c:strCache>
                <c:ptCount val="1"/>
                <c:pt idx="0">
                  <c:v>Infant Death</c:v>
                </c:pt>
              </c:strCache>
            </c:strRef>
          </c:tx>
          <c:spPr>
            <a:solidFill>
              <a:srgbClr val="F4954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Udupi_pivot!$A$45:$A$47</c:f>
              <c:strCache>
                <c:ptCount val="2"/>
                <c:pt idx="0">
                  <c:v>Without hypertensive Disorder</c:v>
                </c:pt>
                <c:pt idx="1">
                  <c:v>With hypertensive Disorder</c:v>
                </c:pt>
              </c:strCache>
            </c:strRef>
          </c:cat>
          <c:val>
            <c:numRef>
              <c:f>Udupi_pivot!$B$45:$B$47</c:f>
              <c:numCache>
                <c:formatCode>General</c:formatCode>
                <c:ptCount val="2"/>
                <c:pt idx="0">
                  <c:v>8</c:v>
                </c:pt>
                <c:pt idx="1">
                  <c:v>1</c:v>
                </c:pt>
              </c:numCache>
            </c:numRef>
          </c:val>
          <c:extLst>
            <c:ext xmlns:c16="http://schemas.microsoft.com/office/drawing/2014/chart" uri="{C3380CC4-5D6E-409C-BE32-E72D297353CC}">
              <c16:uniqueId val="{00000001-BFD6-4962-8A61-FAB1386C6F25}"/>
            </c:ext>
          </c:extLst>
        </c:ser>
        <c:ser>
          <c:idx val="1"/>
          <c:order val="1"/>
          <c:tx>
            <c:strRef>
              <c:f>Udupi_pivot!$C$43:$C$44</c:f>
              <c:strCache>
                <c:ptCount val="1"/>
                <c:pt idx="0">
                  <c:v>Neonatal Death</c:v>
                </c:pt>
              </c:strCache>
            </c:strRef>
          </c:tx>
          <c:spPr>
            <a:solidFill>
              <a:srgbClr val="7D051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Udupi_pivot!$A$45:$A$47</c:f>
              <c:strCache>
                <c:ptCount val="2"/>
                <c:pt idx="0">
                  <c:v>Without hypertensive Disorder</c:v>
                </c:pt>
                <c:pt idx="1">
                  <c:v>With hypertensive Disorder</c:v>
                </c:pt>
              </c:strCache>
            </c:strRef>
          </c:cat>
          <c:val>
            <c:numRef>
              <c:f>Udupi_pivot!$C$45:$C$47</c:f>
              <c:numCache>
                <c:formatCode>General</c:formatCode>
                <c:ptCount val="2"/>
                <c:pt idx="0">
                  <c:v>14</c:v>
                </c:pt>
              </c:numCache>
            </c:numRef>
          </c:val>
          <c:extLst>
            <c:ext xmlns:c16="http://schemas.microsoft.com/office/drawing/2014/chart" uri="{C3380CC4-5D6E-409C-BE32-E72D297353CC}">
              <c16:uniqueId val="{00000001-F0FE-40D0-ADEA-59856B38E6CB}"/>
            </c:ext>
          </c:extLst>
        </c:ser>
        <c:dLbls>
          <c:dLblPos val="outEnd"/>
          <c:showLegendKey val="0"/>
          <c:showVal val="1"/>
          <c:showCatName val="0"/>
          <c:showSerName val="0"/>
          <c:showPercent val="0"/>
          <c:showBubbleSize val="0"/>
        </c:dLbls>
        <c:gapWidth val="150"/>
        <c:axId val="1661776720"/>
        <c:axId val="1661777200"/>
      </c:barChart>
      <c:catAx>
        <c:axId val="16617767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661777200"/>
        <c:crosses val="autoZero"/>
        <c:auto val="1"/>
        <c:lblAlgn val="ctr"/>
        <c:lblOffset val="100"/>
        <c:noMultiLvlLbl val="0"/>
      </c:catAx>
      <c:valAx>
        <c:axId val="1661777200"/>
        <c:scaling>
          <c:orientation val="minMax"/>
          <c:max val="15"/>
        </c:scaling>
        <c:delete val="1"/>
        <c:axPos val="b"/>
        <c:numFmt formatCode="General" sourceLinked="1"/>
        <c:majorTickMark val="none"/>
        <c:minorTickMark val="none"/>
        <c:tickLblPos val="nextTo"/>
        <c:crossAx val="1661776720"/>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death_copy.xlsx]Udupi_pivot!PivotTable22</c:name>
    <c:fmtId val="3"/>
  </c:pivotSource>
  <c:chart>
    <c:title>
      <c:tx>
        <c:rich>
          <a:bodyPr rot="0" spcFirstLastPara="1" vertOverflow="ellipsis" vert="horz" wrap="square" anchor="ctr" anchorCtr="1"/>
          <a:lstStyle/>
          <a:p>
            <a:pPr>
              <a:defRPr sz="1260" b="0" i="0" u="none" strike="noStrike" kern="1200" spc="0" baseline="0">
                <a:solidFill>
                  <a:sysClr val="windowText" lastClr="000000"/>
                </a:solidFill>
                <a:latin typeface="Lato Black" panose="020F0A02020204030203" pitchFamily="34" charset="0"/>
                <a:ea typeface="+mn-ea"/>
                <a:cs typeface="+mn-cs"/>
              </a:defRPr>
            </a:pPr>
            <a:r>
              <a:rPr lang="en-IN" sz="1400" b="0" i="0" u="none" strike="noStrike" kern="1200" spc="0" baseline="0">
                <a:solidFill>
                  <a:schemeClr val="tx1"/>
                </a:solidFill>
                <a:latin typeface="Lato Black" panose="020F0A02020204030203" pitchFamily="34" charset="0"/>
              </a:rPr>
              <a:t>Infant &amp; Neonatal Deaths due to High-Risk Pregnancy </a:t>
            </a:r>
          </a:p>
        </c:rich>
      </c:tx>
      <c:layout>
        <c:manualLayout>
          <c:xMode val="edge"/>
          <c:yMode val="edge"/>
          <c:x val="0.12693044619422572"/>
          <c:y val="9.2592592592592587E-3"/>
        </c:manualLayout>
      </c:layout>
      <c:overlay val="0"/>
      <c:spPr>
        <a:noFill/>
        <a:ln>
          <a:noFill/>
        </a:ln>
        <a:effectLst/>
      </c:spPr>
      <c:txPr>
        <a:bodyPr rot="0" spcFirstLastPara="1" vertOverflow="ellipsis" vert="horz" wrap="square" anchor="ctr" anchorCtr="1"/>
        <a:lstStyle/>
        <a:p>
          <a:pPr>
            <a:defRPr sz="1260" b="0" i="0" u="none"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a:gsLst>
              <a:gs pos="0">
                <a:srgbClr val="FFAFFF"/>
              </a:gs>
              <a:gs pos="60829">
                <a:srgbClr val="8F008F"/>
              </a:gs>
              <a:gs pos="100000">
                <a:srgbClr val="FF15FF"/>
              </a:gs>
            </a:gsLst>
            <a:lin ang="162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F200F2"/>
              </a:gs>
              <a:gs pos="60829">
                <a:srgbClr val="8F008F"/>
              </a:gs>
              <a:gs pos="100000">
                <a:srgbClr val="500050"/>
              </a:gs>
            </a:gsLst>
            <a:lin ang="162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200F2"/>
              </a:gs>
              <a:gs pos="60829">
                <a:srgbClr val="8F008F"/>
              </a:gs>
              <a:gs pos="100000">
                <a:srgbClr val="500050"/>
              </a:gs>
            </a:gsLst>
            <a:lin ang="16200000" scaled="1"/>
          </a:gradFill>
          <a:ln>
            <a:noFill/>
          </a:ln>
          <a:effectLst/>
          <a:sp3d/>
        </c:spPr>
        <c:dLbl>
          <c:idx val="0"/>
          <c:layout>
            <c:manualLayout>
              <c:x val="3.0555555555555555E-2"/>
              <c:y val="-4.1666666666666664E-2"/>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Neonatal</a:t>
                </a:r>
                <a:r>
                  <a:rPr lang="en-US" baseline="0"/>
                  <a:t> Death</a:t>
                </a:r>
              </a:p>
              <a:p>
                <a:pPr>
                  <a:defRPr sz="1050" b="0" i="0" u="none" strike="noStrike" kern="1200" baseline="0">
                    <a:solidFill>
                      <a:sysClr val="windowText" lastClr="000000"/>
                    </a:solidFill>
                    <a:latin typeface="Lato Black" panose="020F0A02020204030203" pitchFamily="34" charset="0"/>
                    <a:ea typeface="+mn-ea"/>
                    <a:cs typeface="+mn-cs"/>
                  </a:defRPr>
                </a:pPr>
                <a:fld id="{98068B41-2788-41FE-A7E0-0CD526CADD40}" type="VALUE">
                  <a:rPr lang="en-US"/>
                  <a:pPr>
                    <a:defRPr sz="105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a:gsLst>
              <a:gs pos="0">
                <a:srgbClr val="FFAFFF"/>
              </a:gs>
              <a:gs pos="60829">
                <a:srgbClr val="8F008F"/>
              </a:gs>
              <a:gs pos="100000">
                <a:srgbClr val="FF15FF"/>
              </a:gs>
            </a:gsLst>
            <a:lin ang="16200000" scaled="1"/>
          </a:gradFill>
          <a:ln>
            <a:noFill/>
          </a:ln>
          <a:effectLst/>
          <a:sp3d/>
        </c:spPr>
        <c:dLbl>
          <c:idx val="0"/>
          <c:layout>
            <c:manualLayout>
              <c:x val="1.3888888888888888E-2"/>
              <c:y val="9.2592592592592587E-3"/>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sz="1050" b="0" i="0" u="none" strike="noStrike" kern="1200" baseline="0">
                    <a:solidFill>
                      <a:sysClr val="windowText" lastClr="000000"/>
                    </a:solidFill>
                    <a:latin typeface="Lato Black" panose="020F0A02020204030203" pitchFamily="34" charset="0"/>
                    <a:ea typeface="+mn-ea"/>
                    <a:cs typeface="+mn-cs"/>
                  </a:defRPr>
                </a:pPr>
                <a:fld id="{F3D4E315-FFE5-4DC3-BE8B-BFDC18175C5C}" type="VALUE">
                  <a:rPr lang="en-US"/>
                  <a:pPr>
                    <a:defRPr sz="105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a:gsLst>
              <a:gs pos="0">
                <a:srgbClr val="F200F2"/>
              </a:gs>
              <a:gs pos="60829">
                <a:srgbClr val="8F008F"/>
              </a:gs>
              <a:gs pos="100000">
                <a:srgbClr val="500050"/>
              </a:gs>
            </a:gsLst>
            <a:lin ang="16200000" scaled="1"/>
          </a:gradFill>
          <a:ln>
            <a:noFill/>
          </a:ln>
          <a:effectLst/>
          <a:sp3d/>
        </c:spPr>
        <c:dLbl>
          <c:idx val="0"/>
          <c:layout>
            <c:manualLayout>
              <c:x val="-1.0185067526415994E-16"/>
              <c:y val="-4.1666666666666664E-2"/>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Neonatal Death</a:t>
                </a:r>
              </a:p>
              <a:p>
                <a:pPr>
                  <a:defRPr sz="1050" b="0" i="0" u="none" strike="noStrike" kern="1200" baseline="0">
                    <a:solidFill>
                      <a:sysClr val="windowText" lastClr="000000"/>
                    </a:solidFill>
                    <a:latin typeface="Lato Black" panose="020F0A02020204030203" pitchFamily="34" charset="0"/>
                    <a:ea typeface="+mn-ea"/>
                    <a:cs typeface="+mn-cs"/>
                  </a:defRPr>
                </a:pPr>
                <a:fld id="{BFFCEFD1-06E5-4A2F-9258-8345C07D51A9}" type="VALUE">
                  <a:rPr lang="en-US"/>
                  <a:pPr>
                    <a:defRPr sz="105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a:gsLst>
              <a:gs pos="0">
                <a:srgbClr val="FFAFFF"/>
              </a:gs>
              <a:gs pos="60829">
                <a:srgbClr val="8F008F"/>
              </a:gs>
              <a:gs pos="100000">
                <a:srgbClr val="FF15FF"/>
              </a:gs>
            </a:gsLst>
            <a:lin ang="16200000" scaled="1"/>
          </a:gradFill>
          <a:ln>
            <a:noFill/>
          </a:ln>
          <a:effectLst/>
          <a:sp3d/>
        </c:spPr>
        <c:dLbl>
          <c:idx val="0"/>
          <c:layout>
            <c:manualLayout>
              <c:x val="1.9444444444444445E-2"/>
              <c:y val="4.6296296296295444E-3"/>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sz="1050" b="0" i="0" u="none" strike="noStrike" kern="1200" baseline="0">
                    <a:solidFill>
                      <a:sysClr val="windowText" lastClr="000000"/>
                    </a:solidFill>
                    <a:latin typeface="Lato Black" panose="020F0A02020204030203" pitchFamily="34" charset="0"/>
                    <a:ea typeface="+mn-ea"/>
                    <a:cs typeface="+mn-cs"/>
                  </a:defRPr>
                </a:pPr>
                <a:fld id="{86345BD8-A762-48D9-BD9A-8077ED484834}" type="VALUE">
                  <a:rPr lang="en-US"/>
                  <a:pPr>
                    <a:defRPr sz="105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a:gsLst>
              <a:gs pos="0">
                <a:srgbClr val="FFAFFF"/>
              </a:gs>
              <a:gs pos="60829">
                <a:srgbClr val="8F008F"/>
              </a:gs>
              <a:gs pos="100000">
                <a:srgbClr val="FF15FF"/>
              </a:gs>
            </a:gsLst>
            <a:lin ang="162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FFAFFF"/>
              </a:gs>
              <a:gs pos="60829">
                <a:srgbClr val="8F008F"/>
              </a:gs>
              <a:gs pos="100000">
                <a:srgbClr val="FF15FF"/>
              </a:gs>
            </a:gsLst>
            <a:lin ang="16200000" scaled="1"/>
          </a:gradFill>
          <a:ln>
            <a:noFill/>
          </a:ln>
          <a:effectLst/>
          <a:sp3d/>
        </c:spPr>
        <c:dLbl>
          <c:idx val="0"/>
          <c:layout>
            <c:manualLayout>
              <c:x val="1.9444444444444445E-2"/>
              <c:y val="4.6296296296295444E-3"/>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sz="1050" b="0" i="0" u="none" strike="noStrike" kern="1200" baseline="0">
                    <a:solidFill>
                      <a:sysClr val="windowText" lastClr="000000"/>
                    </a:solidFill>
                    <a:latin typeface="Lato Black" panose="020F0A02020204030203" pitchFamily="34" charset="0"/>
                    <a:ea typeface="+mn-ea"/>
                    <a:cs typeface="+mn-cs"/>
                  </a:defRPr>
                </a:pPr>
                <a:fld id="{86345BD8-A762-48D9-BD9A-8077ED484834}" type="VALUE">
                  <a:rPr lang="en-US"/>
                  <a:pPr>
                    <a:defRPr sz="105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a:gsLst>
              <a:gs pos="0">
                <a:srgbClr val="FFAFFF"/>
              </a:gs>
              <a:gs pos="60829">
                <a:srgbClr val="8F008F"/>
              </a:gs>
              <a:gs pos="100000">
                <a:srgbClr val="FF15FF"/>
              </a:gs>
            </a:gsLst>
            <a:lin ang="16200000" scaled="1"/>
          </a:gradFill>
          <a:ln>
            <a:noFill/>
          </a:ln>
          <a:effectLst/>
          <a:sp3d/>
        </c:spPr>
        <c:dLbl>
          <c:idx val="0"/>
          <c:layout>
            <c:manualLayout>
              <c:x val="1.3888888888888888E-2"/>
              <c:y val="9.2592592592592587E-3"/>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sz="1050" b="0" i="0" u="none" strike="noStrike" kern="1200" baseline="0">
                    <a:solidFill>
                      <a:sysClr val="windowText" lastClr="000000"/>
                    </a:solidFill>
                    <a:latin typeface="Lato Black" panose="020F0A02020204030203" pitchFamily="34" charset="0"/>
                    <a:ea typeface="+mn-ea"/>
                    <a:cs typeface="+mn-cs"/>
                  </a:defRPr>
                </a:pPr>
                <a:fld id="{F3D4E315-FFE5-4DC3-BE8B-BFDC18175C5C}" type="VALUE">
                  <a:rPr lang="en-US"/>
                  <a:pPr>
                    <a:defRPr sz="105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gradFill>
            <a:gsLst>
              <a:gs pos="0">
                <a:srgbClr val="F200F2"/>
              </a:gs>
              <a:gs pos="60829">
                <a:srgbClr val="8F008F"/>
              </a:gs>
              <a:gs pos="100000">
                <a:srgbClr val="500050"/>
              </a:gs>
            </a:gsLst>
            <a:lin ang="162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F200F2"/>
              </a:gs>
              <a:gs pos="60829">
                <a:srgbClr val="8F008F"/>
              </a:gs>
              <a:gs pos="100000">
                <a:srgbClr val="500050"/>
              </a:gs>
            </a:gsLst>
            <a:lin ang="16200000" scaled="1"/>
          </a:gradFill>
          <a:ln>
            <a:noFill/>
          </a:ln>
          <a:effectLst/>
          <a:sp3d/>
        </c:spPr>
        <c:dLbl>
          <c:idx val="0"/>
          <c:layout>
            <c:manualLayout>
              <c:x val="-1.0185067526415994E-16"/>
              <c:y val="-4.1666666666666664E-2"/>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Neonatal Death</a:t>
                </a:r>
              </a:p>
              <a:p>
                <a:pPr>
                  <a:defRPr sz="1050" b="0" i="0" u="none" strike="noStrike" kern="1200" baseline="0">
                    <a:solidFill>
                      <a:sysClr val="windowText" lastClr="000000"/>
                    </a:solidFill>
                    <a:latin typeface="Lato Black" panose="020F0A02020204030203" pitchFamily="34" charset="0"/>
                    <a:ea typeface="+mn-ea"/>
                    <a:cs typeface="+mn-cs"/>
                  </a:defRPr>
                </a:pPr>
                <a:fld id="{BFFCEFD1-06E5-4A2F-9258-8345C07D51A9}" type="VALUE">
                  <a:rPr lang="en-US"/>
                  <a:pPr>
                    <a:defRPr sz="105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a:gsLst>
              <a:gs pos="0">
                <a:srgbClr val="F200F2"/>
              </a:gs>
              <a:gs pos="60829">
                <a:srgbClr val="8F008F"/>
              </a:gs>
              <a:gs pos="100000">
                <a:srgbClr val="500050"/>
              </a:gs>
            </a:gsLst>
            <a:lin ang="16200000" scaled="1"/>
          </a:gradFill>
          <a:ln>
            <a:noFill/>
          </a:ln>
          <a:effectLst/>
          <a:sp3d/>
        </c:spPr>
        <c:dLbl>
          <c:idx val="0"/>
          <c:layout>
            <c:manualLayout>
              <c:x val="3.0555555555555555E-2"/>
              <c:y val="-4.1666666666666664E-2"/>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Neonatal</a:t>
                </a:r>
                <a:r>
                  <a:rPr lang="en-US" baseline="0"/>
                  <a:t> Death</a:t>
                </a:r>
              </a:p>
              <a:p>
                <a:pPr>
                  <a:defRPr sz="1050" b="0" i="0" u="none" strike="noStrike" kern="1200" baseline="0">
                    <a:solidFill>
                      <a:sysClr val="windowText" lastClr="000000"/>
                    </a:solidFill>
                    <a:latin typeface="Lato Black" panose="020F0A02020204030203" pitchFamily="34" charset="0"/>
                    <a:ea typeface="+mn-ea"/>
                    <a:cs typeface="+mn-cs"/>
                  </a:defRPr>
                </a:pPr>
                <a:fld id="{98068B41-2788-41FE-A7E0-0CD526CADD40}" type="VALUE">
                  <a:rPr lang="en-US"/>
                  <a:pPr>
                    <a:defRPr sz="1050" b="0" i="0" u="none" strike="noStrike" kern="1200" baseline="0">
                      <a:solidFill>
                        <a:sysClr val="windowText" lastClr="000000"/>
                      </a:solidFill>
                      <a:latin typeface="Lato Black" panose="020F0A0202020403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a:gsLst>
              <a:gs pos="0">
                <a:srgbClr val="FFAFFF"/>
              </a:gs>
              <a:gs pos="60829">
                <a:srgbClr val="8F008F"/>
              </a:gs>
              <a:gs pos="100000">
                <a:srgbClr val="FF15FF"/>
              </a:gs>
            </a:gsLst>
            <a:lin ang="162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FFAFFF"/>
              </a:gs>
              <a:gs pos="60829">
                <a:srgbClr val="8F008F"/>
              </a:gs>
              <a:gs pos="100000">
                <a:srgbClr val="FF15FF"/>
              </a:gs>
            </a:gsLst>
            <a:lin ang="16200000" scaled="1"/>
          </a:gradFill>
          <a:ln>
            <a:noFill/>
          </a:ln>
          <a:effectLst/>
          <a:sp3d/>
        </c:spPr>
        <c:dLbl>
          <c:idx val="0"/>
          <c:layout>
            <c:manualLayout>
              <c:x val="1.9444444444444445E-2"/>
              <c:y val="4.6296296296295444E-3"/>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a:pPr>
                <a:fld id="{86345BD8-A762-48D9-BD9A-8077ED484834}" type="VALUE">
                  <a:rPr lang="en-US"/>
                  <a:pPr>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gradFill>
            <a:gsLst>
              <a:gs pos="0">
                <a:srgbClr val="FFAFFF"/>
              </a:gs>
              <a:gs pos="60829">
                <a:srgbClr val="8F008F"/>
              </a:gs>
              <a:gs pos="100000">
                <a:srgbClr val="FF15FF"/>
              </a:gs>
            </a:gsLst>
            <a:lin ang="16200000" scaled="1"/>
          </a:gradFill>
          <a:ln>
            <a:noFill/>
          </a:ln>
          <a:effectLst/>
          <a:sp3d/>
        </c:spPr>
        <c:dLbl>
          <c:idx val="0"/>
          <c:layout>
            <c:manualLayout>
              <c:x val="1.3888888888888888E-2"/>
              <c:y val="9.2592592592592587E-3"/>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Infant Death</a:t>
                </a:r>
              </a:p>
              <a:p>
                <a:pPr>
                  <a:defRPr/>
                </a:pPr>
                <a:fld id="{F3D4E315-FFE5-4DC3-BE8B-BFDC18175C5C}" type="VALUE">
                  <a:rPr lang="en-US"/>
                  <a:pPr>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gradFill>
            <a:gsLst>
              <a:gs pos="0">
                <a:srgbClr val="F200F2"/>
              </a:gs>
              <a:gs pos="100000">
                <a:srgbClr val="8F008F"/>
              </a:gs>
              <a:gs pos="100000">
                <a:srgbClr val="500050"/>
              </a:gs>
            </a:gsLst>
            <a:lin ang="162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rgbClr val="F200F2"/>
              </a:gs>
              <a:gs pos="100000">
                <a:srgbClr val="8F008F"/>
              </a:gs>
              <a:gs pos="100000">
                <a:srgbClr val="500050"/>
              </a:gs>
            </a:gsLst>
            <a:lin ang="16200000" scaled="1"/>
          </a:gradFill>
          <a:ln>
            <a:noFill/>
          </a:ln>
          <a:effectLst/>
          <a:sp3d/>
        </c:spPr>
        <c:dLbl>
          <c:idx val="0"/>
          <c:layout>
            <c:manualLayout>
              <c:x val="-9.5671867175727539E-17"/>
              <c:y val="-9.6014520145646515E-2"/>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Neonatal Death</a:t>
                </a:r>
              </a:p>
              <a:p>
                <a:pPr>
                  <a:defRPr/>
                </a:pPr>
                <a:fld id="{BFFCEFD1-06E5-4A2F-9258-8345C07D51A9}" type="VALUE">
                  <a:rPr lang="en-US"/>
                  <a:pPr>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180049411631765"/>
                  <c:h val="0.14782612912990103"/>
                </c:manualLayout>
              </c15:layout>
              <c15:dlblFieldTable/>
              <c15:showDataLabelsRange val="0"/>
            </c:ext>
          </c:extLst>
        </c:dLbl>
      </c:pivotFmt>
      <c:pivotFmt>
        <c:idx val="17"/>
        <c:spPr>
          <a:gradFill>
            <a:gsLst>
              <a:gs pos="0">
                <a:srgbClr val="F200F2"/>
              </a:gs>
              <a:gs pos="100000">
                <a:srgbClr val="8F008F"/>
              </a:gs>
              <a:gs pos="100000">
                <a:srgbClr val="500050"/>
              </a:gs>
            </a:gsLst>
            <a:lin ang="16200000" scaled="1"/>
          </a:gradFill>
          <a:ln>
            <a:noFill/>
          </a:ln>
          <a:effectLst/>
          <a:sp3d/>
        </c:spPr>
        <c:dLbl>
          <c:idx val="0"/>
          <c:layout>
            <c:manualLayout>
              <c:x val="3.0555555555555555E-2"/>
              <c:y val="-4.1666666666666664E-2"/>
            </c:manualLayout>
          </c:layout>
          <c:tx>
            <c:rich>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r>
                  <a:rPr lang="en-US"/>
                  <a:t>Neonatal</a:t>
                </a:r>
                <a:r>
                  <a:rPr lang="en-US" baseline="0"/>
                  <a:t> Death</a:t>
                </a:r>
              </a:p>
              <a:p>
                <a:pPr>
                  <a:defRPr/>
                </a:pPr>
                <a:fld id="{98068B41-2788-41FE-A7E0-0CD526CADD40}" type="VALUE">
                  <a:rPr lang="en-US"/>
                  <a:pPr>
                    <a:defRPr/>
                  </a:pPr>
                  <a:t>[VALUE]</a:t>
                </a:fld>
                <a:endParaRPr lang="en-IN"/>
              </a:p>
            </c:rich>
          </c:tx>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0545438669481376"/>
          <c:y val="0.14710149124200936"/>
          <c:w val="0.59454561330518618"/>
          <c:h val="0.83115937212124047"/>
        </c:manualLayout>
      </c:layout>
      <c:bar3DChart>
        <c:barDir val="bar"/>
        <c:grouping val="clustered"/>
        <c:varyColors val="0"/>
        <c:ser>
          <c:idx val="0"/>
          <c:order val="0"/>
          <c:tx>
            <c:strRef>
              <c:f>Udupi_pivot!$B$35:$B$36</c:f>
              <c:strCache>
                <c:ptCount val="1"/>
                <c:pt idx="0">
                  <c:v>Infant Death</c:v>
                </c:pt>
              </c:strCache>
            </c:strRef>
          </c:tx>
          <c:spPr>
            <a:gradFill>
              <a:gsLst>
                <a:gs pos="0">
                  <a:srgbClr val="FFAFFF"/>
                </a:gs>
                <a:gs pos="60829">
                  <a:srgbClr val="8F008F"/>
                </a:gs>
                <a:gs pos="100000">
                  <a:srgbClr val="FF15FF"/>
                </a:gs>
              </a:gsLst>
              <a:lin ang="16200000" scaled="1"/>
            </a:gradFill>
            <a:ln>
              <a:noFill/>
            </a:ln>
            <a:effectLst/>
            <a:sp3d/>
          </c:spPr>
          <c:invertIfNegative val="0"/>
          <c:dPt>
            <c:idx val="0"/>
            <c:invertIfNegative val="0"/>
            <c:bubble3D val="0"/>
            <c:spPr>
              <a:gradFill>
                <a:gsLst>
                  <a:gs pos="0">
                    <a:srgbClr val="FFAFFF"/>
                  </a:gs>
                  <a:gs pos="60829">
                    <a:srgbClr val="8F008F"/>
                  </a:gs>
                  <a:gs pos="100000">
                    <a:srgbClr val="FF15FF"/>
                  </a:gs>
                </a:gsLst>
                <a:lin ang="16200000" scaled="1"/>
              </a:gradFill>
              <a:ln>
                <a:noFill/>
              </a:ln>
              <a:effectLst/>
              <a:sp3d/>
            </c:spPr>
            <c:extLst>
              <c:ext xmlns:c16="http://schemas.microsoft.com/office/drawing/2014/chart" uri="{C3380CC4-5D6E-409C-BE32-E72D297353CC}">
                <c16:uniqueId val="{00000000-FE5A-41F8-9752-6C5F2DB3DA0F}"/>
              </c:ext>
            </c:extLst>
          </c:dPt>
          <c:dPt>
            <c:idx val="1"/>
            <c:invertIfNegative val="0"/>
            <c:bubble3D val="0"/>
            <c:spPr>
              <a:gradFill>
                <a:gsLst>
                  <a:gs pos="0">
                    <a:srgbClr val="FFAFFF"/>
                  </a:gs>
                  <a:gs pos="60829">
                    <a:srgbClr val="8F008F"/>
                  </a:gs>
                  <a:gs pos="100000">
                    <a:srgbClr val="FF15FF"/>
                  </a:gs>
                </a:gsLst>
                <a:lin ang="16200000" scaled="1"/>
              </a:gradFill>
              <a:ln>
                <a:noFill/>
              </a:ln>
              <a:effectLst/>
              <a:sp3d/>
            </c:spPr>
            <c:extLst>
              <c:ext xmlns:c16="http://schemas.microsoft.com/office/drawing/2014/chart" uri="{C3380CC4-5D6E-409C-BE32-E72D297353CC}">
                <c16:uniqueId val="{00000001-FE5A-41F8-9752-6C5F2DB3DA0F}"/>
              </c:ext>
            </c:extLst>
          </c:dPt>
          <c:dLbls>
            <c:dLbl>
              <c:idx val="0"/>
              <c:layout>
                <c:manualLayout>
                  <c:x val="1.9444444444444445E-2"/>
                  <c:y val="4.6296296296295444E-3"/>
                </c:manualLayout>
              </c:layout>
              <c:tx>
                <c:rich>
                  <a:bodyPr/>
                  <a:lstStyle/>
                  <a:p>
                    <a:r>
                      <a:rPr lang="en-US"/>
                      <a:t>Infant Death</a:t>
                    </a:r>
                  </a:p>
                  <a:p>
                    <a:fld id="{86345BD8-A762-48D9-BD9A-8077ED484834}"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FE5A-41F8-9752-6C5F2DB3DA0F}"/>
                </c:ext>
              </c:extLst>
            </c:dLbl>
            <c:dLbl>
              <c:idx val="1"/>
              <c:layout>
                <c:manualLayout>
                  <c:x val="1.3888888888888888E-2"/>
                  <c:y val="9.2592592592592587E-3"/>
                </c:manualLayout>
              </c:layout>
              <c:tx>
                <c:rich>
                  <a:bodyPr/>
                  <a:lstStyle/>
                  <a:p>
                    <a:r>
                      <a:rPr lang="en-US"/>
                      <a:t>Infant Death</a:t>
                    </a:r>
                  </a:p>
                  <a:p>
                    <a:fld id="{F3D4E315-FFE5-4DC3-BE8B-BFDC18175C5C}"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E5A-41F8-9752-6C5F2DB3DA0F}"/>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Udupi_pivot!$A$37:$A$39</c:f>
              <c:strCache>
                <c:ptCount val="2"/>
                <c:pt idx="0">
                  <c:v>Without High Risk Pregnancy</c:v>
                </c:pt>
                <c:pt idx="1">
                  <c:v>With High Risk Pregnancy</c:v>
                </c:pt>
              </c:strCache>
            </c:strRef>
          </c:cat>
          <c:val>
            <c:numRef>
              <c:f>Udupi_pivot!$B$37:$B$39</c:f>
              <c:numCache>
                <c:formatCode>General</c:formatCode>
                <c:ptCount val="2"/>
                <c:pt idx="0">
                  <c:v>4</c:v>
                </c:pt>
                <c:pt idx="1">
                  <c:v>5</c:v>
                </c:pt>
              </c:numCache>
            </c:numRef>
          </c:val>
          <c:shape val="cylinder"/>
          <c:extLst>
            <c:ext xmlns:c16="http://schemas.microsoft.com/office/drawing/2014/chart" uri="{C3380CC4-5D6E-409C-BE32-E72D297353CC}">
              <c16:uniqueId val="{00000002-FE5A-41F8-9752-6C5F2DB3DA0F}"/>
            </c:ext>
          </c:extLst>
        </c:ser>
        <c:ser>
          <c:idx val="1"/>
          <c:order val="1"/>
          <c:tx>
            <c:strRef>
              <c:f>Udupi_pivot!$C$35:$C$36</c:f>
              <c:strCache>
                <c:ptCount val="1"/>
                <c:pt idx="0">
                  <c:v>Neonatal Death</c:v>
                </c:pt>
              </c:strCache>
            </c:strRef>
          </c:tx>
          <c:spPr>
            <a:gradFill>
              <a:gsLst>
                <a:gs pos="0">
                  <a:srgbClr val="F200F2"/>
                </a:gs>
                <a:gs pos="100000">
                  <a:srgbClr val="8F008F"/>
                </a:gs>
                <a:gs pos="100000">
                  <a:srgbClr val="500050"/>
                </a:gs>
              </a:gsLst>
              <a:lin ang="16200000" scaled="1"/>
            </a:gradFill>
            <a:ln>
              <a:noFill/>
            </a:ln>
            <a:effectLst/>
            <a:sp3d/>
          </c:spPr>
          <c:invertIfNegative val="0"/>
          <c:dPt>
            <c:idx val="0"/>
            <c:invertIfNegative val="0"/>
            <c:bubble3D val="0"/>
            <c:spPr>
              <a:gradFill>
                <a:gsLst>
                  <a:gs pos="0">
                    <a:srgbClr val="F200F2"/>
                  </a:gs>
                  <a:gs pos="100000">
                    <a:srgbClr val="8F008F"/>
                  </a:gs>
                  <a:gs pos="100000">
                    <a:srgbClr val="500050"/>
                  </a:gs>
                </a:gsLst>
                <a:lin ang="16200000" scaled="1"/>
              </a:gradFill>
              <a:ln>
                <a:noFill/>
              </a:ln>
              <a:effectLst/>
              <a:sp3d/>
            </c:spPr>
            <c:extLst>
              <c:ext xmlns:c16="http://schemas.microsoft.com/office/drawing/2014/chart" uri="{C3380CC4-5D6E-409C-BE32-E72D297353CC}">
                <c16:uniqueId val="{00000005-B1F1-4E8A-9B71-4A6900BE42A7}"/>
              </c:ext>
            </c:extLst>
          </c:dPt>
          <c:dPt>
            <c:idx val="1"/>
            <c:invertIfNegative val="0"/>
            <c:bubble3D val="0"/>
            <c:spPr>
              <a:gradFill>
                <a:gsLst>
                  <a:gs pos="0">
                    <a:srgbClr val="F200F2"/>
                  </a:gs>
                  <a:gs pos="100000">
                    <a:srgbClr val="8F008F"/>
                  </a:gs>
                  <a:gs pos="100000">
                    <a:srgbClr val="500050"/>
                  </a:gs>
                </a:gsLst>
                <a:lin ang="16200000" scaled="1"/>
              </a:gradFill>
              <a:ln>
                <a:noFill/>
              </a:ln>
              <a:effectLst/>
              <a:sp3d/>
            </c:spPr>
            <c:extLst>
              <c:ext xmlns:c16="http://schemas.microsoft.com/office/drawing/2014/chart" uri="{C3380CC4-5D6E-409C-BE32-E72D297353CC}">
                <c16:uniqueId val="{00000007-B1F1-4E8A-9B71-4A6900BE42A7}"/>
              </c:ext>
            </c:extLst>
          </c:dPt>
          <c:dLbls>
            <c:dLbl>
              <c:idx val="0"/>
              <c:layout>
                <c:manualLayout>
                  <c:x val="-9.5671867175727539E-17"/>
                  <c:y val="-9.6014520145646515E-2"/>
                </c:manualLayout>
              </c:layout>
              <c:tx>
                <c:rich>
                  <a:bodyPr/>
                  <a:lstStyle/>
                  <a:p>
                    <a:r>
                      <a:rPr lang="en-US"/>
                      <a:t>Neonatal Death</a:t>
                    </a:r>
                  </a:p>
                  <a:p>
                    <a:fld id="{BFFCEFD1-06E5-4A2F-9258-8345C07D51A9}"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layout>
                    <c:manualLayout>
                      <c:w val="0.14180049411631765"/>
                      <c:h val="0.14782612912990103"/>
                    </c:manualLayout>
                  </c15:layout>
                  <c15:dlblFieldTable/>
                  <c15:showDataLabelsRange val="0"/>
                </c:ext>
                <c:ext xmlns:c16="http://schemas.microsoft.com/office/drawing/2014/chart" uri="{C3380CC4-5D6E-409C-BE32-E72D297353CC}">
                  <c16:uniqueId val="{00000005-B1F1-4E8A-9B71-4A6900BE42A7}"/>
                </c:ext>
              </c:extLst>
            </c:dLbl>
            <c:dLbl>
              <c:idx val="1"/>
              <c:layout>
                <c:manualLayout>
                  <c:x val="3.0555555555555555E-2"/>
                  <c:y val="-4.1666666666666664E-2"/>
                </c:manualLayout>
              </c:layout>
              <c:tx>
                <c:rich>
                  <a:bodyPr/>
                  <a:lstStyle/>
                  <a:p>
                    <a:r>
                      <a:rPr lang="en-US"/>
                      <a:t>Neonatal</a:t>
                    </a:r>
                    <a:r>
                      <a:rPr lang="en-US" baseline="0"/>
                      <a:t> Death</a:t>
                    </a:r>
                  </a:p>
                  <a:p>
                    <a:fld id="{98068B41-2788-41FE-A7E0-0CD526CADD40}"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B1F1-4E8A-9B71-4A6900BE42A7}"/>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Udupi_pivot!$A$37:$A$39</c:f>
              <c:strCache>
                <c:ptCount val="2"/>
                <c:pt idx="0">
                  <c:v>Without High Risk Pregnancy</c:v>
                </c:pt>
                <c:pt idx="1">
                  <c:v>With High Risk Pregnancy</c:v>
                </c:pt>
              </c:strCache>
            </c:strRef>
          </c:cat>
          <c:val>
            <c:numRef>
              <c:f>Udupi_pivot!$C$37:$C$39</c:f>
              <c:numCache>
                <c:formatCode>General</c:formatCode>
                <c:ptCount val="2"/>
                <c:pt idx="0">
                  <c:v>9</c:v>
                </c:pt>
                <c:pt idx="1">
                  <c:v>5</c:v>
                </c:pt>
              </c:numCache>
            </c:numRef>
          </c:val>
          <c:extLst>
            <c:ext xmlns:c16="http://schemas.microsoft.com/office/drawing/2014/chart" uri="{C3380CC4-5D6E-409C-BE32-E72D297353CC}">
              <c16:uniqueId val="{00000009-9854-471E-9F50-3CFDD9636F43}"/>
            </c:ext>
          </c:extLst>
        </c:ser>
        <c:dLbls>
          <c:showLegendKey val="0"/>
          <c:showVal val="1"/>
          <c:showCatName val="0"/>
          <c:showSerName val="0"/>
          <c:showPercent val="0"/>
          <c:showBubbleSize val="0"/>
        </c:dLbls>
        <c:gapWidth val="150"/>
        <c:shape val="box"/>
        <c:axId val="1327902592"/>
        <c:axId val="1327905472"/>
        <c:axId val="0"/>
      </c:bar3DChart>
      <c:catAx>
        <c:axId val="1327902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327905472"/>
        <c:crosses val="autoZero"/>
        <c:auto val="1"/>
        <c:lblAlgn val="ctr"/>
        <c:lblOffset val="100"/>
        <c:noMultiLvlLbl val="0"/>
      </c:catAx>
      <c:valAx>
        <c:axId val="1327905472"/>
        <c:scaling>
          <c:orientation val="minMax"/>
        </c:scaling>
        <c:delete val="1"/>
        <c:axPos val="b"/>
        <c:numFmt formatCode="General" sourceLinked="1"/>
        <c:majorTickMark val="none"/>
        <c:minorTickMark val="none"/>
        <c:tickLblPos val="nextTo"/>
        <c:crossAx val="1327902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death_copy.xlsx]Udupi_pivot!Delivary_type(Ud)</c:name>
    <c:fmtId val="3"/>
  </c:pivotSource>
  <c:chart>
    <c:title>
      <c:tx>
        <c:rich>
          <a:bodyPr rot="0" spcFirstLastPara="1" vertOverflow="ellipsis" vert="horz" wrap="square" anchor="ctr" anchorCtr="1"/>
          <a:lstStyle/>
          <a:p>
            <a:pPr>
              <a:defRPr sz="1260" b="1" i="0" u="none" strike="noStrike" kern="1200" baseline="0">
                <a:solidFill>
                  <a:sysClr val="windowText" lastClr="000000"/>
                </a:solidFill>
                <a:latin typeface="Lato Black" panose="020F0A02020204030203" pitchFamily="34" charset="0"/>
                <a:ea typeface="+mn-ea"/>
                <a:cs typeface="+mn-cs"/>
              </a:defRPr>
            </a:pPr>
            <a:r>
              <a:rPr lang="en-IN" sz="1400" b="1" i="0" u="none" strike="noStrike" kern="1200" baseline="0">
                <a:solidFill>
                  <a:schemeClr val="tx1"/>
                </a:solidFill>
                <a:latin typeface="Lato Black" panose="020F0A02020204030203" pitchFamily="34" charset="0"/>
              </a:rPr>
              <a:t>Delivery Type &amp; Death Category Analysis</a:t>
            </a:r>
          </a:p>
        </c:rich>
      </c:tx>
      <c:layout>
        <c:manualLayout>
          <c:xMode val="edge"/>
          <c:yMode val="edge"/>
          <c:x val="0.15204855643044621"/>
          <c:y val="1.8518518518518517E-2"/>
        </c:manualLayout>
      </c:layout>
      <c:overlay val="0"/>
      <c:spPr>
        <a:noFill/>
        <a:ln>
          <a:noFill/>
        </a:ln>
        <a:effectLst/>
      </c:spPr>
      <c:txPr>
        <a:bodyPr rot="0" spcFirstLastPara="1" vertOverflow="ellipsis" vert="horz" wrap="square" anchor="ctr" anchorCtr="1"/>
        <a:lstStyle/>
        <a:p>
          <a:pPr>
            <a:defRPr sz="126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2309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2309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2309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293547681539807"/>
          <c:y val="0.16492764607632601"/>
          <c:w val="0.73152146735371248"/>
          <c:h val="0.6505309697250411"/>
        </c:manualLayout>
      </c:layout>
      <c:bar3DChart>
        <c:barDir val="col"/>
        <c:grouping val="clustered"/>
        <c:varyColors val="0"/>
        <c:ser>
          <c:idx val="0"/>
          <c:order val="0"/>
          <c:tx>
            <c:strRef>
              <c:f>Udupi_pivot!$B$11:$B$12</c:f>
              <c:strCache>
                <c:ptCount val="1"/>
                <c:pt idx="0">
                  <c:v>Infant Death</c:v>
                </c:pt>
              </c:strCache>
            </c:strRef>
          </c:tx>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18C2-41CE-BE6F-E04C380A4926}"/>
              </c:ext>
            </c:extLst>
          </c:dPt>
          <c:dPt>
            <c:idx val="1"/>
            <c:invertIfNegative val="0"/>
            <c:bubble3D val="0"/>
            <c:spPr>
              <a:gradFill rotWithShape="1">
                <a:gsLst>
                  <a:gs pos="0">
                    <a:srgbClr val="F8F568"/>
                  </a:gs>
                  <a:gs pos="99000">
                    <a:srgbClr val="FFC000"/>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8C2-41CE-BE6F-E04C380A4926}"/>
              </c:ext>
            </c:extLst>
          </c:dPt>
          <c:dLbls>
            <c:dLbl>
              <c:idx val="0"/>
              <c:layout>
                <c:manualLayout>
                  <c:x val="0"/>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8C2-41CE-BE6F-E04C380A4926}"/>
                </c:ext>
              </c:extLst>
            </c:dLbl>
            <c:dLbl>
              <c:idx val="1"/>
              <c:layout>
                <c:manualLayout>
                  <c:x val="8.3333333333333332E-3"/>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C2-41CE-BE6F-E04C380A4926}"/>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Udupi_pivot!$A$13:$A$15</c:f>
              <c:strCache>
                <c:ptCount val="2"/>
                <c:pt idx="0">
                  <c:v>LSCS</c:v>
                </c:pt>
                <c:pt idx="1">
                  <c:v>Normal</c:v>
                </c:pt>
              </c:strCache>
            </c:strRef>
          </c:cat>
          <c:val>
            <c:numRef>
              <c:f>Udupi_pivot!$B$13:$B$15</c:f>
              <c:numCache>
                <c:formatCode>General</c:formatCode>
                <c:ptCount val="2"/>
                <c:pt idx="0">
                  <c:v>3</c:v>
                </c:pt>
                <c:pt idx="1">
                  <c:v>6</c:v>
                </c:pt>
              </c:numCache>
            </c:numRef>
          </c:val>
          <c:extLst>
            <c:ext xmlns:c16="http://schemas.microsoft.com/office/drawing/2014/chart" uri="{C3380CC4-5D6E-409C-BE32-E72D297353CC}">
              <c16:uniqueId val="{00000002-18C2-41CE-BE6F-E04C380A4926}"/>
            </c:ext>
          </c:extLst>
        </c:ser>
        <c:ser>
          <c:idx val="1"/>
          <c:order val="1"/>
          <c:tx>
            <c:strRef>
              <c:f>Udupi_pivot!$C$11:$C$12</c:f>
              <c:strCache>
                <c:ptCount val="1"/>
                <c:pt idx="0">
                  <c:v>Neonatal Death</c:v>
                </c:pt>
              </c:strCache>
            </c:strRef>
          </c:tx>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965-48A2-B8A7-590DD9AB52CF}"/>
              </c:ext>
            </c:extLst>
          </c:dPt>
          <c:dPt>
            <c:idx val="1"/>
            <c:invertIfNegative val="0"/>
            <c:bubble3D val="0"/>
            <c:spPr>
              <a:gradFill rotWithShape="1">
                <a:gsLst>
                  <a:gs pos="0">
                    <a:srgbClr val="FFC000"/>
                  </a:gs>
                  <a:gs pos="99000">
                    <a:srgbClr val="B9480F"/>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965-48A2-B8A7-590DD9AB52CF}"/>
              </c:ext>
            </c:extLst>
          </c:dPt>
          <c:dLbls>
            <c:dLbl>
              <c:idx val="0"/>
              <c:layout>
                <c:manualLayout>
                  <c:x val="8.3333333333332309E-3"/>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65-48A2-B8A7-590DD9AB52CF}"/>
                </c:ext>
              </c:extLst>
            </c:dLbl>
            <c:dLbl>
              <c:idx val="1"/>
              <c:layout>
                <c:manualLayout>
                  <c:x val="1.9444444444444445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65-48A2-B8A7-590DD9AB52C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Udupi_pivot!$A$13:$A$15</c:f>
              <c:strCache>
                <c:ptCount val="2"/>
                <c:pt idx="0">
                  <c:v>LSCS</c:v>
                </c:pt>
                <c:pt idx="1">
                  <c:v>Normal</c:v>
                </c:pt>
              </c:strCache>
            </c:strRef>
          </c:cat>
          <c:val>
            <c:numRef>
              <c:f>Udupi_pivot!$C$13:$C$15</c:f>
              <c:numCache>
                <c:formatCode>General</c:formatCode>
                <c:ptCount val="2"/>
                <c:pt idx="0">
                  <c:v>7</c:v>
                </c:pt>
                <c:pt idx="1">
                  <c:v>7</c:v>
                </c:pt>
              </c:numCache>
            </c:numRef>
          </c:val>
          <c:extLst>
            <c:ext xmlns:c16="http://schemas.microsoft.com/office/drawing/2014/chart" uri="{C3380CC4-5D6E-409C-BE32-E72D297353CC}">
              <c16:uniqueId val="{00000009-3CFE-4D29-876B-5529A12FD36B}"/>
            </c:ext>
          </c:extLst>
        </c:ser>
        <c:dLbls>
          <c:showLegendKey val="0"/>
          <c:showVal val="1"/>
          <c:showCatName val="0"/>
          <c:showSerName val="0"/>
          <c:showPercent val="0"/>
          <c:showBubbleSize val="0"/>
        </c:dLbls>
        <c:gapWidth val="150"/>
        <c:shape val="box"/>
        <c:axId val="1358775680"/>
        <c:axId val="1358779040"/>
        <c:axId val="0"/>
      </c:bar3DChart>
      <c:catAx>
        <c:axId val="13587756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358779040"/>
        <c:crosses val="autoZero"/>
        <c:auto val="1"/>
        <c:lblAlgn val="ctr"/>
        <c:lblOffset val="100"/>
        <c:noMultiLvlLbl val="0"/>
      </c:catAx>
      <c:valAx>
        <c:axId val="1358779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358775680"/>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death_copy.xlsx]Udupi_pivot!Gender(Ud)</c:name>
    <c:fmtId val="4"/>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Lato Black" panose="020F0A02020204030203" pitchFamily="34" charset="0"/>
                <a:ea typeface="+mn-ea"/>
                <a:cs typeface="+mn-cs"/>
              </a:defRPr>
            </a:pPr>
            <a:r>
              <a:rPr lang="en-IN" sz="1600" b="1" i="0" u="none" strike="noStrike" kern="1200" baseline="0">
                <a:solidFill>
                  <a:schemeClr val="tx1"/>
                </a:solidFill>
                <a:latin typeface="Lato Black" panose="020F0A02020204030203" pitchFamily="34" charset="0"/>
              </a:rPr>
              <a:t>Gender-wise Analysis of Infant &amp; Neonatal Deaths</a:t>
            </a:r>
          </a:p>
        </c:rich>
      </c:tx>
      <c:layout>
        <c:manualLayout>
          <c:xMode val="edge"/>
          <c:yMode val="edge"/>
          <c:x val="0.12161789151356081"/>
          <c:y val="1.851851851851851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a:gsLst>
              <a:gs pos="0">
                <a:schemeClr val="tx2">
                  <a:lumMod val="60000"/>
                  <a:lumOff val="40000"/>
                </a:schemeClr>
              </a:gs>
              <a:gs pos="100000">
                <a:schemeClr val="tx2">
                  <a:lumMod val="75000"/>
                </a:schemeClr>
              </a:gs>
            </a:gsLst>
            <a:lin ang="5400000" scaled="1"/>
          </a:gra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8"/>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circle"/>
          <c:size val="8"/>
          <c:spPr>
            <a:solidFill>
              <a:schemeClr val="accent2"/>
            </a:solidFill>
            <a:ln w="9525">
              <a:solidFill>
                <a:schemeClr val="accent2"/>
              </a:solidFill>
            </a:ln>
            <a:effectLst/>
          </c:spPr>
        </c:marker>
        <c:dLbl>
          <c:idx val="0"/>
          <c:layout>
            <c:manualLayout>
              <c:x val="-5.8333333333333334E-2"/>
              <c:y val="-4.6296296296296294E-3"/>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8"/>
          <c:spPr>
            <a:solidFill>
              <a:schemeClr val="accent2"/>
            </a:solidFill>
            <a:ln w="9525">
              <a:solidFill>
                <a:schemeClr val="accent2"/>
              </a:solidFill>
            </a:ln>
            <a:effectLst/>
          </c:spPr>
        </c:marker>
        <c:dLbl>
          <c:idx val="0"/>
          <c:layout>
            <c:manualLayout>
              <c:x val="0"/>
              <c:y val="-2.3148148148148168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tx2">
                  <a:lumMod val="60000"/>
                  <a:lumOff val="40000"/>
                </a:schemeClr>
              </a:gs>
              <a:gs pos="100000">
                <a:schemeClr val="tx2">
                  <a:lumMod val="75000"/>
                </a:schemeClr>
              </a:gs>
            </a:gsLst>
            <a:lin ang="5400000" scaled="1"/>
          </a:gradFill>
          <a:ln>
            <a:noFill/>
          </a:ln>
          <a:effectLst/>
        </c:spPr>
        <c:dLbl>
          <c:idx val="0"/>
          <c:layout>
            <c:manualLayout>
              <c:x val="8.3333333333332309E-3"/>
              <c:y val="1.3888888888888846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tx2">
                  <a:lumMod val="60000"/>
                  <a:lumOff val="40000"/>
                </a:schemeClr>
              </a:gs>
              <a:gs pos="100000">
                <a:schemeClr val="tx2">
                  <a:lumMod val="75000"/>
                </a:schemeClr>
              </a:gs>
            </a:gsLst>
            <a:lin ang="5400000" scaled="1"/>
          </a:gradFill>
          <a:ln>
            <a:noFill/>
          </a:ln>
          <a:effectLst/>
        </c:spPr>
        <c:dLbl>
          <c:idx val="0"/>
          <c:layout>
            <c:manualLayout>
              <c:x val="0"/>
              <c:y val="4.6296296296295444E-3"/>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tx2">
                  <a:lumMod val="60000"/>
                  <a:lumOff val="40000"/>
                </a:schemeClr>
              </a:gs>
              <a:gs pos="100000">
                <a:schemeClr val="tx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tx2">
                  <a:lumMod val="60000"/>
                  <a:lumOff val="40000"/>
                </a:schemeClr>
              </a:gs>
              <a:gs pos="100000">
                <a:schemeClr val="tx2">
                  <a:lumMod val="75000"/>
                </a:schemeClr>
              </a:gs>
            </a:gsLst>
            <a:lin ang="5400000" scaled="1"/>
          </a:gradFill>
          <a:ln>
            <a:noFill/>
          </a:ln>
          <a:effectLst/>
        </c:spPr>
        <c:dLbl>
          <c:idx val="0"/>
          <c:layout>
            <c:manualLayout>
              <c:x val="0"/>
              <c:y val="4.6296296296295444E-3"/>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tx2">
                  <a:lumMod val="60000"/>
                  <a:lumOff val="40000"/>
                </a:schemeClr>
              </a:gs>
              <a:gs pos="100000">
                <a:schemeClr val="tx2">
                  <a:lumMod val="75000"/>
                </a:schemeClr>
              </a:gs>
            </a:gsLst>
            <a:lin ang="5400000" scaled="1"/>
          </a:gradFill>
          <a:ln>
            <a:noFill/>
          </a:ln>
          <a:effectLst/>
        </c:spPr>
        <c:dLbl>
          <c:idx val="0"/>
          <c:layout>
            <c:manualLayout>
              <c:x val="8.3333333333332309E-3"/>
              <c:y val="1.3888888888888846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8"/>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solidFill>
            <a:round/>
          </a:ln>
          <a:effectLst/>
        </c:spPr>
        <c:marker>
          <c:symbol val="circle"/>
          <c:size val="8"/>
          <c:spPr>
            <a:solidFill>
              <a:schemeClr val="accent2"/>
            </a:solidFill>
            <a:ln w="9525">
              <a:solidFill>
                <a:schemeClr val="accent2"/>
              </a:solidFill>
            </a:ln>
            <a:effectLst/>
          </c:spPr>
        </c:marker>
        <c:dLbl>
          <c:idx val="0"/>
          <c:layout>
            <c:manualLayout>
              <c:x val="-5.8333333333333334E-2"/>
              <c:y val="-4.6296296296296294E-3"/>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ymbol val="circle"/>
          <c:size val="8"/>
          <c:spPr>
            <a:solidFill>
              <a:schemeClr val="accent2"/>
            </a:solidFill>
            <a:ln w="9525">
              <a:solidFill>
                <a:schemeClr val="accent2"/>
              </a:solidFill>
            </a:ln>
            <a:effectLst/>
          </c:spPr>
        </c:marker>
        <c:dLbl>
          <c:idx val="0"/>
          <c:layout>
            <c:manualLayout>
              <c:x val="0"/>
              <c:y val="-2.3148148148148168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rgbClr val="F698E6"/>
              </a:gs>
              <a:gs pos="100000">
                <a:srgbClr val="E329C8"/>
              </a:gs>
            </a:gsLst>
            <a:lin ang="54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F698E6"/>
              </a:gs>
              <a:gs pos="100000">
                <a:srgbClr val="E329C8"/>
              </a:gs>
            </a:gsLst>
            <a:lin ang="5400000" scaled="1"/>
          </a:gradFill>
          <a:ln>
            <a:noFill/>
          </a:ln>
          <a:effectLst/>
          <a:sp3d/>
        </c:spPr>
        <c:dLbl>
          <c:idx val="0"/>
          <c:layout>
            <c:manualLayout>
              <c:x val="0"/>
              <c:y val="4.6296296296295444E-3"/>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rgbClr val="F698E6"/>
              </a:gs>
              <a:gs pos="100000">
                <a:srgbClr val="E329C8"/>
              </a:gs>
            </a:gsLst>
            <a:lin ang="5400000" scaled="1"/>
          </a:gradFill>
          <a:ln>
            <a:noFill/>
          </a:ln>
          <a:effectLst/>
          <a:sp3d/>
        </c:spPr>
        <c:dLbl>
          <c:idx val="0"/>
          <c:layout>
            <c:manualLayout>
              <c:x val="8.3333333333332309E-3"/>
              <c:y val="1.3888888888888846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chemeClr val="tx2">
                  <a:lumMod val="60000"/>
                  <a:lumOff val="40000"/>
                </a:schemeClr>
              </a:gs>
              <a:gs pos="100000">
                <a:schemeClr val="tx2">
                  <a:lumMod val="50000"/>
                </a:schemeClr>
              </a:gs>
            </a:gsLst>
            <a:lin ang="54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chemeClr val="tx2">
                  <a:lumMod val="60000"/>
                  <a:lumOff val="40000"/>
                </a:schemeClr>
              </a:gs>
              <a:gs pos="100000">
                <a:schemeClr val="tx2">
                  <a:lumMod val="50000"/>
                </a:schemeClr>
              </a:gs>
            </a:gsLst>
            <a:lin ang="5400000" scaled="1"/>
          </a:gradFill>
          <a:ln>
            <a:noFill/>
          </a:ln>
          <a:effectLst/>
          <a:sp3d/>
        </c:spPr>
        <c:marker>
          <c:symbol val="none"/>
        </c:marker>
        <c:dLbl>
          <c:idx val="0"/>
          <c:layout>
            <c:manualLayout>
              <c:x val="-5.8333333333333334E-2"/>
              <c:y val="-4.6296296296296294E-3"/>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0">
                <a:schemeClr val="tx2">
                  <a:lumMod val="60000"/>
                  <a:lumOff val="40000"/>
                </a:schemeClr>
              </a:gs>
              <a:gs pos="100000">
                <a:schemeClr val="tx2">
                  <a:lumMod val="50000"/>
                </a:schemeClr>
              </a:gs>
            </a:gsLst>
            <a:lin ang="5400000" scaled="1"/>
          </a:gradFill>
          <a:ln>
            <a:noFill/>
          </a:ln>
          <a:effectLst/>
          <a:sp3d/>
        </c:spPr>
        <c:marker>
          <c:symbol val="none"/>
        </c:marker>
        <c:dLbl>
          <c:idx val="0"/>
          <c:layout>
            <c:manualLayout>
              <c:x val="0"/>
              <c:y val="-2.3148148148148168E-2"/>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Udupi_pivot!$B$19:$B$20</c:f>
              <c:strCache>
                <c:ptCount val="1"/>
                <c:pt idx="0">
                  <c:v>Female</c:v>
                </c:pt>
              </c:strCache>
            </c:strRef>
          </c:tx>
          <c:spPr>
            <a:gradFill>
              <a:gsLst>
                <a:gs pos="0">
                  <a:srgbClr val="F698E6"/>
                </a:gs>
                <a:gs pos="100000">
                  <a:srgbClr val="E329C8"/>
                </a:gs>
              </a:gsLst>
              <a:lin ang="5400000" scaled="1"/>
            </a:gradFill>
            <a:ln>
              <a:noFill/>
            </a:ln>
            <a:effectLst/>
            <a:sp3d/>
          </c:spPr>
          <c:invertIfNegative val="0"/>
          <c:dPt>
            <c:idx val="0"/>
            <c:invertIfNegative val="0"/>
            <c:bubble3D val="0"/>
            <c:spPr>
              <a:gradFill>
                <a:gsLst>
                  <a:gs pos="0">
                    <a:srgbClr val="F698E6"/>
                  </a:gs>
                  <a:gs pos="100000">
                    <a:srgbClr val="E329C8"/>
                  </a:gs>
                </a:gsLst>
                <a:lin ang="5400000" scaled="1"/>
              </a:gradFill>
              <a:ln>
                <a:noFill/>
              </a:ln>
              <a:effectLst/>
              <a:sp3d/>
            </c:spPr>
            <c:extLst>
              <c:ext xmlns:c16="http://schemas.microsoft.com/office/drawing/2014/chart" uri="{C3380CC4-5D6E-409C-BE32-E72D297353CC}">
                <c16:uniqueId val="{00000000-00D7-4851-82C7-46C4AA9746A3}"/>
              </c:ext>
            </c:extLst>
          </c:dPt>
          <c:dPt>
            <c:idx val="1"/>
            <c:invertIfNegative val="0"/>
            <c:bubble3D val="0"/>
            <c:spPr>
              <a:gradFill>
                <a:gsLst>
                  <a:gs pos="0">
                    <a:srgbClr val="F698E6"/>
                  </a:gs>
                  <a:gs pos="100000">
                    <a:srgbClr val="E329C8"/>
                  </a:gs>
                </a:gsLst>
                <a:lin ang="5400000" scaled="1"/>
              </a:gradFill>
              <a:ln>
                <a:noFill/>
              </a:ln>
              <a:effectLst/>
              <a:sp3d/>
            </c:spPr>
            <c:extLst>
              <c:ext xmlns:c16="http://schemas.microsoft.com/office/drawing/2014/chart" uri="{C3380CC4-5D6E-409C-BE32-E72D297353CC}">
                <c16:uniqueId val="{00000001-00D7-4851-82C7-46C4AA9746A3}"/>
              </c:ext>
            </c:extLst>
          </c:dPt>
          <c:dLbls>
            <c:dLbl>
              <c:idx val="0"/>
              <c:layout>
                <c:manualLayout>
                  <c:x val="0"/>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0D7-4851-82C7-46C4AA9746A3}"/>
                </c:ext>
              </c:extLst>
            </c:dLbl>
            <c:dLbl>
              <c:idx val="1"/>
              <c:layout>
                <c:manualLayout>
                  <c:x val="8.3333333333332309E-3"/>
                  <c:y val="1.38888888888888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D7-4851-82C7-46C4AA9746A3}"/>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Udupi_pivot!$A$21:$A$23</c:f>
              <c:strCache>
                <c:ptCount val="2"/>
                <c:pt idx="0">
                  <c:v>Infant Death</c:v>
                </c:pt>
                <c:pt idx="1">
                  <c:v>Neonatal Death</c:v>
                </c:pt>
              </c:strCache>
            </c:strRef>
          </c:cat>
          <c:val>
            <c:numRef>
              <c:f>Udupi_pivot!$B$21:$B$23</c:f>
              <c:numCache>
                <c:formatCode>General</c:formatCode>
                <c:ptCount val="2"/>
                <c:pt idx="0">
                  <c:v>3</c:v>
                </c:pt>
                <c:pt idx="1">
                  <c:v>6</c:v>
                </c:pt>
              </c:numCache>
            </c:numRef>
          </c:val>
          <c:extLst>
            <c:ext xmlns:c16="http://schemas.microsoft.com/office/drawing/2014/chart" uri="{C3380CC4-5D6E-409C-BE32-E72D297353CC}">
              <c16:uniqueId val="{00000002-00D7-4851-82C7-46C4AA9746A3}"/>
            </c:ext>
          </c:extLst>
        </c:ser>
        <c:ser>
          <c:idx val="1"/>
          <c:order val="1"/>
          <c:tx>
            <c:strRef>
              <c:f>Udupi_pivot!$C$19:$C$20</c:f>
              <c:strCache>
                <c:ptCount val="1"/>
                <c:pt idx="0">
                  <c:v>Male</c:v>
                </c:pt>
              </c:strCache>
            </c:strRef>
          </c:tx>
          <c:spPr>
            <a:gradFill>
              <a:gsLst>
                <a:gs pos="0">
                  <a:schemeClr val="tx2">
                    <a:lumMod val="60000"/>
                    <a:lumOff val="40000"/>
                  </a:schemeClr>
                </a:gs>
                <a:gs pos="100000">
                  <a:schemeClr val="tx2">
                    <a:lumMod val="50000"/>
                  </a:schemeClr>
                </a:gs>
              </a:gsLst>
              <a:lin ang="5400000" scaled="1"/>
            </a:gradFill>
            <a:ln>
              <a:noFill/>
            </a:ln>
            <a:effectLst/>
            <a:sp3d/>
          </c:spPr>
          <c:invertIfNegative val="0"/>
          <c:dPt>
            <c:idx val="0"/>
            <c:invertIfNegative val="0"/>
            <c:bubble3D val="0"/>
            <c:spPr>
              <a:gradFill>
                <a:gsLst>
                  <a:gs pos="0">
                    <a:schemeClr val="tx2">
                      <a:lumMod val="60000"/>
                      <a:lumOff val="40000"/>
                    </a:schemeClr>
                  </a:gs>
                  <a:gs pos="100000">
                    <a:schemeClr val="tx2">
                      <a:lumMod val="50000"/>
                    </a:schemeClr>
                  </a:gs>
                </a:gsLst>
                <a:lin ang="5400000" scaled="1"/>
              </a:gradFill>
              <a:ln>
                <a:noFill/>
              </a:ln>
              <a:effectLst/>
              <a:sp3d/>
            </c:spPr>
            <c:extLst>
              <c:ext xmlns:c16="http://schemas.microsoft.com/office/drawing/2014/chart" uri="{C3380CC4-5D6E-409C-BE32-E72D297353CC}">
                <c16:uniqueId val="{00000005-3A43-4024-88F1-C9C7DEE1A3FD}"/>
              </c:ext>
            </c:extLst>
          </c:dPt>
          <c:dPt>
            <c:idx val="1"/>
            <c:invertIfNegative val="0"/>
            <c:bubble3D val="0"/>
            <c:spPr>
              <a:gradFill>
                <a:gsLst>
                  <a:gs pos="0">
                    <a:schemeClr val="tx2">
                      <a:lumMod val="60000"/>
                      <a:lumOff val="40000"/>
                    </a:schemeClr>
                  </a:gs>
                  <a:gs pos="100000">
                    <a:schemeClr val="tx2">
                      <a:lumMod val="50000"/>
                    </a:schemeClr>
                  </a:gs>
                </a:gsLst>
                <a:lin ang="5400000" scaled="1"/>
              </a:gradFill>
              <a:ln>
                <a:noFill/>
              </a:ln>
              <a:effectLst/>
              <a:sp3d/>
            </c:spPr>
            <c:extLst>
              <c:ext xmlns:c16="http://schemas.microsoft.com/office/drawing/2014/chart" uri="{C3380CC4-5D6E-409C-BE32-E72D297353CC}">
                <c16:uniqueId val="{00000007-3A43-4024-88F1-C9C7DEE1A3FD}"/>
              </c:ext>
            </c:extLst>
          </c:dPt>
          <c:dLbls>
            <c:dLbl>
              <c:idx val="0"/>
              <c:layout>
                <c:manualLayout>
                  <c:x val="-5.8333333333333334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43-4024-88F1-C9C7DEE1A3FD}"/>
                </c:ext>
              </c:extLst>
            </c:dLbl>
            <c:dLbl>
              <c:idx val="1"/>
              <c:layout>
                <c:manualLayout>
                  <c:x val="0"/>
                  <c:y val="-2.3148148148148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43-4024-88F1-C9C7DEE1A3FD}"/>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Udupi_pivot!$A$21:$A$23</c:f>
              <c:strCache>
                <c:ptCount val="2"/>
                <c:pt idx="0">
                  <c:v>Infant Death</c:v>
                </c:pt>
                <c:pt idx="1">
                  <c:v>Neonatal Death</c:v>
                </c:pt>
              </c:strCache>
            </c:strRef>
          </c:cat>
          <c:val>
            <c:numRef>
              <c:f>Udupi_pivot!$C$21:$C$23</c:f>
              <c:numCache>
                <c:formatCode>General</c:formatCode>
                <c:ptCount val="2"/>
                <c:pt idx="0">
                  <c:v>6</c:v>
                </c:pt>
                <c:pt idx="1">
                  <c:v>8</c:v>
                </c:pt>
              </c:numCache>
            </c:numRef>
          </c:val>
          <c:extLst>
            <c:ext xmlns:c16="http://schemas.microsoft.com/office/drawing/2014/chart" uri="{C3380CC4-5D6E-409C-BE32-E72D297353CC}">
              <c16:uniqueId val="{00000009-06A4-4372-807E-18D4C9D4AA62}"/>
            </c:ext>
          </c:extLst>
        </c:ser>
        <c:dLbls>
          <c:showLegendKey val="0"/>
          <c:showVal val="1"/>
          <c:showCatName val="0"/>
          <c:showSerName val="0"/>
          <c:showPercent val="0"/>
          <c:showBubbleSize val="0"/>
        </c:dLbls>
        <c:gapWidth val="219"/>
        <c:shape val="box"/>
        <c:axId val="1158711856"/>
        <c:axId val="1158695536"/>
        <c:axId val="985416255"/>
      </c:bar3DChart>
      <c:catAx>
        <c:axId val="1158711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158695536"/>
        <c:crosses val="autoZero"/>
        <c:auto val="1"/>
        <c:lblAlgn val="ctr"/>
        <c:lblOffset val="100"/>
        <c:noMultiLvlLbl val="0"/>
      </c:catAx>
      <c:valAx>
        <c:axId val="11586955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158711856"/>
        <c:crosses val="autoZero"/>
        <c:crossBetween val="between"/>
      </c:valAx>
      <c:serAx>
        <c:axId val="98541625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1158695536"/>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[Infant death_copy.xlsx]Udupi_pivot!Preventable(Ud)</c:name>
    <c:fmtId val="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r>
              <a:rPr lang="en-IN" sz="1600" b="1" i="0" u="none" strike="noStrike" kern="1200" baseline="0">
                <a:solidFill>
                  <a:schemeClr val="tx1"/>
                </a:solidFill>
                <a:latin typeface="Lato Black" panose="020F0A02020204030203" pitchFamily="34" charset="0"/>
              </a:rPr>
              <a:t>Preventability of Infant &amp; Neonatal Deaths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Lato Black" panose="020F0A02020204030203" pitchFamily="34" charset="0"/>
              <a:ea typeface="+mn-ea"/>
              <a:cs typeface="+mn-cs"/>
            </a:defRPr>
          </a:pPr>
          <a:endParaRPr lang="en-US"/>
        </a:p>
      </c:txPr>
    </c:title>
    <c:autoTitleDeleted val="0"/>
    <c:pivotFmts>
      <c:pivotFmt>
        <c:idx val="0"/>
        <c:spPr>
          <a:gradFill rotWithShape="1">
            <a:gsLst>
              <a:gs pos="0">
                <a:srgbClr val="F06128"/>
              </a:gs>
              <a:gs pos="99000">
                <a:srgbClr val="9C060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rgbClr val="F06128"/>
                </a:gs>
                <a:gs pos="99000">
                  <a:srgbClr val="9C0606"/>
                </a:gs>
              </a:gsLst>
              <a:lin ang="5400000" scaled="1"/>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E90D22"/>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F06128"/>
              </a:gs>
              <a:gs pos="99000">
                <a:srgbClr val="9C060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E90D22"/>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F06128"/>
              </a:gs>
              <a:gs pos="99000">
                <a:srgbClr val="9C060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E90D22"/>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Udupi_pivot!$B$27:$B$28</c:f>
              <c:strCache>
                <c:ptCount val="1"/>
                <c:pt idx="0">
                  <c:v>Infant Death</c:v>
                </c:pt>
              </c:strCache>
            </c:strRef>
          </c:tx>
          <c:spPr>
            <a:gradFill rotWithShape="1">
              <a:gsLst>
                <a:gs pos="0">
                  <a:srgbClr val="F06128"/>
                </a:gs>
                <a:gs pos="99000">
                  <a:srgbClr val="9C0606"/>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Udupi_pivot!$A$29:$A$31</c:f>
              <c:strCache>
                <c:ptCount val="2"/>
                <c:pt idx="0">
                  <c:v>Non-Preventable</c:v>
                </c:pt>
                <c:pt idx="1">
                  <c:v>Preventable</c:v>
                </c:pt>
              </c:strCache>
            </c:strRef>
          </c:cat>
          <c:val>
            <c:numRef>
              <c:f>Udupi_pivot!$B$29:$B$31</c:f>
              <c:numCache>
                <c:formatCode>General</c:formatCode>
                <c:ptCount val="2"/>
                <c:pt idx="0">
                  <c:v>5</c:v>
                </c:pt>
                <c:pt idx="1">
                  <c:v>4</c:v>
                </c:pt>
              </c:numCache>
            </c:numRef>
          </c:val>
          <c:extLst>
            <c:ext xmlns:c16="http://schemas.microsoft.com/office/drawing/2014/chart" uri="{C3380CC4-5D6E-409C-BE32-E72D297353CC}">
              <c16:uniqueId val="{00000000-E6B2-4AF8-BDB2-B6697F3C098B}"/>
            </c:ext>
          </c:extLst>
        </c:ser>
        <c:ser>
          <c:idx val="1"/>
          <c:order val="1"/>
          <c:tx>
            <c:strRef>
              <c:f>Udupi_pivot!$C$27:$C$28</c:f>
              <c:strCache>
                <c:ptCount val="1"/>
                <c:pt idx="0">
                  <c:v>Neonatal Death</c:v>
                </c:pt>
              </c:strCache>
            </c:strRef>
          </c:tx>
          <c:spPr>
            <a:gradFill rotWithShape="1">
              <a:gsLst>
                <a:gs pos="0">
                  <a:srgbClr val="E90D22"/>
                </a:gs>
                <a:gs pos="99000">
                  <a:srgbClr val="850505"/>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Udupi_pivot!$A$29:$A$31</c:f>
              <c:strCache>
                <c:ptCount val="2"/>
                <c:pt idx="0">
                  <c:v>Non-Preventable</c:v>
                </c:pt>
                <c:pt idx="1">
                  <c:v>Preventable</c:v>
                </c:pt>
              </c:strCache>
            </c:strRef>
          </c:cat>
          <c:val>
            <c:numRef>
              <c:f>Udupi_pivot!$C$29:$C$31</c:f>
              <c:numCache>
                <c:formatCode>General</c:formatCode>
                <c:ptCount val="2"/>
                <c:pt idx="0">
                  <c:v>8</c:v>
                </c:pt>
                <c:pt idx="1">
                  <c:v>6</c:v>
                </c:pt>
              </c:numCache>
            </c:numRef>
          </c:val>
          <c:extLst>
            <c:ext xmlns:c16="http://schemas.microsoft.com/office/drawing/2014/chart" uri="{C3380CC4-5D6E-409C-BE32-E72D297353CC}">
              <c16:uniqueId val="{00000001-0FA9-4BB4-8732-7F9E1059AC77}"/>
            </c:ext>
          </c:extLst>
        </c:ser>
        <c:dLbls>
          <c:dLblPos val="outEnd"/>
          <c:showLegendKey val="0"/>
          <c:showVal val="1"/>
          <c:showCatName val="0"/>
          <c:showSerName val="0"/>
          <c:showPercent val="0"/>
          <c:showBubbleSize val="0"/>
        </c:dLbls>
        <c:gapWidth val="150"/>
        <c:axId val="829767936"/>
        <c:axId val="829771296"/>
      </c:barChart>
      <c:catAx>
        <c:axId val="8297679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Lato Black" panose="020F0A02020204030203" pitchFamily="34" charset="0"/>
                <a:ea typeface="+mn-ea"/>
                <a:cs typeface="+mn-cs"/>
              </a:defRPr>
            </a:pPr>
            <a:endParaRPr lang="en-US"/>
          </a:p>
        </c:txPr>
        <c:crossAx val="829771296"/>
        <c:crosses val="autoZero"/>
        <c:auto val="1"/>
        <c:lblAlgn val="ctr"/>
        <c:lblOffset val="100"/>
        <c:noMultiLvlLbl val="0"/>
      </c:catAx>
      <c:valAx>
        <c:axId val="829771296"/>
        <c:scaling>
          <c:orientation val="minMax"/>
          <c:max val="8"/>
        </c:scaling>
        <c:delete val="1"/>
        <c:axPos val="b"/>
        <c:numFmt formatCode="General" sourceLinked="1"/>
        <c:majorTickMark val="none"/>
        <c:minorTickMark val="none"/>
        <c:tickLblPos val="nextTo"/>
        <c:crossAx val="829767936"/>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Lato Black" panose="020F0A02020204030203"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Lato Black" panose="020F0A02020204030203" pitchFamily="34" charset="0"/>
                <a:ea typeface="+mn-ea"/>
                <a:cs typeface="+mn-cs"/>
              </a:defRPr>
            </a:pPr>
            <a:r>
              <a:rPr lang="en-US"/>
              <a:t>Mother's Health Complications</a:t>
            </a:r>
          </a:p>
        </c:rich>
      </c:tx>
      <c:layout>
        <c:manualLayout>
          <c:xMode val="edge"/>
          <c:yMode val="edge"/>
          <c:x val="0.2782358156028368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lotArea>
      <c:layout/>
      <c:pieChart>
        <c:varyColors val="1"/>
        <c:ser>
          <c:idx val="0"/>
          <c:order val="0"/>
          <c:tx>
            <c:strRef>
              <c:f>Sheet4!$G$1</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C203-4871-A16A-A5F8A32B08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4-C203-4871-A16A-A5F8A32B08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C203-4871-A16A-A5F8A32B08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C203-4871-A16A-A5F8A32B08C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1A-49ED-8FE4-2F0D349D8A9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3-C203-4871-A16A-A5F8A32B08C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61A-49ED-8FE4-2F0D349D8A9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3-C203-4871-A16A-A5F8A32B08C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4-C203-4871-A16A-A5F8A32B08C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2-C203-4871-A16A-A5F8A32B08C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5-C203-4871-A16A-A5F8A32B08C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6-C203-4871-A16A-A5F8A32B08C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61A-49ED-8FE4-2F0D349D8A9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61A-49ED-8FE4-2F0D349D8A98}"/>
              </c:ext>
            </c:extLst>
          </c:dPt>
          <c:dLbls>
            <c:dLbl>
              <c:idx val="0"/>
              <c:layout>
                <c:manualLayout>
                  <c:x val="-5.3630363036303627E-2"/>
                  <c:y val="-1.3592171965857643E-17"/>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C203-4871-A16A-A5F8A32B08C8}"/>
                </c:ext>
              </c:extLst>
            </c:dLbl>
            <c:dLbl>
              <c:idx val="1"/>
              <c:layout>
                <c:manualLayout>
                  <c:x val="2.7993109388458226E-2"/>
                  <c:y val="-2.9655990510083037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4-C203-4871-A16A-A5F8A32B08C8}"/>
                </c:ext>
              </c:extLst>
            </c:dLbl>
            <c:dLbl>
              <c:idx val="10"/>
              <c:layout>
                <c:manualLayout>
                  <c:x val="-2.3245002324500234E-3"/>
                  <c:y val="3.1387319522912745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203-4871-A16A-A5F8A32B08C8}"/>
                </c:ext>
              </c:extLst>
            </c:dLbl>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Sheet4!$F$2:$F$15</c:f>
              <c:strCache>
                <c:ptCount val="14"/>
                <c:pt idx="0">
                  <c:v>Diabetes Mellitus</c:v>
                </c:pt>
                <c:pt idx="1">
                  <c:v>Rh -ve</c:v>
                </c:pt>
                <c:pt idx="2">
                  <c:v>Elderly Primi</c:v>
                </c:pt>
                <c:pt idx="3">
                  <c:v>Hypertensive Diorders</c:v>
                </c:pt>
                <c:pt idx="4">
                  <c:v>Mild  Aneamia</c:v>
                </c:pt>
                <c:pt idx="5">
                  <c:v>Morderate  Aneamia</c:v>
                </c:pt>
                <c:pt idx="6">
                  <c:v>Sevre Aneamia</c:v>
                </c:pt>
                <c:pt idx="7">
                  <c:v>BMI &lt; 18</c:v>
                </c:pt>
                <c:pt idx="8">
                  <c:v>Previous LSCS</c:v>
                </c:pt>
                <c:pt idx="9">
                  <c:v>Multi Gravida</c:v>
                </c:pt>
                <c:pt idx="10">
                  <c:v>Previous Abortion</c:v>
                </c:pt>
                <c:pt idx="11">
                  <c:v>Tyroid Disease</c:v>
                </c:pt>
                <c:pt idx="12">
                  <c:v>Psychiatric Illness</c:v>
                </c:pt>
                <c:pt idx="13">
                  <c:v>Twins / Triplets etc</c:v>
                </c:pt>
              </c:strCache>
            </c:strRef>
          </c:cat>
          <c:val>
            <c:numRef>
              <c:f>Sheet4!$G$2:$G$15</c:f>
              <c:numCache>
                <c:formatCode>General</c:formatCode>
                <c:ptCount val="14"/>
                <c:pt idx="0">
                  <c:v>2</c:v>
                </c:pt>
                <c:pt idx="1">
                  <c:v>2</c:v>
                </c:pt>
                <c:pt idx="2">
                  <c:v>3</c:v>
                </c:pt>
                <c:pt idx="3">
                  <c:v>3</c:v>
                </c:pt>
                <c:pt idx="4">
                  <c:v>1</c:v>
                </c:pt>
                <c:pt idx="5">
                  <c:v>7</c:v>
                </c:pt>
                <c:pt idx="6">
                  <c:v>1</c:v>
                </c:pt>
                <c:pt idx="7">
                  <c:v>5</c:v>
                </c:pt>
                <c:pt idx="8">
                  <c:v>12</c:v>
                </c:pt>
                <c:pt idx="9">
                  <c:v>6</c:v>
                </c:pt>
                <c:pt idx="10">
                  <c:v>3</c:v>
                </c:pt>
                <c:pt idx="11">
                  <c:v>3</c:v>
                </c:pt>
                <c:pt idx="12">
                  <c:v>1</c:v>
                </c:pt>
                <c:pt idx="13">
                  <c:v>10</c:v>
                </c:pt>
              </c:numCache>
            </c:numRef>
          </c:val>
          <c:extLst>
            <c:ext xmlns:c16="http://schemas.microsoft.com/office/drawing/2014/chart" uri="{C3380CC4-5D6E-409C-BE32-E72D297353CC}">
              <c16:uniqueId val="{00000000-C203-4871-A16A-A5F8A32B08C8}"/>
            </c:ext>
          </c:extLst>
        </c:ser>
        <c:ser>
          <c:idx val="1"/>
          <c:order val="1"/>
          <c:tx>
            <c:strRef>
              <c:f>Sheet4!$H$1</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C61A-49ED-8FE4-2F0D349D8A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F-C61A-49ED-8FE4-2F0D349D8A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1-C61A-49ED-8FE4-2F0D349D8A9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3-C61A-49ED-8FE4-2F0D349D8A9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5-C61A-49ED-8FE4-2F0D349D8A9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7-C61A-49ED-8FE4-2F0D349D8A9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9-C61A-49ED-8FE4-2F0D349D8A9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B-C61A-49ED-8FE4-2F0D349D8A9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D-C61A-49ED-8FE4-2F0D349D8A9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F-C61A-49ED-8FE4-2F0D349D8A9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1-C61A-49ED-8FE4-2F0D349D8A9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3-C61A-49ED-8FE4-2F0D349D8A9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5-C61A-49ED-8FE4-2F0D349D8A9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7-C61A-49ED-8FE4-2F0D349D8A9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Sheet4!$F$2:$F$15</c:f>
              <c:strCache>
                <c:ptCount val="14"/>
                <c:pt idx="0">
                  <c:v>Diabetes Mellitus</c:v>
                </c:pt>
                <c:pt idx="1">
                  <c:v>Rh -ve</c:v>
                </c:pt>
                <c:pt idx="2">
                  <c:v>Elderly Primi</c:v>
                </c:pt>
                <c:pt idx="3">
                  <c:v>Hypertensive Diorders</c:v>
                </c:pt>
                <c:pt idx="4">
                  <c:v>Mild  Aneamia</c:v>
                </c:pt>
                <c:pt idx="5">
                  <c:v>Morderate  Aneamia</c:v>
                </c:pt>
                <c:pt idx="6">
                  <c:v>Sevre Aneamia</c:v>
                </c:pt>
                <c:pt idx="7">
                  <c:v>BMI &lt; 18</c:v>
                </c:pt>
                <c:pt idx="8">
                  <c:v>Previous LSCS</c:v>
                </c:pt>
                <c:pt idx="9">
                  <c:v>Multi Gravida</c:v>
                </c:pt>
                <c:pt idx="10">
                  <c:v>Previous Abortion</c:v>
                </c:pt>
                <c:pt idx="11">
                  <c:v>Tyroid Disease</c:v>
                </c:pt>
                <c:pt idx="12">
                  <c:v>Psychiatric Illness</c:v>
                </c:pt>
                <c:pt idx="13">
                  <c:v>Twins / Triplets etc</c:v>
                </c:pt>
              </c:strCache>
            </c:strRef>
          </c:cat>
          <c:val>
            <c:numRef>
              <c:f>Sheet4!$H$2:$H$15</c:f>
              <c:numCache>
                <c:formatCode>0%</c:formatCode>
                <c:ptCount val="14"/>
                <c:pt idx="0">
                  <c:v>0.14285714285714285</c:v>
                </c:pt>
                <c:pt idx="1">
                  <c:v>0.14285714285714285</c:v>
                </c:pt>
                <c:pt idx="2">
                  <c:v>0.21428571428571427</c:v>
                </c:pt>
                <c:pt idx="3">
                  <c:v>0.21428571428571427</c:v>
                </c:pt>
                <c:pt idx="4">
                  <c:v>7.1428571428571425E-2</c:v>
                </c:pt>
                <c:pt idx="5">
                  <c:v>0.5</c:v>
                </c:pt>
                <c:pt idx="6">
                  <c:v>7.1428571428571425E-2</c:v>
                </c:pt>
                <c:pt idx="7">
                  <c:v>0.35714285714285715</c:v>
                </c:pt>
                <c:pt idx="8">
                  <c:v>0.8571428571428571</c:v>
                </c:pt>
                <c:pt idx="9">
                  <c:v>0.42857142857142855</c:v>
                </c:pt>
                <c:pt idx="10">
                  <c:v>0.21428571428571427</c:v>
                </c:pt>
                <c:pt idx="11">
                  <c:v>0.21428571428571427</c:v>
                </c:pt>
                <c:pt idx="12">
                  <c:v>7.1428571428571425E-2</c:v>
                </c:pt>
                <c:pt idx="13">
                  <c:v>0.7142857142857143</c:v>
                </c:pt>
              </c:numCache>
            </c:numRef>
          </c:val>
          <c:extLst>
            <c:ext xmlns:c16="http://schemas.microsoft.com/office/drawing/2014/chart" uri="{C3380CC4-5D6E-409C-BE32-E72D297353CC}">
              <c16:uniqueId val="{00000001-C203-4871-A16A-A5F8A32B08C8}"/>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Lato Black" panose="020F0A02020204030203" pitchFamily="34" charset="0"/>
                <a:ea typeface="+mn-ea"/>
                <a:cs typeface="+mn-cs"/>
              </a:defRPr>
            </a:pPr>
            <a:r>
              <a:rPr lang="en-US" sz="1400" b="0" i="0" u="none" strike="noStrike" kern="1200" spc="0" baseline="0">
                <a:solidFill>
                  <a:sysClr val="windowText" lastClr="000000"/>
                </a:solidFill>
                <a:latin typeface="Lato Black" panose="020F0A02020204030203" pitchFamily="34" charset="0"/>
              </a:rPr>
              <a:t>Mother's Health Complications</a:t>
            </a:r>
          </a:p>
        </c:rich>
      </c:tx>
      <c:layout>
        <c:manualLayout>
          <c:xMode val="edge"/>
          <c:yMode val="edge"/>
          <c:x val="0.2158193350831146"/>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lotArea>
      <c:layout/>
      <c:barChart>
        <c:barDir val="col"/>
        <c:grouping val="clustered"/>
        <c:varyColors val="0"/>
        <c:ser>
          <c:idx val="0"/>
          <c:order val="0"/>
          <c:tx>
            <c:strRef>
              <c:f>Sheet4!$G$1</c:f>
              <c:strCache>
                <c:ptCount val="1"/>
                <c:pt idx="0">
                  <c:v>Count</c:v>
                </c:pt>
              </c:strCache>
            </c:strRef>
          </c:tx>
          <c:spPr>
            <a:solidFill>
              <a:schemeClr val="accent1"/>
            </a:solidFill>
            <a:ln>
              <a:noFill/>
            </a:ln>
            <a:effectLst/>
          </c:spPr>
          <c:invertIfNegative val="0"/>
          <c:cat>
            <c:strRef>
              <c:f>Sheet4!$F$2:$F$15</c:f>
              <c:strCache>
                <c:ptCount val="14"/>
                <c:pt idx="0">
                  <c:v>Diabetes Mellitus</c:v>
                </c:pt>
                <c:pt idx="1">
                  <c:v>Rh -ve</c:v>
                </c:pt>
                <c:pt idx="2">
                  <c:v>Elderly Primi</c:v>
                </c:pt>
                <c:pt idx="3">
                  <c:v>Hypertensive Diorders</c:v>
                </c:pt>
                <c:pt idx="4">
                  <c:v>Mild  Aneamia</c:v>
                </c:pt>
                <c:pt idx="5">
                  <c:v>Morderate  Aneamia</c:v>
                </c:pt>
                <c:pt idx="6">
                  <c:v>Sevre Aneamia</c:v>
                </c:pt>
                <c:pt idx="7">
                  <c:v>BMI &lt; 18</c:v>
                </c:pt>
                <c:pt idx="8">
                  <c:v>Previous LSCS</c:v>
                </c:pt>
                <c:pt idx="9">
                  <c:v>Multi Gravida</c:v>
                </c:pt>
                <c:pt idx="10">
                  <c:v>Previous Abortion</c:v>
                </c:pt>
                <c:pt idx="11">
                  <c:v>Tyroid Disease</c:v>
                </c:pt>
                <c:pt idx="12">
                  <c:v>Psychiatric Illness</c:v>
                </c:pt>
                <c:pt idx="13">
                  <c:v>Twins / Triplets etc</c:v>
                </c:pt>
              </c:strCache>
            </c:strRef>
          </c:cat>
          <c:val>
            <c:numRef>
              <c:f>Sheet4!$G$2:$G$15</c:f>
              <c:numCache>
                <c:formatCode>General</c:formatCode>
                <c:ptCount val="14"/>
                <c:pt idx="0">
                  <c:v>2</c:v>
                </c:pt>
                <c:pt idx="1">
                  <c:v>2</c:v>
                </c:pt>
                <c:pt idx="2">
                  <c:v>3</c:v>
                </c:pt>
                <c:pt idx="3">
                  <c:v>3</c:v>
                </c:pt>
                <c:pt idx="4">
                  <c:v>1</c:v>
                </c:pt>
                <c:pt idx="5">
                  <c:v>7</c:v>
                </c:pt>
                <c:pt idx="6">
                  <c:v>1</c:v>
                </c:pt>
                <c:pt idx="7">
                  <c:v>5</c:v>
                </c:pt>
                <c:pt idx="8">
                  <c:v>12</c:v>
                </c:pt>
                <c:pt idx="9">
                  <c:v>6</c:v>
                </c:pt>
                <c:pt idx="10">
                  <c:v>3</c:v>
                </c:pt>
                <c:pt idx="11">
                  <c:v>3</c:v>
                </c:pt>
                <c:pt idx="12">
                  <c:v>1</c:v>
                </c:pt>
                <c:pt idx="13">
                  <c:v>10</c:v>
                </c:pt>
              </c:numCache>
            </c:numRef>
          </c:val>
          <c:extLst>
            <c:ext xmlns:c16="http://schemas.microsoft.com/office/drawing/2014/chart" uri="{C3380CC4-5D6E-409C-BE32-E72D297353CC}">
              <c16:uniqueId val="{00000000-96F8-4459-9C13-D43C11B491E9}"/>
            </c:ext>
          </c:extLst>
        </c:ser>
        <c:dLbls>
          <c:showLegendKey val="0"/>
          <c:showVal val="0"/>
          <c:showCatName val="0"/>
          <c:showSerName val="0"/>
          <c:showPercent val="0"/>
          <c:showBubbleSize val="0"/>
        </c:dLbls>
        <c:gapWidth val="219"/>
        <c:overlap val="-27"/>
        <c:axId val="538668751"/>
        <c:axId val="538663951"/>
      </c:barChart>
      <c:lineChart>
        <c:grouping val="standard"/>
        <c:varyColors val="0"/>
        <c:ser>
          <c:idx val="1"/>
          <c:order val="1"/>
          <c:tx>
            <c:strRef>
              <c:f>Sheet4!$H$1</c:f>
              <c:strCache>
                <c:ptCount val="1"/>
                <c:pt idx="0">
                  <c:v>Percentage</c:v>
                </c:pt>
              </c:strCache>
            </c:strRef>
          </c:tx>
          <c:spPr>
            <a:ln w="28575" cap="rnd">
              <a:solidFill>
                <a:schemeClr val="accent2"/>
              </a:solidFill>
              <a:round/>
            </a:ln>
            <a:effectLst/>
          </c:spPr>
          <c:marker>
            <c:symbol val="none"/>
          </c:marker>
          <c:cat>
            <c:strRef>
              <c:f>Sheet4!$F$2:$F$15</c:f>
              <c:strCache>
                <c:ptCount val="14"/>
                <c:pt idx="0">
                  <c:v>Diabetes Mellitus</c:v>
                </c:pt>
                <c:pt idx="1">
                  <c:v>Rh -ve</c:v>
                </c:pt>
                <c:pt idx="2">
                  <c:v>Elderly Primi</c:v>
                </c:pt>
                <c:pt idx="3">
                  <c:v>Hypertensive Diorders</c:v>
                </c:pt>
                <c:pt idx="4">
                  <c:v>Mild  Aneamia</c:v>
                </c:pt>
                <c:pt idx="5">
                  <c:v>Morderate  Aneamia</c:v>
                </c:pt>
                <c:pt idx="6">
                  <c:v>Sevre Aneamia</c:v>
                </c:pt>
                <c:pt idx="7">
                  <c:v>BMI &lt; 18</c:v>
                </c:pt>
                <c:pt idx="8">
                  <c:v>Previous LSCS</c:v>
                </c:pt>
                <c:pt idx="9">
                  <c:v>Multi Gravida</c:v>
                </c:pt>
                <c:pt idx="10">
                  <c:v>Previous Abortion</c:v>
                </c:pt>
                <c:pt idx="11">
                  <c:v>Tyroid Disease</c:v>
                </c:pt>
                <c:pt idx="12">
                  <c:v>Psychiatric Illness</c:v>
                </c:pt>
                <c:pt idx="13">
                  <c:v>Twins / Triplets etc</c:v>
                </c:pt>
              </c:strCache>
            </c:strRef>
          </c:cat>
          <c:val>
            <c:numRef>
              <c:f>Sheet4!$H$2:$H$15</c:f>
              <c:numCache>
                <c:formatCode>0%</c:formatCode>
                <c:ptCount val="14"/>
                <c:pt idx="0">
                  <c:v>0.14285714285714285</c:v>
                </c:pt>
                <c:pt idx="1">
                  <c:v>0.14285714285714285</c:v>
                </c:pt>
                <c:pt idx="2">
                  <c:v>0.21428571428571427</c:v>
                </c:pt>
                <c:pt idx="3">
                  <c:v>0.21428571428571427</c:v>
                </c:pt>
                <c:pt idx="4">
                  <c:v>7.1428571428571425E-2</c:v>
                </c:pt>
                <c:pt idx="5">
                  <c:v>0.5</c:v>
                </c:pt>
                <c:pt idx="6">
                  <c:v>7.1428571428571425E-2</c:v>
                </c:pt>
                <c:pt idx="7">
                  <c:v>0.35714285714285715</c:v>
                </c:pt>
                <c:pt idx="8">
                  <c:v>0.8571428571428571</c:v>
                </c:pt>
                <c:pt idx="9">
                  <c:v>0.42857142857142855</c:v>
                </c:pt>
                <c:pt idx="10">
                  <c:v>0.21428571428571427</c:v>
                </c:pt>
                <c:pt idx="11">
                  <c:v>0.21428571428571427</c:v>
                </c:pt>
                <c:pt idx="12">
                  <c:v>7.1428571428571425E-2</c:v>
                </c:pt>
                <c:pt idx="13">
                  <c:v>0.7142857142857143</c:v>
                </c:pt>
              </c:numCache>
            </c:numRef>
          </c:val>
          <c:smooth val="0"/>
          <c:extLst>
            <c:ext xmlns:c16="http://schemas.microsoft.com/office/drawing/2014/chart" uri="{C3380CC4-5D6E-409C-BE32-E72D297353CC}">
              <c16:uniqueId val="{00000001-96F8-4459-9C13-D43C11B491E9}"/>
            </c:ext>
          </c:extLst>
        </c:ser>
        <c:dLbls>
          <c:showLegendKey val="0"/>
          <c:showVal val="0"/>
          <c:showCatName val="0"/>
          <c:showSerName val="0"/>
          <c:showPercent val="0"/>
          <c:showBubbleSize val="0"/>
        </c:dLbls>
        <c:marker val="1"/>
        <c:smooth val="0"/>
        <c:axId val="538656751"/>
        <c:axId val="538662031"/>
      </c:lineChart>
      <c:catAx>
        <c:axId val="53866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538663951"/>
        <c:crosses val="autoZero"/>
        <c:auto val="1"/>
        <c:lblAlgn val="ctr"/>
        <c:lblOffset val="100"/>
        <c:noMultiLvlLbl val="0"/>
      </c:catAx>
      <c:valAx>
        <c:axId val="53866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538668751"/>
        <c:crosses val="autoZero"/>
        <c:crossBetween val="between"/>
      </c:valAx>
      <c:valAx>
        <c:axId val="538662031"/>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538656751"/>
        <c:crosses val="max"/>
        <c:crossBetween val="between"/>
      </c:valAx>
      <c:catAx>
        <c:axId val="538656751"/>
        <c:scaling>
          <c:orientation val="minMax"/>
        </c:scaling>
        <c:delete val="1"/>
        <c:axPos val="b"/>
        <c:numFmt formatCode="General" sourceLinked="1"/>
        <c:majorTickMark val="none"/>
        <c:minorTickMark val="none"/>
        <c:tickLblPos val="nextTo"/>
        <c:crossAx val="5386620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Lato Black" panose="020F0A02020204030203" pitchFamily="34" charset="0"/>
                <a:ea typeface="+mn-ea"/>
                <a:cs typeface="+mn-cs"/>
              </a:defRPr>
            </a:pPr>
            <a:r>
              <a:rPr lang="en-US" sz="1400" b="0" i="0" u="none" strike="noStrike" kern="1200" spc="0" baseline="0">
                <a:solidFill>
                  <a:sysClr val="windowText" lastClr="000000"/>
                </a:solidFill>
                <a:latin typeface="Lato Black" panose="020F0A02020204030203" pitchFamily="34" charset="0"/>
              </a:rPr>
              <a:t>Mother's Health Complications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lotArea>
      <c:layout>
        <c:manualLayout>
          <c:layoutTarget val="inner"/>
          <c:xMode val="edge"/>
          <c:yMode val="edge"/>
          <c:x val="0.2094158825075344"/>
          <c:y val="0.10027662517289074"/>
          <c:w val="0.76674363201348861"/>
          <c:h val="0.85520360266170048"/>
        </c:manualLayout>
      </c:layout>
      <c:barChart>
        <c:barDir val="bar"/>
        <c:grouping val="percentStacked"/>
        <c:varyColors val="0"/>
        <c:ser>
          <c:idx val="0"/>
          <c:order val="0"/>
          <c:tx>
            <c:strRef>
              <c:f>Sheet4!$G$1</c:f>
              <c:strCache>
                <c:ptCount val="1"/>
                <c:pt idx="0">
                  <c:v>Count</c:v>
                </c:pt>
              </c:strCache>
            </c:strRef>
          </c:tx>
          <c:spPr>
            <a:solidFill>
              <a:srgbClr val="FF0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Lato Black" panose="020F0A0202020403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Sheet4!$F$2:$F$15</c:f>
              <c:strCache>
                <c:ptCount val="14"/>
                <c:pt idx="0">
                  <c:v>Diabetes Mellitus</c:v>
                </c:pt>
                <c:pt idx="1">
                  <c:v>Rh -ve</c:v>
                </c:pt>
                <c:pt idx="2">
                  <c:v>Elderly Primi</c:v>
                </c:pt>
                <c:pt idx="3">
                  <c:v>Hypertensive Diorders</c:v>
                </c:pt>
                <c:pt idx="4">
                  <c:v>Mild  Aneamia</c:v>
                </c:pt>
                <c:pt idx="5">
                  <c:v>Morderate  Aneamia</c:v>
                </c:pt>
                <c:pt idx="6">
                  <c:v>Sevre Aneamia</c:v>
                </c:pt>
                <c:pt idx="7">
                  <c:v>BMI &lt; 18</c:v>
                </c:pt>
                <c:pt idx="8">
                  <c:v>Previous LSCS</c:v>
                </c:pt>
                <c:pt idx="9">
                  <c:v>Multi Gravida</c:v>
                </c:pt>
                <c:pt idx="10">
                  <c:v>Previous Abortion</c:v>
                </c:pt>
                <c:pt idx="11">
                  <c:v>Tyroid Disease</c:v>
                </c:pt>
                <c:pt idx="12">
                  <c:v>Psychiatric Illness</c:v>
                </c:pt>
                <c:pt idx="13">
                  <c:v>Twins / Triplets etc</c:v>
                </c:pt>
              </c:strCache>
            </c:strRef>
          </c:cat>
          <c:val>
            <c:numRef>
              <c:f>Sheet4!$G$2:$G$15</c:f>
              <c:numCache>
                <c:formatCode>General</c:formatCode>
                <c:ptCount val="14"/>
                <c:pt idx="0">
                  <c:v>2</c:v>
                </c:pt>
                <c:pt idx="1">
                  <c:v>2</c:v>
                </c:pt>
                <c:pt idx="2">
                  <c:v>3</c:v>
                </c:pt>
                <c:pt idx="3">
                  <c:v>3</c:v>
                </c:pt>
                <c:pt idx="4">
                  <c:v>1</c:v>
                </c:pt>
                <c:pt idx="5">
                  <c:v>7</c:v>
                </c:pt>
                <c:pt idx="6">
                  <c:v>1</c:v>
                </c:pt>
                <c:pt idx="7">
                  <c:v>5</c:v>
                </c:pt>
                <c:pt idx="8">
                  <c:v>12</c:v>
                </c:pt>
                <c:pt idx="9">
                  <c:v>6</c:v>
                </c:pt>
                <c:pt idx="10">
                  <c:v>3</c:v>
                </c:pt>
                <c:pt idx="11">
                  <c:v>3</c:v>
                </c:pt>
                <c:pt idx="12">
                  <c:v>1</c:v>
                </c:pt>
                <c:pt idx="13">
                  <c:v>10</c:v>
                </c:pt>
              </c:numCache>
            </c:numRef>
          </c:val>
          <c:extLst>
            <c:ext xmlns:c16="http://schemas.microsoft.com/office/drawing/2014/chart" uri="{C3380CC4-5D6E-409C-BE32-E72D297353CC}">
              <c16:uniqueId val="{00000000-F9AD-41A1-B1F4-B84C2F1A5F29}"/>
            </c:ext>
          </c:extLst>
        </c:ser>
        <c:ser>
          <c:idx val="1"/>
          <c:order val="1"/>
          <c:tx>
            <c:strRef>
              <c:f>Sheet4!$H$1</c:f>
              <c:strCache>
                <c:ptCount val="1"/>
                <c:pt idx="0">
                  <c:v>Percentage</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Sheet4!$F$2:$F$15</c:f>
              <c:strCache>
                <c:ptCount val="14"/>
                <c:pt idx="0">
                  <c:v>Diabetes Mellitus</c:v>
                </c:pt>
                <c:pt idx="1">
                  <c:v>Rh -ve</c:v>
                </c:pt>
                <c:pt idx="2">
                  <c:v>Elderly Primi</c:v>
                </c:pt>
                <c:pt idx="3">
                  <c:v>Hypertensive Diorders</c:v>
                </c:pt>
                <c:pt idx="4">
                  <c:v>Mild  Aneamia</c:v>
                </c:pt>
                <c:pt idx="5">
                  <c:v>Morderate  Aneamia</c:v>
                </c:pt>
                <c:pt idx="6">
                  <c:v>Sevre Aneamia</c:v>
                </c:pt>
                <c:pt idx="7">
                  <c:v>BMI &lt; 18</c:v>
                </c:pt>
                <c:pt idx="8">
                  <c:v>Previous LSCS</c:v>
                </c:pt>
                <c:pt idx="9">
                  <c:v>Multi Gravida</c:v>
                </c:pt>
                <c:pt idx="10">
                  <c:v>Previous Abortion</c:v>
                </c:pt>
                <c:pt idx="11">
                  <c:v>Tyroid Disease</c:v>
                </c:pt>
                <c:pt idx="12">
                  <c:v>Psychiatric Illness</c:v>
                </c:pt>
                <c:pt idx="13">
                  <c:v>Twins / Triplets etc</c:v>
                </c:pt>
              </c:strCache>
            </c:strRef>
          </c:cat>
          <c:val>
            <c:numRef>
              <c:f>Sheet4!$H$2:$H$15</c:f>
              <c:numCache>
                <c:formatCode>0%</c:formatCode>
                <c:ptCount val="14"/>
                <c:pt idx="0">
                  <c:v>0.14285714285714285</c:v>
                </c:pt>
                <c:pt idx="1">
                  <c:v>0.14285714285714285</c:v>
                </c:pt>
                <c:pt idx="2">
                  <c:v>0.21428571428571427</c:v>
                </c:pt>
                <c:pt idx="3">
                  <c:v>0.21428571428571427</c:v>
                </c:pt>
                <c:pt idx="4">
                  <c:v>7.1428571428571425E-2</c:v>
                </c:pt>
                <c:pt idx="5">
                  <c:v>0.5</c:v>
                </c:pt>
                <c:pt idx="6">
                  <c:v>7.1428571428571425E-2</c:v>
                </c:pt>
                <c:pt idx="7">
                  <c:v>0.35714285714285715</c:v>
                </c:pt>
                <c:pt idx="8">
                  <c:v>0.8571428571428571</c:v>
                </c:pt>
                <c:pt idx="9">
                  <c:v>0.42857142857142855</c:v>
                </c:pt>
                <c:pt idx="10">
                  <c:v>0.21428571428571427</c:v>
                </c:pt>
                <c:pt idx="11">
                  <c:v>0.21428571428571427</c:v>
                </c:pt>
                <c:pt idx="12">
                  <c:v>7.1428571428571425E-2</c:v>
                </c:pt>
                <c:pt idx="13">
                  <c:v>0.7142857142857143</c:v>
                </c:pt>
              </c:numCache>
            </c:numRef>
          </c:val>
          <c:extLst>
            <c:ext xmlns:c16="http://schemas.microsoft.com/office/drawing/2014/chart" uri="{C3380CC4-5D6E-409C-BE32-E72D297353CC}">
              <c16:uniqueId val="{00000001-F9AD-41A1-B1F4-B84C2F1A5F29}"/>
            </c:ext>
          </c:extLst>
        </c:ser>
        <c:dLbls>
          <c:showLegendKey val="0"/>
          <c:showVal val="0"/>
          <c:showCatName val="0"/>
          <c:showSerName val="0"/>
          <c:showPercent val="0"/>
          <c:showBubbleSize val="0"/>
        </c:dLbls>
        <c:gapWidth val="50"/>
        <c:overlap val="100"/>
        <c:axId val="36078192"/>
        <c:axId val="36099312"/>
      </c:barChart>
      <c:catAx>
        <c:axId val="360781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36099312"/>
        <c:crosses val="autoZero"/>
        <c:auto val="1"/>
        <c:lblAlgn val="ctr"/>
        <c:lblOffset val="100"/>
        <c:noMultiLvlLbl val="0"/>
      </c:catAx>
      <c:valAx>
        <c:axId val="36099312"/>
        <c:scaling>
          <c:orientation val="minMax"/>
        </c:scaling>
        <c:delete val="1"/>
        <c:axPos val="t"/>
        <c:numFmt formatCode="0%" sourceLinked="1"/>
        <c:majorTickMark val="none"/>
        <c:minorTickMark val="none"/>
        <c:tickLblPos val="nextTo"/>
        <c:crossAx val="36078192"/>
        <c:crosses val="autoZero"/>
        <c:crossBetween val="between"/>
      </c:valAx>
      <c:spPr>
        <a:noFill/>
        <a:ln>
          <a:noFill/>
        </a:ln>
        <a:effectLst/>
      </c:spPr>
    </c:plotArea>
    <c:legend>
      <c:legendPos val="b"/>
      <c:layout>
        <c:manualLayout>
          <c:xMode val="edge"/>
          <c:yMode val="edge"/>
          <c:x val="0.74301919184679288"/>
          <c:y val="2.8475784406617223E-2"/>
          <c:w val="0.24499397414680596"/>
          <c:h val="5.7717733416103069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Lato Black" panose="020F0A02020204030203"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5">
  <a:schemeClr val="accent2"/>
</cs:colorStyle>
</file>

<file path=xl/charts/colors24.xml><?xml version="1.0" encoding="utf-8"?>
<cs:colorStyle xmlns:cs="http://schemas.microsoft.com/office/drawing/2012/chartStyle" xmlns:a="http://schemas.openxmlformats.org/drawingml/2006/main" meth="withinLinear" id="15">
  <a:schemeClr val="accent2"/>
</cs:colorStyle>
</file>

<file path=xl/charts/colors25.xml><?xml version="1.0" encoding="utf-8"?>
<cs:colorStyle xmlns:cs="http://schemas.microsoft.com/office/drawing/2012/chartStyle" xmlns:a="http://schemas.openxmlformats.org/drawingml/2006/main" meth="withinLinear" id="15">
  <a:schemeClr val="accent2"/>
</cs:colorStyle>
</file>

<file path=xl/charts/colors26.xml><?xml version="1.0" encoding="utf-8"?>
<cs:colorStyle xmlns:cs="http://schemas.microsoft.com/office/drawing/2012/chartStyle" xmlns:a="http://schemas.openxmlformats.org/drawingml/2006/main" meth="withinLinear" id="15">
  <a:schemeClr val="accent2"/>
</cs:colorStyle>
</file>

<file path=xl/charts/colors27.xml><?xml version="1.0" encoding="utf-8"?>
<cs:colorStyle xmlns:cs="http://schemas.microsoft.com/office/drawing/2012/chartStyle" xmlns:a="http://schemas.openxmlformats.org/drawingml/2006/main" meth="withinLinear" id="15">
  <a:schemeClr val="accent2"/>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withinLinear" id="15">
  <a:schemeClr val="accent2"/>
</cs:colorStyle>
</file>

<file path=xl/charts/colors35.xml><?xml version="1.0" encoding="utf-8"?>
<cs:colorStyle xmlns:cs="http://schemas.microsoft.com/office/drawing/2012/chartStyle" xmlns:a="http://schemas.openxmlformats.org/drawingml/2006/main" meth="withinLinear" id="15">
  <a:schemeClr val="accent2"/>
</cs:colorStyle>
</file>

<file path=xl/charts/colors36.xml><?xml version="1.0" encoding="utf-8"?>
<cs:colorStyle xmlns:cs="http://schemas.microsoft.com/office/drawing/2012/chartStyle" xmlns:a="http://schemas.openxmlformats.org/drawingml/2006/main" meth="withinLinear" id="15">
  <a:schemeClr val="accent2"/>
</cs:colorStyle>
</file>

<file path=xl/charts/colors37.xml><?xml version="1.0" encoding="utf-8"?>
<cs:colorStyle xmlns:cs="http://schemas.microsoft.com/office/drawing/2012/chartStyle" xmlns:a="http://schemas.openxmlformats.org/drawingml/2006/main" meth="withinLinear" id="15">
  <a:schemeClr val="accent2"/>
</cs:colorStyle>
</file>

<file path=xl/charts/colors38.xml><?xml version="1.0" encoding="utf-8"?>
<cs:colorStyle xmlns:cs="http://schemas.microsoft.com/office/drawing/2012/chartStyle" xmlns:a="http://schemas.openxmlformats.org/drawingml/2006/main" meth="withinLinear" id="15">
  <a:schemeClr val="accent2"/>
</cs:colorStyle>
</file>

<file path=xl/charts/colors39.xml><?xml version="1.0" encoding="utf-8"?>
<cs:colorStyle xmlns:cs="http://schemas.microsoft.com/office/drawing/2012/chartStyle" xmlns:a="http://schemas.openxmlformats.org/drawingml/2006/main" meth="withinLinear" id="15">
  <a:schemeClr val="accent2"/>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withinLinear" id="16">
  <a:schemeClr val="accent3"/>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withinLinear" id="15">
  <a:schemeClr val="accent2"/>
</cs:colorStyle>
</file>

<file path=xl/charts/colors50.xml><?xml version="1.0" encoding="utf-8"?>
<cs:colorStyle xmlns:cs="http://schemas.microsoft.com/office/drawing/2012/chartStyle" xmlns:a="http://schemas.openxmlformats.org/drawingml/2006/main" meth="withinLinear" id="15">
  <a:schemeClr val="accent2"/>
</cs:colorStyle>
</file>

<file path=xl/charts/colors51.xml><?xml version="1.0" encoding="utf-8"?>
<cs:colorStyle xmlns:cs="http://schemas.microsoft.com/office/drawing/2012/chartStyle" xmlns:a="http://schemas.openxmlformats.org/drawingml/2006/main" meth="withinLinear" id="15">
  <a:schemeClr val="accent2"/>
</cs:colorStyle>
</file>

<file path=xl/charts/colors52.xml><?xml version="1.0" encoding="utf-8"?>
<cs:colorStyle xmlns:cs="http://schemas.microsoft.com/office/drawing/2012/chartStyle" xmlns:a="http://schemas.openxmlformats.org/drawingml/2006/main" meth="withinLinear" id="15">
  <a:schemeClr val="accent2"/>
</cs:colorStyle>
</file>

<file path=xl/charts/colors53.xml><?xml version="1.0" encoding="utf-8"?>
<cs:colorStyle xmlns:cs="http://schemas.microsoft.com/office/drawing/2012/chartStyle" xmlns:a="http://schemas.openxmlformats.org/drawingml/2006/main" meth="withinLinear" id="15">
  <a:schemeClr val="accent2"/>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withinLinearReversed" id="25">
  <a:schemeClr val="accent5"/>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withinLinear" id="15">
  <a:schemeClr val="accent2"/>
</cs:colorStyle>
</file>

<file path=xl/charts/colors62.xml><?xml version="1.0" encoding="utf-8"?>
<cs:colorStyle xmlns:cs="http://schemas.microsoft.com/office/drawing/2012/chartStyle" xmlns:a="http://schemas.openxmlformats.org/drawingml/2006/main" meth="withinLinear" id="15">
  <a:schemeClr val="accent2"/>
</cs:colorStyle>
</file>

<file path=xl/charts/colors63.xml><?xml version="1.0" encoding="utf-8"?>
<cs:colorStyle xmlns:cs="http://schemas.microsoft.com/office/drawing/2012/chartStyle" xmlns:a="http://schemas.openxmlformats.org/drawingml/2006/main" meth="withinLinear" id="15">
  <a:schemeClr val="accent2"/>
</cs:colorStyle>
</file>

<file path=xl/charts/colors64.xml><?xml version="1.0" encoding="utf-8"?>
<cs:colorStyle xmlns:cs="http://schemas.microsoft.com/office/drawing/2012/chartStyle" xmlns:a="http://schemas.openxmlformats.org/drawingml/2006/main" meth="withinLinear" id="15">
  <a:schemeClr val="accent2"/>
</cs:colorStyle>
</file>

<file path=xl/charts/colors65.xml><?xml version="1.0" encoding="utf-8"?>
<cs:colorStyle xmlns:cs="http://schemas.microsoft.com/office/drawing/2012/chartStyle" xmlns:a="http://schemas.openxmlformats.org/drawingml/2006/main" meth="withinLinear" id="15">
  <a:schemeClr val="accent2"/>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withinLinear" id="15">
  <a:schemeClr val="accent2"/>
</cs:colorStyle>
</file>

<file path=xl/charts/colors69.xml><?xml version="1.0" encoding="utf-8"?>
<cs:colorStyle xmlns:cs="http://schemas.microsoft.com/office/drawing/2012/chartStyle" xmlns:a="http://schemas.openxmlformats.org/drawingml/2006/main" meth="withinLinear" id="15">
  <a:schemeClr val="accent2"/>
</cs:colorStyle>
</file>

<file path=xl/charts/colors70.xml><?xml version="1.0" encoding="utf-8"?>
<cs:colorStyle xmlns:cs="http://schemas.microsoft.com/office/drawing/2012/chartStyle" xmlns:a="http://schemas.openxmlformats.org/drawingml/2006/main" meth="withinLinear" id="15">
  <a:schemeClr val="accent2"/>
</cs:colorStyle>
</file>

<file path=xl/charts/colors71.xml><?xml version="1.0" encoding="utf-8"?>
<cs:colorStyle xmlns:cs="http://schemas.microsoft.com/office/drawing/2012/chartStyle" xmlns:a="http://schemas.openxmlformats.org/drawingml/2006/main" meth="withinLinear" id="15">
  <a:schemeClr val="accent2"/>
</cs:colorStyle>
</file>

<file path=xl/charts/colors72.xml><?xml version="1.0" encoding="utf-8"?>
<cs:colorStyle xmlns:cs="http://schemas.microsoft.com/office/drawing/2012/chartStyle" xmlns:a="http://schemas.openxmlformats.org/drawingml/2006/main" meth="withinLinear" id="15">
  <a:schemeClr val="accent2"/>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5.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0.xml"/><Relationship Id="rId3" Type="http://schemas.openxmlformats.org/officeDocument/2006/relationships/chart" Target="../charts/chart25.xml"/><Relationship Id="rId7" Type="http://schemas.openxmlformats.org/officeDocument/2006/relationships/chart" Target="../charts/chart29.xml"/><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chart" Target="../charts/chart28.xml"/><Relationship Id="rId11" Type="http://schemas.openxmlformats.org/officeDocument/2006/relationships/chart" Target="../charts/chart33.xml"/><Relationship Id="rId5" Type="http://schemas.openxmlformats.org/officeDocument/2006/relationships/chart" Target="../charts/chart27.xml"/><Relationship Id="rId10" Type="http://schemas.openxmlformats.org/officeDocument/2006/relationships/chart" Target="../charts/chart32.xml"/><Relationship Id="rId4" Type="http://schemas.openxmlformats.org/officeDocument/2006/relationships/chart" Target="../charts/chart26.xml"/><Relationship Id="rId9" Type="http://schemas.openxmlformats.org/officeDocument/2006/relationships/chart" Target="../charts/chart3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42.xml"/><Relationship Id="rId3" Type="http://schemas.openxmlformats.org/officeDocument/2006/relationships/chart" Target="../charts/chart37.xml"/><Relationship Id="rId7" Type="http://schemas.openxmlformats.org/officeDocument/2006/relationships/chart" Target="../charts/chart41.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chart" Target="../charts/chart40.xml"/><Relationship Id="rId11" Type="http://schemas.openxmlformats.org/officeDocument/2006/relationships/chart" Target="../charts/chart45.xml"/><Relationship Id="rId5" Type="http://schemas.openxmlformats.org/officeDocument/2006/relationships/chart" Target="../charts/chart39.xml"/><Relationship Id="rId10" Type="http://schemas.openxmlformats.org/officeDocument/2006/relationships/chart" Target="../charts/chart44.xml"/><Relationship Id="rId4" Type="http://schemas.openxmlformats.org/officeDocument/2006/relationships/chart" Target="../charts/chart38.xml"/><Relationship Id="rId9" Type="http://schemas.openxmlformats.org/officeDocument/2006/relationships/chart" Target="../charts/chart4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48.xml"/><Relationship Id="rId13" Type="http://schemas.openxmlformats.org/officeDocument/2006/relationships/chart" Target="../charts/chart53.xml"/><Relationship Id="rId3" Type="http://schemas.openxmlformats.org/officeDocument/2006/relationships/hyperlink" Target="#'Karkal Taluk'!A1"/><Relationship Id="rId7" Type="http://schemas.openxmlformats.org/officeDocument/2006/relationships/chart" Target="../charts/chart47.xml"/><Relationship Id="rId12" Type="http://schemas.openxmlformats.org/officeDocument/2006/relationships/chart" Target="../charts/chart52.xml"/><Relationship Id="rId2" Type="http://schemas.openxmlformats.org/officeDocument/2006/relationships/hyperlink" Target="#'Kundapura Taluk'!A1"/><Relationship Id="rId16" Type="http://schemas.openxmlformats.org/officeDocument/2006/relationships/chart" Target="../charts/chart56.xml"/><Relationship Id="rId1" Type="http://schemas.openxmlformats.org/officeDocument/2006/relationships/hyperlink" Target="#'Udupi Taluk'!A1"/><Relationship Id="rId6" Type="http://schemas.openxmlformats.org/officeDocument/2006/relationships/chart" Target="../charts/chart46.xml"/><Relationship Id="rId11" Type="http://schemas.openxmlformats.org/officeDocument/2006/relationships/chart" Target="../charts/chart51.xml"/><Relationship Id="rId5" Type="http://schemas.openxmlformats.org/officeDocument/2006/relationships/image" Target="../media/image2.svg"/><Relationship Id="rId15" Type="http://schemas.openxmlformats.org/officeDocument/2006/relationships/chart" Target="../charts/chart55.xml"/><Relationship Id="rId10" Type="http://schemas.openxmlformats.org/officeDocument/2006/relationships/chart" Target="../charts/chart50.xml"/><Relationship Id="rId4" Type="http://schemas.openxmlformats.org/officeDocument/2006/relationships/image" Target="../media/image1.png"/><Relationship Id="rId9" Type="http://schemas.openxmlformats.org/officeDocument/2006/relationships/chart" Target="../charts/chart49.xml"/><Relationship Id="rId14" Type="http://schemas.openxmlformats.org/officeDocument/2006/relationships/chart" Target="../charts/chart5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59.xml"/><Relationship Id="rId13" Type="http://schemas.openxmlformats.org/officeDocument/2006/relationships/chart" Target="../charts/chart64.xml"/><Relationship Id="rId3" Type="http://schemas.openxmlformats.org/officeDocument/2006/relationships/hyperlink" Target="#'Karkal Taluk'!A1"/><Relationship Id="rId7" Type="http://schemas.openxmlformats.org/officeDocument/2006/relationships/chart" Target="../charts/chart58.xml"/><Relationship Id="rId12" Type="http://schemas.openxmlformats.org/officeDocument/2006/relationships/chart" Target="../charts/chart63.xml"/><Relationship Id="rId2" Type="http://schemas.openxmlformats.org/officeDocument/2006/relationships/hyperlink" Target="#'Kundapura Taluk'!A1"/><Relationship Id="rId16" Type="http://schemas.openxmlformats.org/officeDocument/2006/relationships/chart" Target="../charts/chart67.xml"/><Relationship Id="rId1" Type="http://schemas.openxmlformats.org/officeDocument/2006/relationships/hyperlink" Target="#'Udupi Taluk'!A1"/><Relationship Id="rId6" Type="http://schemas.openxmlformats.org/officeDocument/2006/relationships/chart" Target="../charts/chart57.xml"/><Relationship Id="rId11" Type="http://schemas.openxmlformats.org/officeDocument/2006/relationships/chart" Target="../charts/chart62.xml"/><Relationship Id="rId5" Type="http://schemas.openxmlformats.org/officeDocument/2006/relationships/image" Target="../media/image2.svg"/><Relationship Id="rId15" Type="http://schemas.openxmlformats.org/officeDocument/2006/relationships/chart" Target="../charts/chart66.xml"/><Relationship Id="rId10" Type="http://schemas.openxmlformats.org/officeDocument/2006/relationships/chart" Target="../charts/chart61.xml"/><Relationship Id="rId4" Type="http://schemas.openxmlformats.org/officeDocument/2006/relationships/image" Target="../media/image1.png"/><Relationship Id="rId9" Type="http://schemas.openxmlformats.org/officeDocument/2006/relationships/chart" Target="../charts/chart60.xml"/><Relationship Id="rId14" Type="http://schemas.openxmlformats.org/officeDocument/2006/relationships/chart" Target="../charts/chart65.xml"/></Relationships>
</file>

<file path=xl/drawings/_rels/drawing8.xml.rels><?xml version="1.0" encoding="UTF-8" standalone="yes"?>
<Relationships xmlns="http://schemas.openxmlformats.org/package/2006/relationships"><Relationship Id="rId8" Type="http://schemas.openxmlformats.org/officeDocument/2006/relationships/chart" Target="../charts/chart70.xml"/><Relationship Id="rId13" Type="http://schemas.openxmlformats.org/officeDocument/2006/relationships/chart" Target="../charts/chart75.xml"/><Relationship Id="rId3" Type="http://schemas.openxmlformats.org/officeDocument/2006/relationships/hyperlink" Target="#'Karkal Taluk'!A1"/><Relationship Id="rId7" Type="http://schemas.openxmlformats.org/officeDocument/2006/relationships/chart" Target="../charts/chart69.xml"/><Relationship Id="rId12" Type="http://schemas.openxmlformats.org/officeDocument/2006/relationships/chart" Target="../charts/chart74.xml"/><Relationship Id="rId2" Type="http://schemas.openxmlformats.org/officeDocument/2006/relationships/hyperlink" Target="#'Kundapura Taluk'!A1"/><Relationship Id="rId16" Type="http://schemas.openxmlformats.org/officeDocument/2006/relationships/chart" Target="../charts/chart78.xml"/><Relationship Id="rId1" Type="http://schemas.openxmlformats.org/officeDocument/2006/relationships/hyperlink" Target="#'Udupi Taluk'!A1"/><Relationship Id="rId6" Type="http://schemas.openxmlformats.org/officeDocument/2006/relationships/chart" Target="../charts/chart68.xml"/><Relationship Id="rId11" Type="http://schemas.openxmlformats.org/officeDocument/2006/relationships/chart" Target="../charts/chart73.xml"/><Relationship Id="rId5" Type="http://schemas.openxmlformats.org/officeDocument/2006/relationships/image" Target="../media/image2.svg"/><Relationship Id="rId15" Type="http://schemas.openxmlformats.org/officeDocument/2006/relationships/chart" Target="../charts/chart77.xml"/><Relationship Id="rId10" Type="http://schemas.openxmlformats.org/officeDocument/2006/relationships/chart" Target="../charts/chart72.xml"/><Relationship Id="rId4" Type="http://schemas.openxmlformats.org/officeDocument/2006/relationships/image" Target="../media/image1.png"/><Relationship Id="rId9" Type="http://schemas.openxmlformats.org/officeDocument/2006/relationships/chart" Target="../charts/chart71.xml"/><Relationship Id="rId14" Type="http://schemas.openxmlformats.org/officeDocument/2006/relationships/chart" Target="../charts/chart7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s>
</file>

<file path=xl/drawings/drawing1.xml><?xml version="1.0" encoding="utf-8"?>
<xdr:wsDr xmlns:xdr="http://schemas.openxmlformats.org/drawingml/2006/spreadsheetDrawing" xmlns:a="http://schemas.openxmlformats.org/drawingml/2006/main">
  <xdr:twoCellAnchor>
    <xdr:from>
      <xdr:col>9</xdr:col>
      <xdr:colOff>624840</xdr:colOff>
      <xdr:row>12</xdr:row>
      <xdr:rowOff>129540</xdr:rowOff>
    </xdr:from>
    <xdr:to>
      <xdr:col>11</xdr:col>
      <xdr:colOff>1127760</xdr:colOff>
      <xdr:row>24</xdr:row>
      <xdr:rowOff>72390</xdr:rowOff>
    </xdr:to>
    <xdr:graphicFrame macro="">
      <xdr:nvGraphicFramePr>
        <xdr:cNvPr id="8" name="Chart 7">
          <a:extLst>
            <a:ext uri="{FF2B5EF4-FFF2-40B4-BE49-F238E27FC236}">
              <a16:creationId xmlns:a16="http://schemas.microsoft.com/office/drawing/2014/main" id="{2E570B96-1253-B94A-A0E6-4D3CA73DF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1356360</xdr:colOff>
      <xdr:row>0</xdr:row>
      <xdr:rowOff>76200</xdr:rowOff>
    </xdr:from>
    <xdr:to>
      <xdr:col>12</xdr:col>
      <xdr:colOff>83820</xdr:colOff>
      <xdr:row>12</xdr:row>
      <xdr:rowOff>121920</xdr:rowOff>
    </xdr:to>
    <xdr:graphicFrame macro="">
      <xdr:nvGraphicFramePr>
        <xdr:cNvPr id="9" name="Chart 8">
          <a:extLst>
            <a:ext uri="{FF2B5EF4-FFF2-40B4-BE49-F238E27FC236}">
              <a16:creationId xmlns:a16="http://schemas.microsoft.com/office/drawing/2014/main" id="{8A196CB5-196E-5D8D-BFEF-386FBDB3B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678180</xdr:colOff>
      <xdr:row>0</xdr:row>
      <xdr:rowOff>60960</xdr:rowOff>
    </xdr:from>
    <xdr:to>
      <xdr:col>9</xdr:col>
      <xdr:colOff>1264920</xdr:colOff>
      <xdr:row>14</xdr:row>
      <xdr:rowOff>125730</xdr:rowOff>
    </xdr:to>
    <xdr:graphicFrame macro="">
      <xdr:nvGraphicFramePr>
        <xdr:cNvPr id="12" name="Chart 11">
          <a:extLst>
            <a:ext uri="{FF2B5EF4-FFF2-40B4-BE49-F238E27FC236}">
              <a16:creationId xmlns:a16="http://schemas.microsoft.com/office/drawing/2014/main" id="{B3951101-FA8A-4DF6-AD35-981A1D428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205740</xdr:colOff>
      <xdr:row>15</xdr:row>
      <xdr:rowOff>76200</xdr:rowOff>
    </xdr:from>
    <xdr:to>
      <xdr:col>9</xdr:col>
      <xdr:colOff>754380</xdr:colOff>
      <xdr:row>29</xdr:row>
      <xdr:rowOff>41910</xdr:rowOff>
    </xdr:to>
    <xdr:graphicFrame macro="">
      <xdr:nvGraphicFramePr>
        <xdr:cNvPr id="13" name="Chart 12">
          <a:extLst>
            <a:ext uri="{FF2B5EF4-FFF2-40B4-BE49-F238E27FC236}">
              <a16:creationId xmlns:a16="http://schemas.microsoft.com/office/drawing/2014/main" id="{77940BB7-14D2-5E71-F2DC-328580E93F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1874520</xdr:colOff>
      <xdr:row>26</xdr:row>
      <xdr:rowOff>167640</xdr:rowOff>
    </xdr:from>
    <xdr:to>
      <xdr:col>14</xdr:col>
      <xdr:colOff>403860</xdr:colOff>
      <xdr:row>39</xdr:row>
      <xdr:rowOff>121920</xdr:rowOff>
    </xdr:to>
    <xdr:graphicFrame macro="">
      <xdr:nvGraphicFramePr>
        <xdr:cNvPr id="21" name="Chart 20">
          <a:extLst>
            <a:ext uri="{FF2B5EF4-FFF2-40B4-BE49-F238E27FC236}">
              <a16:creationId xmlns:a16="http://schemas.microsoft.com/office/drawing/2014/main" id="{629AFCDC-3FE6-917A-41C4-4F794A9C7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83820</xdr:colOff>
      <xdr:row>26</xdr:row>
      <xdr:rowOff>114300</xdr:rowOff>
    </xdr:from>
    <xdr:to>
      <xdr:col>9</xdr:col>
      <xdr:colOff>1470660</xdr:colOff>
      <xdr:row>44</xdr:row>
      <xdr:rowOff>7620</xdr:rowOff>
    </xdr:to>
    <xdr:graphicFrame macro="">
      <xdr:nvGraphicFramePr>
        <xdr:cNvPr id="22" name="Chart 21">
          <a:extLst>
            <a:ext uri="{FF2B5EF4-FFF2-40B4-BE49-F238E27FC236}">
              <a16:creationId xmlns:a16="http://schemas.microsoft.com/office/drawing/2014/main" id="{77F8ECD0-C697-81F8-5F1C-735B15999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609600</xdr:colOff>
      <xdr:row>48</xdr:row>
      <xdr:rowOff>0</xdr:rowOff>
    </xdr:from>
    <xdr:to>
      <xdr:col>8</xdr:col>
      <xdr:colOff>1264920</xdr:colOff>
      <xdr:row>61</xdr:row>
      <xdr:rowOff>38100</xdr:rowOff>
    </xdr:to>
    <xdr:graphicFrame macro="">
      <xdr:nvGraphicFramePr>
        <xdr:cNvPr id="27" name="Chart 26">
          <a:extLst>
            <a:ext uri="{FF2B5EF4-FFF2-40B4-BE49-F238E27FC236}">
              <a16:creationId xmlns:a16="http://schemas.microsoft.com/office/drawing/2014/main" id="{B96C4798-2EF3-3234-4F22-204FF5376B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830580</xdr:colOff>
      <xdr:row>48</xdr:row>
      <xdr:rowOff>30480</xdr:rowOff>
    </xdr:from>
    <xdr:to>
      <xdr:col>11</xdr:col>
      <xdr:colOff>1188720</xdr:colOff>
      <xdr:row>60</xdr:row>
      <xdr:rowOff>175260</xdr:rowOff>
    </xdr:to>
    <xdr:graphicFrame macro="">
      <xdr:nvGraphicFramePr>
        <xdr:cNvPr id="28" name="Chart 27">
          <a:extLst>
            <a:ext uri="{FF2B5EF4-FFF2-40B4-BE49-F238E27FC236}">
              <a16:creationId xmlns:a16="http://schemas.microsoft.com/office/drawing/2014/main" id="{10F06B44-52FE-5631-A7E9-D0336D7D5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632460</xdr:colOff>
      <xdr:row>62</xdr:row>
      <xdr:rowOff>15240</xdr:rowOff>
    </xdr:from>
    <xdr:to>
      <xdr:col>8</xdr:col>
      <xdr:colOff>1280160</xdr:colOff>
      <xdr:row>73</xdr:row>
      <xdr:rowOff>99060</xdr:rowOff>
    </xdr:to>
    <xdr:graphicFrame macro="">
      <xdr:nvGraphicFramePr>
        <xdr:cNvPr id="29" name="Chart 28">
          <a:extLst>
            <a:ext uri="{FF2B5EF4-FFF2-40B4-BE49-F238E27FC236}">
              <a16:creationId xmlns:a16="http://schemas.microsoft.com/office/drawing/2014/main" id="{92EAA227-4CF5-C692-E45C-D396258E03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876300</xdr:colOff>
      <xdr:row>62</xdr:row>
      <xdr:rowOff>0</xdr:rowOff>
    </xdr:from>
    <xdr:to>
      <xdr:col>11</xdr:col>
      <xdr:colOff>1150620</xdr:colOff>
      <xdr:row>73</xdr:row>
      <xdr:rowOff>83820</xdr:rowOff>
    </xdr:to>
    <xdr:graphicFrame macro="">
      <xdr:nvGraphicFramePr>
        <xdr:cNvPr id="30" name="Chart 29">
          <a:extLst>
            <a:ext uri="{FF2B5EF4-FFF2-40B4-BE49-F238E27FC236}">
              <a16:creationId xmlns:a16="http://schemas.microsoft.com/office/drawing/2014/main" id="{773E6039-068B-C044-67EB-1902A26EC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624840</xdr:colOff>
      <xdr:row>74</xdr:row>
      <xdr:rowOff>30480</xdr:rowOff>
    </xdr:from>
    <xdr:to>
      <xdr:col>9</xdr:col>
      <xdr:colOff>30480</xdr:colOff>
      <xdr:row>85</xdr:row>
      <xdr:rowOff>26670</xdr:rowOff>
    </xdr:to>
    <xdr:graphicFrame macro="">
      <xdr:nvGraphicFramePr>
        <xdr:cNvPr id="31" name="Chart 30">
          <a:extLst>
            <a:ext uri="{FF2B5EF4-FFF2-40B4-BE49-F238E27FC236}">
              <a16:creationId xmlns:a16="http://schemas.microsoft.com/office/drawing/2014/main" id="{A56A18A3-B8B8-0742-1E18-77911BCF46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426720</xdr:colOff>
      <xdr:row>41</xdr:row>
      <xdr:rowOff>137160</xdr:rowOff>
    </xdr:from>
    <xdr:to>
      <xdr:col>11</xdr:col>
      <xdr:colOff>38100</xdr:colOff>
      <xdr:row>54</xdr:row>
      <xdr:rowOff>160020</xdr:rowOff>
    </xdr:to>
    <xdr:graphicFrame macro="">
      <xdr:nvGraphicFramePr>
        <xdr:cNvPr id="4" name="Chart 3">
          <a:extLst>
            <a:ext uri="{FF2B5EF4-FFF2-40B4-BE49-F238E27FC236}">
              <a16:creationId xmlns:a16="http://schemas.microsoft.com/office/drawing/2014/main" id="{9B51F297-9633-3E9E-630E-7BAA431FD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99060</xdr:colOff>
      <xdr:row>41</xdr:row>
      <xdr:rowOff>137160</xdr:rowOff>
    </xdr:from>
    <xdr:to>
      <xdr:col>18</xdr:col>
      <xdr:colOff>518160</xdr:colOff>
      <xdr:row>54</xdr:row>
      <xdr:rowOff>175260</xdr:rowOff>
    </xdr:to>
    <xdr:graphicFrame macro="">
      <xdr:nvGraphicFramePr>
        <xdr:cNvPr id="5" name="Chart 4">
          <a:extLst>
            <a:ext uri="{FF2B5EF4-FFF2-40B4-BE49-F238E27FC236}">
              <a16:creationId xmlns:a16="http://schemas.microsoft.com/office/drawing/2014/main" id="{E39D5BC8-EFFF-9835-0C33-51FA07923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419100</xdr:colOff>
      <xdr:row>55</xdr:row>
      <xdr:rowOff>175260</xdr:rowOff>
    </xdr:from>
    <xdr:to>
      <xdr:col>11</xdr:col>
      <xdr:colOff>15240</xdr:colOff>
      <xdr:row>69</xdr:row>
      <xdr:rowOff>152400</xdr:rowOff>
    </xdr:to>
    <xdr:graphicFrame macro="">
      <xdr:nvGraphicFramePr>
        <xdr:cNvPr id="6" name="Chart 5">
          <a:extLst>
            <a:ext uri="{FF2B5EF4-FFF2-40B4-BE49-F238E27FC236}">
              <a16:creationId xmlns:a16="http://schemas.microsoft.com/office/drawing/2014/main" id="{5503FDCF-C354-248A-5A0B-66197D9A6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449580</xdr:colOff>
      <xdr:row>55</xdr:row>
      <xdr:rowOff>167640</xdr:rowOff>
    </xdr:from>
    <xdr:to>
      <xdr:col>19</xdr:col>
      <xdr:colOff>358140</xdr:colOff>
      <xdr:row>69</xdr:row>
      <xdr:rowOff>99060</xdr:rowOff>
    </xdr:to>
    <xdr:graphicFrame macro="">
      <xdr:nvGraphicFramePr>
        <xdr:cNvPr id="7" name="Chart 6">
          <a:extLst>
            <a:ext uri="{FF2B5EF4-FFF2-40B4-BE49-F238E27FC236}">
              <a16:creationId xmlns:a16="http://schemas.microsoft.com/office/drawing/2014/main" id="{F7D13546-4838-806C-BDFE-AFFD6A164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861060</xdr:colOff>
      <xdr:row>70</xdr:row>
      <xdr:rowOff>167640</xdr:rowOff>
    </xdr:from>
    <xdr:to>
      <xdr:col>15</xdr:col>
      <xdr:colOff>167640</xdr:colOff>
      <xdr:row>85</xdr:row>
      <xdr:rowOff>167640</xdr:rowOff>
    </xdr:to>
    <xdr:graphicFrame macro="">
      <xdr:nvGraphicFramePr>
        <xdr:cNvPr id="8" name="Chart 7">
          <a:extLst>
            <a:ext uri="{FF2B5EF4-FFF2-40B4-BE49-F238E27FC236}">
              <a16:creationId xmlns:a16="http://schemas.microsoft.com/office/drawing/2014/main" id="{F393D435-7826-2440-AC30-D5A2A0AC8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586740</xdr:colOff>
      <xdr:row>0</xdr:row>
      <xdr:rowOff>144780</xdr:rowOff>
    </xdr:from>
    <xdr:to>
      <xdr:col>10</xdr:col>
      <xdr:colOff>129540</xdr:colOff>
      <xdr:row>13</xdr:row>
      <xdr:rowOff>15240</xdr:rowOff>
    </xdr:to>
    <xdr:graphicFrame macro="">
      <xdr:nvGraphicFramePr>
        <xdr:cNvPr id="9" name="Chart 8">
          <a:extLst>
            <a:ext uri="{FF2B5EF4-FFF2-40B4-BE49-F238E27FC236}">
              <a16:creationId xmlns:a16="http://schemas.microsoft.com/office/drawing/2014/main" id="{AA75D0F2-100B-CB83-28EB-490C8D488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525780</xdr:colOff>
      <xdr:row>1</xdr:row>
      <xdr:rowOff>0</xdr:rowOff>
    </xdr:from>
    <xdr:to>
      <xdr:col>16</xdr:col>
      <xdr:colOff>213360</xdr:colOff>
      <xdr:row>12</xdr:row>
      <xdr:rowOff>72390</xdr:rowOff>
    </xdr:to>
    <xdr:graphicFrame macro="">
      <xdr:nvGraphicFramePr>
        <xdr:cNvPr id="10" name="Chart 9">
          <a:extLst>
            <a:ext uri="{FF2B5EF4-FFF2-40B4-BE49-F238E27FC236}">
              <a16:creationId xmlns:a16="http://schemas.microsoft.com/office/drawing/2014/main" id="{48A6F334-60D0-BE4E-A7EC-D3E82AD9B9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541020</xdr:colOff>
      <xdr:row>12</xdr:row>
      <xdr:rowOff>175260</xdr:rowOff>
    </xdr:from>
    <xdr:to>
      <xdr:col>16</xdr:col>
      <xdr:colOff>327660</xdr:colOff>
      <xdr:row>25</xdr:row>
      <xdr:rowOff>53340</xdr:rowOff>
    </xdr:to>
    <xdr:graphicFrame macro="">
      <xdr:nvGraphicFramePr>
        <xdr:cNvPr id="11" name="Chart 10">
          <a:extLst>
            <a:ext uri="{FF2B5EF4-FFF2-40B4-BE49-F238E27FC236}">
              <a16:creationId xmlns:a16="http://schemas.microsoft.com/office/drawing/2014/main" id="{2F1EED9D-8084-21A4-CA15-0438646AB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502920</xdr:colOff>
      <xdr:row>13</xdr:row>
      <xdr:rowOff>68580</xdr:rowOff>
    </xdr:from>
    <xdr:to>
      <xdr:col>11</xdr:col>
      <xdr:colOff>76200</xdr:colOff>
      <xdr:row>27</xdr:row>
      <xdr:rowOff>30480</xdr:rowOff>
    </xdr:to>
    <xdr:graphicFrame macro="">
      <xdr:nvGraphicFramePr>
        <xdr:cNvPr id="12" name="Chart 11">
          <a:extLst>
            <a:ext uri="{FF2B5EF4-FFF2-40B4-BE49-F238E27FC236}">
              <a16:creationId xmlns:a16="http://schemas.microsoft.com/office/drawing/2014/main" id="{8037BB1D-AEAD-548E-6891-BF929156C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365760</xdr:colOff>
      <xdr:row>12</xdr:row>
      <xdr:rowOff>137160</xdr:rowOff>
    </xdr:from>
    <xdr:to>
      <xdr:col>24</xdr:col>
      <xdr:colOff>60960</xdr:colOff>
      <xdr:row>27</xdr:row>
      <xdr:rowOff>137160</xdr:rowOff>
    </xdr:to>
    <xdr:graphicFrame macro="">
      <xdr:nvGraphicFramePr>
        <xdr:cNvPr id="14" name="Chart 13">
          <a:extLst>
            <a:ext uri="{FF2B5EF4-FFF2-40B4-BE49-F238E27FC236}">
              <a16:creationId xmlns:a16="http://schemas.microsoft.com/office/drawing/2014/main" id="{C53491EC-87F9-356C-4D2B-DBCFCD0F59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220980</xdr:colOff>
      <xdr:row>26</xdr:row>
      <xdr:rowOff>22860</xdr:rowOff>
    </xdr:from>
    <xdr:to>
      <xdr:col>17</xdr:col>
      <xdr:colOff>144780</xdr:colOff>
      <xdr:row>40</xdr:row>
      <xdr:rowOff>68580</xdr:rowOff>
    </xdr:to>
    <xdr:graphicFrame macro="">
      <xdr:nvGraphicFramePr>
        <xdr:cNvPr id="15" name="Chart 14">
          <a:extLst>
            <a:ext uri="{FF2B5EF4-FFF2-40B4-BE49-F238E27FC236}">
              <a16:creationId xmlns:a16="http://schemas.microsoft.com/office/drawing/2014/main" id="{C2405C68-1F66-E208-5CAE-A1DD22B83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777240</xdr:colOff>
      <xdr:row>50</xdr:row>
      <xdr:rowOff>76200</xdr:rowOff>
    </xdr:from>
    <xdr:to>
      <xdr:col>9</xdr:col>
      <xdr:colOff>358140</xdr:colOff>
      <xdr:row>62</xdr:row>
      <xdr:rowOff>99060</xdr:rowOff>
    </xdr:to>
    <xdr:graphicFrame macro="">
      <xdr:nvGraphicFramePr>
        <xdr:cNvPr id="2" name="Chart 1">
          <a:extLst>
            <a:ext uri="{FF2B5EF4-FFF2-40B4-BE49-F238E27FC236}">
              <a16:creationId xmlns:a16="http://schemas.microsoft.com/office/drawing/2014/main" id="{834350EC-B4FC-D110-FACA-52EAF7C34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556260</xdr:colOff>
      <xdr:row>50</xdr:row>
      <xdr:rowOff>30480</xdr:rowOff>
    </xdr:from>
    <xdr:to>
      <xdr:col>15</xdr:col>
      <xdr:colOff>464820</xdr:colOff>
      <xdr:row>62</xdr:row>
      <xdr:rowOff>114300</xdr:rowOff>
    </xdr:to>
    <xdr:graphicFrame macro="">
      <xdr:nvGraphicFramePr>
        <xdr:cNvPr id="3" name="Chart 2">
          <a:extLst>
            <a:ext uri="{FF2B5EF4-FFF2-40B4-BE49-F238E27FC236}">
              <a16:creationId xmlns:a16="http://schemas.microsoft.com/office/drawing/2014/main" id="{77A841F1-B380-E0A6-68F3-FF98A83CC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701040</xdr:colOff>
      <xdr:row>63</xdr:row>
      <xdr:rowOff>30480</xdr:rowOff>
    </xdr:from>
    <xdr:to>
      <xdr:col>9</xdr:col>
      <xdr:colOff>381000</xdr:colOff>
      <xdr:row>77</xdr:row>
      <xdr:rowOff>22860</xdr:rowOff>
    </xdr:to>
    <xdr:graphicFrame macro="">
      <xdr:nvGraphicFramePr>
        <xdr:cNvPr id="4" name="Chart 3">
          <a:extLst>
            <a:ext uri="{FF2B5EF4-FFF2-40B4-BE49-F238E27FC236}">
              <a16:creationId xmlns:a16="http://schemas.microsoft.com/office/drawing/2014/main" id="{E7F57FD1-3039-F0C2-576A-89CE688D8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22860</xdr:colOff>
      <xdr:row>63</xdr:row>
      <xdr:rowOff>30480</xdr:rowOff>
    </xdr:from>
    <xdr:to>
      <xdr:col>15</xdr:col>
      <xdr:colOff>480060</xdr:colOff>
      <xdr:row>77</xdr:row>
      <xdr:rowOff>53340</xdr:rowOff>
    </xdr:to>
    <xdr:graphicFrame macro="">
      <xdr:nvGraphicFramePr>
        <xdr:cNvPr id="5" name="Chart 4">
          <a:extLst>
            <a:ext uri="{FF2B5EF4-FFF2-40B4-BE49-F238E27FC236}">
              <a16:creationId xmlns:a16="http://schemas.microsoft.com/office/drawing/2014/main" id="{79D1D966-0A6A-F979-9930-1B06DCE5A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15240</xdr:colOff>
      <xdr:row>77</xdr:row>
      <xdr:rowOff>152400</xdr:rowOff>
    </xdr:from>
    <xdr:to>
      <xdr:col>15</xdr:col>
      <xdr:colOff>487680</xdr:colOff>
      <xdr:row>88</xdr:row>
      <xdr:rowOff>60960</xdr:rowOff>
    </xdr:to>
    <xdr:graphicFrame macro="">
      <xdr:nvGraphicFramePr>
        <xdr:cNvPr id="6" name="Chart 5">
          <a:extLst>
            <a:ext uri="{FF2B5EF4-FFF2-40B4-BE49-F238E27FC236}">
              <a16:creationId xmlns:a16="http://schemas.microsoft.com/office/drawing/2014/main" id="{1FB8E0D3-520A-7574-CF53-050FCA0C9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960120</xdr:colOff>
      <xdr:row>0</xdr:row>
      <xdr:rowOff>68580</xdr:rowOff>
    </xdr:from>
    <xdr:to>
      <xdr:col>11</xdr:col>
      <xdr:colOff>190500</xdr:colOff>
      <xdr:row>15</xdr:row>
      <xdr:rowOff>68580</xdr:rowOff>
    </xdr:to>
    <xdr:graphicFrame macro="">
      <xdr:nvGraphicFramePr>
        <xdr:cNvPr id="7" name="Chart 6">
          <a:extLst>
            <a:ext uri="{FF2B5EF4-FFF2-40B4-BE49-F238E27FC236}">
              <a16:creationId xmlns:a16="http://schemas.microsoft.com/office/drawing/2014/main" id="{BD2A4F80-9CF7-AACA-31E5-C127B3EC0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274320</xdr:colOff>
      <xdr:row>0</xdr:row>
      <xdr:rowOff>60960</xdr:rowOff>
    </xdr:from>
    <xdr:to>
      <xdr:col>18</xdr:col>
      <xdr:colOff>579120</xdr:colOff>
      <xdr:row>15</xdr:row>
      <xdr:rowOff>60960</xdr:rowOff>
    </xdr:to>
    <xdr:graphicFrame macro="">
      <xdr:nvGraphicFramePr>
        <xdr:cNvPr id="8" name="Chart 7">
          <a:extLst>
            <a:ext uri="{FF2B5EF4-FFF2-40B4-BE49-F238E27FC236}">
              <a16:creationId xmlns:a16="http://schemas.microsoft.com/office/drawing/2014/main" id="{45086ADE-8F21-FAF5-FC52-4E4973F95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38100</xdr:colOff>
      <xdr:row>0</xdr:row>
      <xdr:rowOff>53340</xdr:rowOff>
    </xdr:from>
    <xdr:to>
      <xdr:col>26</xdr:col>
      <xdr:colOff>342900</xdr:colOff>
      <xdr:row>15</xdr:row>
      <xdr:rowOff>53340</xdr:rowOff>
    </xdr:to>
    <xdr:graphicFrame macro="">
      <xdr:nvGraphicFramePr>
        <xdr:cNvPr id="9" name="Chart 8">
          <a:extLst>
            <a:ext uri="{FF2B5EF4-FFF2-40B4-BE49-F238E27FC236}">
              <a16:creationId xmlns:a16="http://schemas.microsoft.com/office/drawing/2014/main" id="{2A433CF4-FDCE-A7E1-436B-882970CF4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1043940</xdr:colOff>
      <xdr:row>15</xdr:row>
      <xdr:rowOff>121920</xdr:rowOff>
    </xdr:from>
    <xdr:to>
      <xdr:col>11</xdr:col>
      <xdr:colOff>274320</xdr:colOff>
      <xdr:row>30</xdr:row>
      <xdr:rowOff>121920</xdr:rowOff>
    </xdr:to>
    <xdr:graphicFrame macro="">
      <xdr:nvGraphicFramePr>
        <xdr:cNvPr id="10" name="Chart 9">
          <a:extLst>
            <a:ext uri="{FF2B5EF4-FFF2-40B4-BE49-F238E27FC236}">
              <a16:creationId xmlns:a16="http://schemas.microsoft.com/office/drawing/2014/main" id="{B2CF96BA-BC05-AA74-A97E-012C0DE07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396240</xdr:colOff>
      <xdr:row>15</xdr:row>
      <xdr:rowOff>121920</xdr:rowOff>
    </xdr:from>
    <xdr:to>
      <xdr:col>19</xdr:col>
      <xdr:colOff>91440</xdr:colOff>
      <xdr:row>30</xdr:row>
      <xdr:rowOff>121920</xdr:rowOff>
    </xdr:to>
    <xdr:graphicFrame macro="">
      <xdr:nvGraphicFramePr>
        <xdr:cNvPr id="11" name="Chart 10">
          <a:extLst>
            <a:ext uri="{FF2B5EF4-FFF2-40B4-BE49-F238E27FC236}">
              <a16:creationId xmlns:a16="http://schemas.microsoft.com/office/drawing/2014/main" id="{50761156-93B3-359F-B911-C9294D341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1104900</xdr:colOff>
      <xdr:row>31</xdr:row>
      <xdr:rowOff>45720</xdr:rowOff>
    </xdr:from>
    <xdr:to>
      <xdr:col>11</xdr:col>
      <xdr:colOff>335280</xdr:colOff>
      <xdr:row>46</xdr:row>
      <xdr:rowOff>45720</xdr:rowOff>
    </xdr:to>
    <xdr:graphicFrame macro="">
      <xdr:nvGraphicFramePr>
        <xdr:cNvPr id="12" name="Chart 11">
          <a:extLst>
            <a:ext uri="{FF2B5EF4-FFF2-40B4-BE49-F238E27FC236}">
              <a16:creationId xmlns:a16="http://schemas.microsoft.com/office/drawing/2014/main" id="{0911D90B-1A82-DEDD-6610-D23A7F260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25</xdr:col>
      <xdr:colOff>1447800</xdr:colOff>
      <xdr:row>0</xdr:row>
      <xdr:rowOff>38100</xdr:rowOff>
    </xdr:from>
    <xdr:to>
      <xdr:col>29</xdr:col>
      <xdr:colOff>297180</xdr:colOff>
      <xdr:row>10</xdr:row>
      <xdr:rowOff>99060</xdr:rowOff>
    </xdr:to>
    <xdr:graphicFrame macro="">
      <xdr:nvGraphicFramePr>
        <xdr:cNvPr id="9" name="Chart 8">
          <a:extLst>
            <a:ext uri="{FF2B5EF4-FFF2-40B4-BE49-F238E27FC236}">
              <a16:creationId xmlns:a16="http://schemas.microsoft.com/office/drawing/2014/main" id="{2A3FC8CF-3735-9A1A-9BF0-68626B22F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38100</xdr:rowOff>
    </xdr:from>
    <xdr:to>
      <xdr:col>14</xdr:col>
      <xdr:colOff>56609</xdr:colOff>
      <xdr:row>3</xdr:row>
      <xdr:rowOff>143378</xdr:rowOff>
    </xdr:to>
    <xdr:sp macro="" textlink="">
      <xdr:nvSpPr>
        <xdr:cNvPr id="16" name="Rectangle: Rounded Corners 15">
          <a:extLst>
            <a:ext uri="{FF2B5EF4-FFF2-40B4-BE49-F238E27FC236}">
              <a16:creationId xmlns:a16="http://schemas.microsoft.com/office/drawing/2014/main" id="{9B7FA46F-DC1B-9D45-28C2-D1CB5DC32AE2}"/>
            </a:ext>
          </a:extLst>
        </xdr:cNvPr>
        <xdr:cNvSpPr/>
      </xdr:nvSpPr>
      <xdr:spPr>
        <a:xfrm>
          <a:off x="0" y="38100"/>
          <a:ext cx="17773109" cy="648203"/>
        </a:xfrm>
        <a:prstGeom prst="roundRect">
          <a:avLst/>
        </a:prstGeom>
        <a:solidFill>
          <a:schemeClr val="accent3">
            <a:lumMod val="40000"/>
            <a:lumOff val="60000"/>
          </a:schemeClr>
        </a:soli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IN" sz="4000">
              <a:solidFill>
                <a:sysClr val="windowText" lastClr="000000"/>
              </a:solidFill>
              <a:effectLst>
                <a:outerShdw blurRad="50800" dist="38100" dir="5400000" algn="t" rotWithShape="0">
                  <a:prstClr val="black">
                    <a:alpha val="40000"/>
                  </a:prstClr>
                </a:outerShdw>
              </a:effectLst>
              <a:latin typeface="Lato Black" panose="020F0A02020204030203" pitchFamily="34" charset="0"/>
            </a:rPr>
            <a:t>INFANT</a:t>
          </a:r>
          <a:r>
            <a:rPr lang="en-IN" sz="4000" baseline="0">
              <a:solidFill>
                <a:sysClr val="windowText" lastClr="000000"/>
              </a:solidFill>
              <a:effectLst>
                <a:outerShdw blurRad="50800" dist="38100" dir="5400000" algn="t" rotWithShape="0">
                  <a:prstClr val="black">
                    <a:alpha val="40000"/>
                  </a:prstClr>
                </a:outerShdw>
              </a:effectLst>
              <a:latin typeface="Lato Black" panose="020F0A02020204030203" pitchFamily="34" charset="0"/>
            </a:rPr>
            <a:t> DEATH REPORT</a:t>
          </a:r>
          <a:endParaRPr lang="en-IN" sz="4000">
            <a:solidFill>
              <a:sysClr val="windowText" lastClr="000000"/>
            </a:solidFill>
            <a:effectLst>
              <a:outerShdw blurRad="50800" dist="38100" dir="5400000" algn="t" rotWithShape="0">
                <a:prstClr val="black">
                  <a:alpha val="40000"/>
                </a:prstClr>
              </a:outerShdw>
            </a:effectLst>
            <a:latin typeface="Lato Black" panose="020F0A02020204030203" pitchFamily="34" charset="0"/>
          </a:endParaRPr>
        </a:p>
      </xdr:txBody>
    </xdr:sp>
    <xdr:clientData/>
  </xdr:twoCellAnchor>
  <xdr:twoCellAnchor>
    <xdr:from>
      <xdr:col>7</xdr:col>
      <xdr:colOff>2268320</xdr:colOff>
      <xdr:row>8</xdr:row>
      <xdr:rowOff>99369</xdr:rowOff>
    </xdr:from>
    <xdr:to>
      <xdr:col>13</xdr:col>
      <xdr:colOff>562220</xdr:colOff>
      <xdr:row>28</xdr:row>
      <xdr:rowOff>85725</xdr:rowOff>
    </xdr:to>
    <xdr:sp macro="" textlink="">
      <xdr:nvSpPr>
        <xdr:cNvPr id="18" name="Rectangle: Rounded Corners 17">
          <a:extLst>
            <a:ext uri="{FF2B5EF4-FFF2-40B4-BE49-F238E27FC236}">
              <a16:creationId xmlns:a16="http://schemas.microsoft.com/office/drawing/2014/main" id="{EEB8BE53-9336-6BBE-621F-C8E994F9C8B0}"/>
            </a:ext>
          </a:extLst>
        </xdr:cNvPr>
        <xdr:cNvSpPr/>
      </xdr:nvSpPr>
      <xdr:spPr>
        <a:xfrm>
          <a:off x="12060020" y="1547169"/>
          <a:ext cx="5609100" cy="3605856"/>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197218</xdr:colOff>
      <xdr:row>127</xdr:row>
      <xdr:rowOff>109879</xdr:rowOff>
    </xdr:from>
    <xdr:to>
      <xdr:col>13</xdr:col>
      <xdr:colOff>466867</xdr:colOff>
      <xdr:row>130</xdr:row>
      <xdr:rowOff>122557</xdr:rowOff>
    </xdr:to>
    <xdr:sp macro="" textlink="">
      <xdr:nvSpPr>
        <xdr:cNvPr id="19" name="Rectangle: Rounded Corners 18">
          <a:extLst>
            <a:ext uri="{FF2B5EF4-FFF2-40B4-BE49-F238E27FC236}">
              <a16:creationId xmlns:a16="http://schemas.microsoft.com/office/drawing/2014/main" id="{431D2F41-548B-1040-D5DF-64EF3A41ED74}"/>
            </a:ext>
          </a:extLst>
        </xdr:cNvPr>
        <xdr:cNvSpPr/>
      </xdr:nvSpPr>
      <xdr:spPr>
        <a:xfrm>
          <a:off x="197218" y="26008354"/>
          <a:ext cx="17376549" cy="555603"/>
        </a:xfrm>
        <a:prstGeom prst="roundRect">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IN" sz="4000">
              <a:solidFill>
                <a:sysClr val="windowText" lastClr="000000"/>
              </a:solidFill>
              <a:effectLst>
                <a:outerShdw blurRad="50800" dist="38100" dir="5400000" algn="t" rotWithShape="0">
                  <a:prstClr val="black">
                    <a:alpha val="40000"/>
                  </a:prstClr>
                </a:outerShdw>
              </a:effectLst>
              <a:latin typeface="Lato Black" panose="020F0A02020204030203" pitchFamily="34" charset="0"/>
            </a:rPr>
            <a:t>CAUSE</a:t>
          </a:r>
          <a:r>
            <a:rPr lang="en-IN" sz="4000" baseline="0">
              <a:solidFill>
                <a:sysClr val="windowText" lastClr="000000"/>
              </a:solidFill>
              <a:effectLst>
                <a:outerShdw blurRad="50800" dist="38100" dir="5400000" algn="t" rotWithShape="0">
                  <a:prstClr val="black">
                    <a:alpha val="40000"/>
                  </a:prstClr>
                </a:outerShdw>
              </a:effectLst>
              <a:latin typeface="Lato Black" panose="020F0A02020204030203" pitchFamily="34" charset="0"/>
            </a:rPr>
            <a:t> OF INFANT DEATHS</a:t>
          </a:r>
          <a:endParaRPr lang="en-IN" sz="4000">
            <a:solidFill>
              <a:sysClr val="windowText" lastClr="000000"/>
            </a:solidFill>
            <a:effectLst>
              <a:outerShdw blurRad="50800" dist="38100" dir="5400000" algn="t" rotWithShape="0">
                <a:prstClr val="black">
                  <a:alpha val="40000"/>
                </a:prstClr>
              </a:outerShdw>
            </a:effectLst>
            <a:latin typeface="Lato Black" panose="020F0A02020204030203" pitchFamily="34" charset="0"/>
          </a:endParaRPr>
        </a:p>
      </xdr:txBody>
    </xdr:sp>
    <xdr:clientData/>
  </xdr:twoCellAnchor>
  <xdr:twoCellAnchor>
    <xdr:from>
      <xdr:col>0</xdr:col>
      <xdr:colOff>112514</xdr:colOff>
      <xdr:row>8</xdr:row>
      <xdr:rowOff>86306</xdr:rowOff>
    </xdr:from>
    <xdr:to>
      <xdr:col>5</xdr:col>
      <xdr:colOff>821325</xdr:colOff>
      <xdr:row>28</xdr:row>
      <xdr:rowOff>114300</xdr:rowOff>
    </xdr:to>
    <xdr:sp macro="" textlink="">
      <xdr:nvSpPr>
        <xdr:cNvPr id="20" name="Rectangle: Rounded Corners 19">
          <a:extLst>
            <a:ext uri="{FF2B5EF4-FFF2-40B4-BE49-F238E27FC236}">
              <a16:creationId xmlns:a16="http://schemas.microsoft.com/office/drawing/2014/main" id="{56137719-D6DD-33DA-DB19-02ACDCDAD4BB}"/>
            </a:ext>
          </a:extLst>
        </xdr:cNvPr>
        <xdr:cNvSpPr/>
      </xdr:nvSpPr>
      <xdr:spPr>
        <a:xfrm>
          <a:off x="112514" y="1534106"/>
          <a:ext cx="5785636" cy="3647494"/>
        </a:xfrm>
        <a:prstGeom prst="roundRect">
          <a:avLst>
            <a:gd name="adj" fmla="val 5612"/>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103012</xdr:colOff>
      <xdr:row>29</xdr:row>
      <xdr:rowOff>6341</xdr:rowOff>
    </xdr:from>
    <xdr:to>
      <xdr:col>5</xdr:col>
      <xdr:colOff>821337</xdr:colOff>
      <xdr:row>49</xdr:row>
      <xdr:rowOff>76200</xdr:rowOff>
    </xdr:to>
    <xdr:sp macro="" textlink="">
      <xdr:nvSpPr>
        <xdr:cNvPr id="21" name="Rectangle: Rounded Corners 20">
          <a:extLst>
            <a:ext uri="{FF2B5EF4-FFF2-40B4-BE49-F238E27FC236}">
              <a16:creationId xmlns:a16="http://schemas.microsoft.com/office/drawing/2014/main" id="{32B422D6-FAA3-08A5-2274-053A265510BE}"/>
            </a:ext>
          </a:extLst>
        </xdr:cNvPr>
        <xdr:cNvSpPr/>
      </xdr:nvSpPr>
      <xdr:spPr>
        <a:xfrm>
          <a:off x="103012" y="5254616"/>
          <a:ext cx="5795150" cy="3689359"/>
        </a:xfrm>
        <a:prstGeom prst="roundRect">
          <a:avLst>
            <a:gd name="adj" fmla="val 6137"/>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895283</xdr:colOff>
      <xdr:row>8</xdr:row>
      <xdr:rowOff>112430</xdr:rowOff>
    </xdr:from>
    <xdr:to>
      <xdr:col>7</xdr:col>
      <xdr:colOff>2185022</xdr:colOff>
      <xdr:row>28</xdr:row>
      <xdr:rowOff>123825</xdr:rowOff>
    </xdr:to>
    <xdr:sp macro="" textlink="">
      <xdr:nvSpPr>
        <xdr:cNvPr id="22" name="Rectangle: Rounded Corners 21">
          <a:extLst>
            <a:ext uri="{FF2B5EF4-FFF2-40B4-BE49-F238E27FC236}">
              <a16:creationId xmlns:a16="http://schemas.microsoft.com/office/drawing/2014/main" id="{836F85EA-BCDA-3FCA-4B5B-9225AA90E5A6}"/>
            </a:ext>
          </a:extLst>
        </xdr:cNvPr>
        <xdr:cNvSpPr/>
      </xdr:nvSpPr>
      <xdr:spPr>
        <a:xfrm>
          <a:off x="5972108" y="1560230"/>
          <a:ext cx="6004614" cy="3630895"/>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692570</xdr:colOff>
      <xdr:row>3</xdr:row>
      <xdr:rowOff>171635</xdr:rowOff>
    </xdr:from>
    <xdr:to>
      <xdr:col>4</xdr:col>
      <xdr:colOff>1597605</xdr:colOff>
      <xdr:row>8</xdr:row>
      <xdr:rowOff>22760</xdr:rowOff>
    </xdr:to>
    <xdr:sp macro="" textlink="">
      <xdr:nvSpPr>
        <xdr:cNvPr id="23" name="Rectangle: Rounded Corners 22">
          <a:extLst>
            <a:ext uri="{FF2B5EF4-FFF2-40B4-BE49-F238E27FC236}">
              <a16:creationId xmlns:a16="http://schemas.microsoft.com/office/drawing/2014/main" id="{EB25DE40-FCD6-742C-60E5-0C004D62992A}"/>
            </a:ext>
          </a:extLst>
        </xdr:cNvPr>
        <xdr:cNvSpPr/>
      </xdr:nvSpPr>
      <xdr:spPr>
        <a:xfrm>
          <a:off x="2521370" y="714560"/>
          <a:ext cx="2343310" cy="756000"/>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clientData/>
  </xdr:twoCellAnchor>
  <xdr:twoCellAnchor>
    <xdr:from>
      <xdr:col>0</xdr:col>
      <xdr:colOff>35003</xdr:colOff>
      <xdr:row>3</xdr:row>
      <xdr:rowOff>160116</xdr:rowOff>
    </xdr:from>
    <xdr:to>
      <xdr:col>3</xdr:col>
      <xdr:colOff>549513</xdr:colOff>
      <xdr:row>8</xdr:row>
      <xdr:rowOff>11241</xdr:rowOff>
    </xdr:to>
    <xdr:sp macro="" textlink="">
      <xdr:nvSpPr>
        <xdr:cNvPr id="24" name="Rectangle: Rounded Corners 23">
          <a:extLst>
            <a:ext uri="{FF2B5EF4-FFF2-40B4-BE49-F238E27FC236}">
              <a16:creationId xmlns:a16="http://schemas.microsoft.com/office/drawing/2014/main" id="{55FFE16F-4E3B-C1AB-6842-72D6879B6470}"/>
            </a:ext>
          </a:extLst>
        </xdr:cNvPr>
        <xdr:cNvSpPr/>
      </xdr:nvSpPr>
      <xdr:spPr>
        <a:xfrm>
          <a:off x="35003" y="703041"/>
          <a:ext cx="2343310" cy="756000"/>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clientData/>
  </xdr:twoCellAnchor>
  <xdr:twoCellAnchor>
    <xdr:from>
      <xdr:col>4</xdr:col>
      <xdr:colOff>1740662</xdr:colOff>
      <xdr:row>4</xdr:row>
      <xdr:rowOff>13701</xdr:rowOff>
    </xdr:from>
    <xdr:to>
      <xdr:col>5</xdr:col>
      <xdr:colOff>2274222</xdr:colOff>
      <xdr:row>8</xdr:row>
      <xdr:rowOff>45801</xdr:rowOff>
    </xdr:to>
    <xdr:sp macro="" textlink="">
      <xdr:nvSpPr>
        <xdr:cNvPr id="25" name="Rectangle: Rounded Corners 24">
          <a:extLst>
            <a:ext uri="{FF2B5EF4-FFF2-40B4-BE49-F238E27FC236}">
              <a16:creationId xmlns:a16="http://schemas.microsoft.com/office/drawing/2014/main" id="{6A908806-9381-DF1A-317F-251036A40DA8}"/>
            </a:ext>
          </a:extLst>
        </xdr:cNvPr>
        <xdr:cNvSpPr/>
      </xdr:nvSpPr>
      <xdr:spPr>
        <a:xfrm>
          <a:off x="5007737" y="737601"/>
          <a:ext cx="2343310" cy="756000"/>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clientData/>
  </xdr:twoCellAnchor>
  <xdr:twoCellAnchor>
    <xdr:from>
      <xdr:col>5</xdr:col>
      <xdr:colOff>2417278</xdr:colOff>
      <xdr:row>4</xdr:row>
      <xdr:rowOff>36742</xdr:rowOff>
    </xdr:from>
    <xdr:to>
      <xdr:col>7</xdr:col>
      <xdr:colOff>45713</xdr:colOff>
      <xdr:row>8</xdr:row>
      <xdr:rowOff>68842</xdr:rowOff>
    </xdr:to>
    <xdr:sp macro="" textlink="">
      <xdr:nvSpPr>
        <xdr:cNvPr id="26" name="Rectangle: Rounded Corners 25">
          <a:extLst>
            <a:ext uri="{FF2B5EF4-FFF2-40B4-BE49-F238E27FC236}">
              <a16:creationId xmlns:a16="http://schemas.microsoft.com/office/drawing/2014/main" id="{E0E98921-848D-D476-6864-0BA2CBAE337B}"/>
            </a:ext>
          </a:extLst>
        </xdr:cNvPr>
        <xdr:cNvSpPr/>
      </xdr:nvSpPr>
      <xdr:spPr>
        <a:xfrm>
          <a:off x="7494103" y="760642"/>
          <a:ext cx="2343310" cy="756000"/>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clientData/>
  </xdr:twoCellAnchor>
  <xdr:twoCellAnchor>
    <xdr:from>
      <xdr:col>7</xdr:col>
      <xdr:colOff>188770</xdr:colOff>
      <xdr:row>4</xdr:row>
      <xdr:rowOff>25221</xdr:rowOff>
    </xdr:from>
    <xdr:to>
      <xdr:col>7</xdr:col>
      <xdr:colOff>2799133</xdr:colOff>
      <xdr:row>8</xdr:row>
      <xdr:rowOff>57321</xdr:rowOff>
    </xdr:to>
    <xdr:sp macro="" textlink="">
      <xdr:nvSpPr>
        <xdr:cNvPr id="27" name="Rectangle: Rounded Corners 26">
          <a:extLst>
            <a:ext uri="{FF2B5EF4-FFF2-40B4-BE49-F238E27FC236}">
              <a16:creationId xmlns:a16="http://schemas.microsoft.com/office/drawing/2014/main" id="{FC46A019-18A6-86EE-4ECB-6E80859EBF77}"/>
            </a:ext>
          </a:extLst>
        </xdr:cNvPr>
        <xdr:cNvSpPr/>
      </xdr:nvSpPr>
      <xdr:spPr>
        <a:xfrm>
          <a:off x="9980470" y="749121"/>
          <a:ext cx="2610363" cy="756000"/>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clientData/>
  </xdr:twoCellAnchor>
  <xdr:twoCellAnchor>
    <xdr:from>
      <xdr:col>7</xdr:col>
      <xdr:colOff>2942189</xdr:colOff>
      <xdr:row>4</xdr:row>
      <xdr:rowOff>14850</xdr:rowOff>
    </xdr:from>
    <xdr:to>
      <xdr:col>9</xdr:col>
      <xdr:colOff>408699</xdr:colOff>
      <xdr:row>8</xdr:row>
      <xdr:rowOff>46950</xdr:rowOff>
    </xdr:to>
    <xdr:sp macro="" textlink="">
      <xdr:nvSpPr>
        <xdr:cNvPr id="28" name="Rectangle: Rounded Corners 27">
          <a:extLst>
            <a:ext uri="{FF2B5EF4-FFF2-40B4-BE49-F238E27FC236}">
              <a16:creationId xmlns:a16="http://schemas.microsoft.com/office/drawing/2014/main" id="{D28D691D-74C4-9502-D5C1-B752F0C8F4E5}"/>
            </a:ext>
          </a:extLst>
        </xdr:cNvPr>
        <xdr:cNvSpPr/>
      </xdr:nvSpPr>
      <xdr:spPr>
        <a:xfrm>
          <a:off x="12733889" y="738750"/>
          <a:ext cx="2343310" cy="756000"/>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clientData/>
  </xdr:twoCellAnchor>
  <xdr:twoCellAnchor>
    <xdr:from>
      <xdr:col>9</xdr:col>
      <xdr:colOff>551756</xdr:colOff>
      <xdr:row>4</xdr:row>
      <xdr:rowOff>2181</xdr:rowOff>
    </xdr:from>
    <xdr:to>
      <xdr:col>14</xdr:col>
      <xdr:colOff>28298</xdr:colOff>
      <xdr:row>8</xdr:row>
      <xdr:rowOff>34281</xdr:rowOff>
    </xdr:to>
    <xdr:sp macro="" textlink="">
      <xdr:nvSpPr>
        <xdr:cNvPr id="29" name="Rectangle: Rounded Corners 28">
          <a:extLst>
            <a:ext uri="{FF2B5EF4-FFF2-40B4-BE49-F238E27FC236}">
              <a16:creationId xmlns:a16="http://schemas.microsoft.com/office/drawing/2014/main" id="{8A81B7EB-E94A-AC19-24F5-750305F93853}"/>
            </a:ext>
          </a:extLst>
        </xdr:cNvPr>
        <xdr:cNvSpPr/>
      </xdr:nvSpPr>
      <xdr:spPr>
        <a:xfrm>
          <a:off x="15220256" y="726081"/>
          <a:ext cx="2524542" cy="756000"/>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clientData/>
  </xdr:twoCellAnchor>
  <xdr:twoCellAnchor>
    <xdr:from>
      <xdr:col>5</xdr:col>
      <xdr:colOff>868881</xdr:colOff>
      <xdr:row>29</xdr:row>
      <xdr:rowOff>11811</xdr:rowOff>
    </xdr:from>
    <xdr:to>
      <xdr:col>7</xdr:col>
      <xdr:colOff>2204463</xdr:colOff>
      <xdr:row>49</xdr:row>
      <xdr:rowOff>119609</xdr:rowOff>
    </xdr:to>
    <xdr:sp macro="" textlink="">
      <xdr:nvSpPr>
        <xdr:cNvPr id="30" name="Rectangle: Rounded Corners 29">
          <a:extLst>
            <a:ext uri="{FF2B5EF4-FFF2-40B4-BE49-F238E27FC236}">
              <a16:creationId xmlns:a16="http://schemas.microsoft.com/office/drawing/2014/main" id="{C6F6DC4F-2C68-7383-208C-58CF95CD016E}"/>
            </a:ext>
          </a:extLst>
        </xdr:cNvPr>
        <xdr:cNvSpPr/>
      </xdr:nvSpPr>
      <xdr:spPr>
        <a:xfrm>
          <a:off x="5945706" y="5260086"/>
          <a:ext cx="6050457" cy="3727298"/>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2271067</xdr:colOff>
      <xdr:row>28</xdr:row>
      <xdr:rowOff>163565</xdr:rowOff>
    </xdr:from>
    <xdr:to>
      <xdr:col>13</xdr:col>
      <xdr:colOff>539921</xdr:colOff>
      <xdr:row>49</xdr:row>
      <xdr:rowOff>100557</xdr:rowOff>
    </xdr:to>
    <xdr:sp macro="" textlink="">
      <xdr:nvSpPr>
        <xdr:cNvPr id="31" name="Rectangle: Rounded Corners 30">
          <a:extLst>
            <a:ext uri="{FF2B5EF4-FFF2-40B4-BE49-F238E27FC236}">
              <a16:creationId xmlns:a16="http://schemas.microsoft.com/office/drawing/2014/main" id="{1BD8CC45-FB98-5761-C7C6-7F388B1FF996}"/>
            </a:ext>
          </a:extLst>
        </xdr:cNvPr>
        <xdr:cNvSpPr/>
      </xdr:nvSpPr>
      <xdr:spPr>
        <a:xfrm>
          <a:off x="12062767" y="5230865"/>
          <a:ext cx="5584054" cy="3737467"/>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158963</xdr:colOff>
      <xdr:row>3</xdr:row>
      <xdr:rowOff>171732</xdr:rowOff>
    </xdr:from>
    <xdr:to>
      <xdr:col>3</xdr:col>
      <xdr:colOff>495397</xdr:colOff>
      <xdr:row>5</xdr:row>
      <xdr:rowOff>148648</xdr:rowOff>
    </xdr:to>
    <xdr:sp macro="" textlink="">
      <xdr:nvSpPr>
        <xdr:cNvPr id="39" name="TextBox 38">
          <a:extLst>
            <a:ext uri="{FF2B5EF4-FFF2-40B4-BE49-F238E27FC236}">
              <a16:creationId xmlns:a16="http://schemas.microsoft.com/office/drawing/2014/main" id="{E600A744-1EE5-2571-79A4-2AC901CB97AE}"/>
            </a:ext>
          </a:extLst>
        </xdr:cNvPr>
        <xdr:cNvSpPr txBox="1"/>
      </xdr:nvSpPr>
      <xdr:spPr>
        <a:xfrm>
          <a:off x="158963" y="714657"/>
          <a:ext cx="2165234" cy="338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Lato Black" panose="020F0A02020204030203" pitchFamily="34" charset="0"/>
            </a:rPr>
            <a:t>TOTAL HRP </a:t>
          </a:r>
        </a:p>
      </xdr:txBody>
    </xdr:sp>
    <xdr:clientData/>
  </xdr:twoCellAnchor>
  <xdr:twoCellAnchor>
    <xdr:from>
      <xdr:col>5</xdr:col>
      <xdr:colOff>2651756</xdr:colOff>
      <xdr:row>4</xdr:row>
      <xdr:rowOff>45314</xdr:rowOff>
    </xdr:from>
    <xdr:to>
      <xdr:col>7</xdr:col>
      <xdr:colOff>102115</xdr:colOff>
      <xdr:row>6</xdr:row>
      <xdr:rowOff>10935</xdr:rowOff>
    </xdr:to>
    <xdr:sp macro="" textlink="">
      <xdr:nvSpPr>
        <xdr:cNvPr id="40" name="TextBox 39">
          <a:extLst>
            <a:ext uri="{FF2B5EF4-FFF2-40B4-BE49-F238E27FC236}">
              <a16:creationId xmlns:a16="http://schemas.microsoft.com/office/drawing/2014/main" id="{E6AE9D3A-95CD-A55B-B19C-CEEAF661DAC4}"/>
            </a:ext>
          </a:extLst>
        </xdr:cNvPr>
        <xdr:cNvSpPr txBox="1"/>
      </xdr:nvSpPr>
      <xdr:spPr>
        <a:xfrm>
          <a:off x="7728581" y="769214"/>
          <a:ext cx="2165234" cy="327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Lato Black" panose="020F0A02020204030203" pitchFamily="34" charset="0"/>
            </a:rPr>
            <a:t>TOTAL NEONATAL DEATH</a:t>
          </a:r>
        </a:p>
      </xdr:txBody>
    </xdr:sp>
    <xdr:clientData/>
  </xdr:twoCellAnchor>
  <xdr:twoCellAnchor>
    <xdr:from>
      <xdr:col>7</xdr:col>
      <xdr:colOff>416885</xdr:colOff>
      <xdr:row>4</xdr:row>
      <xdr:rowOff>39156</xdr:rowOff>
    </xdr:from>
    <xdr:to>
      <xdr:col>7</xdr:col>
      <xdr:colOff>2582119</xdr:colOff>
      <xdr:row>5</xdr:row>
      <xdr:rowOff>174455</xdr:rowOff>
    </xdr:to>
    <xdr:sp macro="" textlink="">
      <xdr:nvSpPr>
        <xdr:cNvPr id="41" name="TextBox 40">
          <a:extLst>
            <a:ext uri="{FF2B5EF4-FFF2-40B4-BE49-F238E27FC236}">
              <a16:creationId xmlns:a16="http://schemas.microsoft.com/office/drawing/2014/main" id="{F40CA4F3-B0ED-C69A-E48B-18ED70D23FE5}"/>
            </a:ext>
          </a:extLst>
        </xdr:cNvPr>
        <xdr:cNvSpPr txBox="1"/>
      </xdr:nvSpPr>
      <xdr:spPr>
        <a:xfrm>
          <a:off x="10208585" y="763056"/>
          <a:ext cx="2165234" cy="316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prstClr val="black"/>
              </a:solidFill>
              <a:effectLst/>
              <a:uLnTx/>
              <a:uFillTx/>
              <a:latin typeface="Lato Black" panose="020F0A02020204030203" pitchFamily="34" charset="0"/>
              <a:ea typeface="+mn-ea"/>
              <a:cs typeface="+mn-cs"/>
            </a:rPr>
            <a:t>TOTAL INFANT DEATH</a:t>
          </a:r>
        </a:p>
        <a:p>
          <a:endParaRPr lang="en-IN" sz="1100"/>
        </a:p>
      </xdr:txBody>
    </xdr:sp>
    <xdr:clientData/>
  </xdr:twoCellAnchor>
  <xdr:twoCellAnchor>
    <xdr:from>
      <xdr:col>7</xdr:col>
      <xdr:colOff>3020586</xdr:colOff>
      <xdr:row>4</xdr:row>
      <xdr:rowOff>28179</xdr:rowOff>
    </xdr:from>
    <xdr:to>
      <xdr:col>9</xdr:col>
      <xdr:colOff>309020</xdr:colOff>
      <xdr:row>5</xdr:row>
      <xdr:rowOff>163479</xdr:rowOff>
    </xdr:to>
    <xdr:sp macro="" textlink="">
      <xdr:nvSpPr>
        <xdr:cNvPr id="42" name="TextBox 41">
          <a:extLst>
            <a:ext uri="{FF2B5EF4-FFF2-40B4-BE49-F238E27FC236}">
              <a16:creationId xmlns:a16="http://schemas.microsoft.com/office/drawing/2014/main" id="{14D2C2BA-4D22-BBB3-F7F1-8ADDB31ABF71}"/>
            </a:ext>
          </a:extLst>
        </xdr:cNvPr>
        <xdr:cNvSpPr txBox="1"/>
      </xdr:nvSpPr>
      <xdr:spPr>
        <a:xfrm>
          <a:off x="12812286" y="752079"/>
          <a:ext cx="2165234" cy="3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Lato Black" panose="020F0A02020204030203" pitchFamily="34" charset="0"/>
            </a:rPr>
            <a:t>TOTAL PREVENTIVE CASES</a:t>
          </a:r>
        </a:p>
      </xdr:txBody>
    </xdr:sp>
    <xdr:clientData/>
  </xdr:twoCellAnchor>
  <xdr:twoCellAnchor>
    <xdr:from>
      <xdr:col>9</xdr:col>
      <xdr:colOff>509369</xdr:colOff>
      <xdr:row>4</xdr:row>
      <xdr:rowOff>16884</xdr:rowOff>
    </xdr:from>
    <xdr:to>
      <xdr:col>14</xdr:col>
      <xdr:colOff>84450</xdr:colOff>
      <xdr:row>6</xdr:row>
      <xdr:rowOff>5096</xdr:rowOff>
    </xdr:to>
    <xdr:sp macro="" textlink="">
      <xdr:nvSpPr>
        <xdr:cNvPr id="43" name="TextBox 42">
          <a:extLst>
            <a:ext uri="{FF2B5EF4-FFF2-40B4-BE49-F238E27FC236}">
              <a16:creationId xmlns:a16="http://schemas.microsoft.com/office/drawing/2014/main" id="{E26D982B-F4BC-D7A0-8813-AF0A26D0E508}"/>
            </a:ext>
          </a:extLst>
        </xdr:cNvPr>
        <xdr:cNvSpPr txBox="1"/>
      </xdr:nvSpPr>
      <xdr:spPr>
        <a:xfrm>
          <a:off x="15177869" y="740784"/>
          <a:ext cx="2623081" cy="350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Lato Black" panose="020F0A02020204030203" pitchFamily="34" charset="0"/>
            </a:rPr>
            <a:t>TOTAL NON-PREVENTIVE</a:t>
          </a:r>
          <a:r>
            <a:rPr lang="en-IN" sz="1200" baseline="0">
              <a:latin typeface="Lato Black" panose="020F0A02020204030203" pitchFamily="34" charset="0"/>
            </a:rPr>
            <a:t> CASES</a:t>
          </a:r>
          <a:endParaRPr lang="en-IN" sz="1200">
            <a:latin typeface="Lato Black" panose="020F0A02020204030203" pitchFamily="34" charset="0"/>
          </a:endParaRPr>
        </a:p>
      </xdr:txBody>
    </xdr:sp>
    <xdr:clientData/>
  </xdr:twoCellAnchor>
  <xdr:twoCellAnchor>
    <xdr:from>
      <xdr:col>3</xdr:col>
      <xdr:colOff>808669</xdr:colOff>
      <xdr:row>3</xdr:row>
      <xdr:rowOff>180404</xdr:rowOff>
    </xdr:from>
    <xdr:to>
      <xdr:col>4</xdr:col>
      <xdr:colOff>1535628</xdr:colOff>
      <xdr:row>5</xdr:row>
      <xdr:rowOff>146024</xdr:rowOff>
    </xdr:to>
    <xdr:sp macro="" textlink="">
      <xdr:nvSpPr>
        <xdr:cNvPr id="44" name="TextBox 43">
          <a:extLst>
            <a:ext uri="{FF2B5EF4-FFF2-40B4-BE49-F238E27FC236}">
              <a16:creationId xmlns:a16="http://schemas.microsoft.com/office/drawing/2014/main" id="{F089AFA5-A48E-D1C7-ABF2-093F09F345C3}"/>
            </a:ext>
          </a:extLst>
        </xdr:cNvPr>
        <xdr:cNvSpPr txBox="1"/>
      </xdr:nvSpPr>
      <xdr:spPr>
        <a:xfrm>
          <a:off x="2637469" y="723329"/>
          <a:ext cx="2165234" cy="327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Lato Black" panose="020F0A02020204030203" pitchFamily="34" charset="0"/>
            </a:rPr>
            <a:t>TOTAL LSCS DELIVARY</a:t>
          </a:r>
        </a:p>
      </xdr:txBody>
    </xdr:sp>
    <xdr:clientData/>
  </xdr:twoCellAnchor>
  <xdr:twoCellAnchor>
    <xdr:from>
      <xdr:col>5</xdr:col>
      <xdr:colOff>12081</xdr:colOff>
      <xdr:row>4</xdr:row>
      <xdr:rowOff>6551</xdr:rowOff>
    </xdr:from>
    <xdr:to>
      <xdr:col>5</xdr:col>
      <xdr:colOff>2339470</xdr:colOff>
      <xdr:row>5</xdr:row>
      <xdr:rowOff>164442</xdr:rowOff>
    </xdr:to>
    <xdr:sp macro="" textlink="">
      <xdr:nvSpPr>
        <xdr:cNvPr id="45" name="TextBox 44">
          <a:extLst>
            <a:ext uri="{FF2B5EF4-FFF2-40B4-BE49-F238E27FC236}">
              <a16:creationId xmlns:a16="http://schemas.microsoft.com/office/drawing/2014/main" id="{F7F90A86-76A7-6C73-CD72-FCD0A0BE7732}"/>
            </a:ext>
          </a:extLst>
        </xdr:cNvPr>
        <xdr:cNvSpPr txBox="1"/>
      </xdr:nvSpPr>
      <xdr:spPr>
        <a:xfrm>
          <a:off x="5088906" y="730451"/>
          <a:ext cx="2327389" cy="338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solidFill>
                <a:schemeClr val="dk1"/>
              </a:solidFill>
              <a:effectLst/>
              <a:latin typeface="Lato Black" panose="020F0A02020204030203" pitchFamily="34" charset="0"/>
              <a:ea typeface="+mn-ea"/>
              <a:cs typeface="+mn-cs"/>
            </a:rPr>
            <a:t>TOTAL NORMAL DELIVARY</a:t>
          </a:r>
          <a:endParaRPr lang="en-IN" sz="1200">
            <a:effectLst/>
            <a:latin typeface="Lato Black" panose="020F0A02020204030203" pitchFamily="34" charset="0"/>
          </a:endParaRPr>
        </a:p>
        <a:p>
          <a:endParaRPr lang="en-IN" sz="1100"/>
        </a:p>
      </xdr:txBody>
    </xdr:sp>
    <xdr:clientData/>
  </xdr:twoCellAnchor>
  <xdr:twoCellAnchor>
    <xdr:from>
      <xdr:col>0</xdr:col>
      <xdr:colOff>521480</xdr:colOff>
      <xdr:row>5</xdr:row>
      <xdr:rowOff>26258</xdr:rowOff>
    </xdr:from>
    <xdr:to>
      <xdr:col>2</xdr:col>
      <xdr:colOff>513665</xdr:colOff>
      <xdr:row>7</xdr:row>
      <xdr:rowOff>172609</xdr:rowOff>
    </xdr:to>
    <xdr:sp macro="" textlink="'District pivot'!B9">
      <xdr:nvSpPr>
        <xdr:cNvPr id="47" name="TextBox 46">
          <a:extLst>
            <a:ext uri="{FF2B5EF4-FFF2-40B4-BE49-F238E27FC236}">
              <a16:creationId xmlns:a16="http://schemas.microsoft.com/office/drawing/2014/main" id="{4F441472-B1BB-F1D8-555F-69F1C1ACF10C}"/>
            </a:ext>
          </a:extLst>
        </xdr:cNvPr>
        <xdr:cNvSpPr txBox="1"/>
      </xdr:nvSpPr>
      <xdr:spPr>
        <a:xfrm>
          <a:off x="521480" y="931133"/>
          <a:ext cx="1211385" cy="508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DA9CF1-8DE3-44BB-A586-361F378E0B6B}" type="TxLink">
            <a:rPr lang="en-US" sz="3200" b="0" i="0" u="none" strike="noStrike">
              <a:solidFill>
                <a:srgbClr val="000000"/>
              </a:solidFill>
              <a:latin typeface="Lato Black" panose="020F0A02020204030203" pitchFamily="34" charset="0"/>
              <a:ea typeface="Calibri"/>
              <a:cs typeface="Calibri"/>
            </a:rPr>
            <a:pPr algn="ctr"/>
            <a:t>43</a:t>
          </a:fld>
          <a:endParaRPr lang="en-IN" sz="3200" b="1">
            <a:solidFill>
              <a:sysClr val="windowText" lastClr="000000"/>
            </a:solidFill>
            <a:latin typeface="Lato Black" panose="020F0A02020204030203" pitchFamily="34" charset="0"/>
          </a:endParaRPr>
        </a:p>
      </xdr:txBody>
    </xdr:sp>
    <xdr:clientData/>
  </xdr:twoCellAnchor>
  <xdr:twoCellAnchor>
    <xdr:from>
      <xdr:col>5</xdr:col>
      <xdr:colOff>3095351</xdr:colOff>
      <xdr:row>5</xdr:row>
      <xdr:rowOff>74721</xdr:rowOff>
    </xdr:from>
    <xdr:to>
      <xdr:col>6</xdr:col>
      <xdr:colOff>858686</xdr:colOff>
      <xdr:row>8</xdr:row>
      <xdr:rowOff>40097</xdr:rowOff>
    </xdr:to>
    <xdr:sp macro="" textlink="'District pivot'!M9">
      <xdr:nvSpPr>
        <xdr:cNvPr id="48" name="TextBox 47">
          <a:extLst>
            <a:ext uri="{FF2B5EF4-FFF2-40B4-BE49-F238E27FC236}">
              <a16:creationId xmlns:a16="http://schemas.microsoft.com/office/drawing/2014/main" id="{EB684C44-6C76-2E5B-85C4-7094D48BE5DF}"/>
            </a:ext>
          </a:extLst>
        </xdr:cNvPr>
        <xdr:cNvSpPr txBox="1"/>
      </xdr:nvSpPr>
      <xdr:spPr>
        <a:xfrm>
          <a:off x="8172176" y="979596"/>
          <a:ext cx="1211385" cy="508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34F5A1-B0B8-4620-B9BF-2F8F38453F1E}" type="TxLink">
            <a:rPr lang="en-US" sz="3200" b="0" i="0" u="none" strike="noStrike">
              <a:solidFill>
                <a:srgbClr val="000000"/>
              </a:solidFill>
              <a:latin typeface="Lato Black" panose="020F0A02020204030203" pitchFamily="34" charset="0"/>
              <a:ea typeface="Calibri"/>
              <a:cs typeface="Calibri"/>
            </a:rPr>
            <a:pPr algn="ctr"/>
            <a:t>46</a:t>
          </a:fld>
          <a:endParaRPr lang="en-IN" sz="3200" b="1">
            <a:solidFill>
              <a:sysClr val="windowText" lastClr="000000"/>
            </a:solidFill>
            <a:latin typeface="Lato Black" panose="020F0A02020204030203" pitchFamily="34" charset="0"/>
          </a:endParaRPr>
        </a:p>
      </xdr:txBody>
    </xdr:sp>
    <xdr:clientData/>
  </xdr:twoCellAnchor>
  <xdr:twoCellAnchor>
    <xdr:from>
      <xdr:col>7</xdr:col>
      <xdr:colOff>884326</xdr:colOff>
      <xdr:row>5</xdr:row>
      <xdr:rowOff>34092</xdr:rowOff>
    </xdr:from>
    <xdr:to>
      <xdr:col>7</xdr:col>
      <xdr:colOff>2095711</xdr:colOff>
      <xdr:row>7</xdr:row>
      <xdr:rowOff>180443</xdr:rowOff>
    </xdr:to>
    <xdr:sp macro="" textlink="'District pivot'!L9">
      <xdr:nvSpPr>
        <xdr:cNvPr id="49" name="TextBox 48">
          <a:extLst>
            <a:ext uri="{FF2B5EF4-FFF2-40B4-BE49-F238E27FC236}">
              <a16:creationId xmlns:a16="http://schemas.microsoft.com/office/drawing/2014/main" id="{127CE257-971B-5CF3-9716-0C9BD1F3E1AF}"/>
            </a:ext>
          </a:extLst>
        </xdr:cNvPr>
        <xdr:cNvSpPr txBox="1"/>
      </xdr:nvSpPr>
      <xdr:spPr>
        <a:xfrm>
          <a:off x="10676026" y="938967"/>
          <a:ext cx="1211385" cy="508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BC2C40-6646-466F-9E93-26191D0558F5}" type="TxLink">
            <a:rPr lang="en-US" sz="3200" b="0" i="0" u="none" strike="noStrike">
              <a:solidFill>
                <a:srgbClr val="000000"/>
              </a:solidFill>
              <a:latin typeface="Lato Black" panose="020F0A02020204030203" pitchFamily="34" charset="0"/>
              <a:ea typeface="Calibri"/>
              <a:cs typeface="Calibri"/>
            </a:rPr>
            <a:pPr algn="ctr"/>
            <a:t>27</a:t>
          </a:fld>
          <a:endParaRPr lang="en-IN" sz="3200" b="1">
            <a:solidFill>
              <a:sysClr val="windowText" lastClr="000000"/>
            </a:solidFill>
            <a:latin typeface="Lato Black" panose="020F0A02020204030203" pitchFamily="34" charset="0"/>
          </a:endParaRPr>
        </a:p>
      </xdr:txBody>
    </xdr:sp>
    <xdr:clientData/>
  </xdr:twoCellAnchor>
  <xdr:twoCellAnchor>
    <xdr:from>
      <xdr:col>7</xdr:col>
      <xdr:colOff>3454684</xdr:colOff>
      <xdr:row>5</xdr:row>
      <xdr:rowOff>26871</xdr:rowOff>
    </xdr:from>
    <xdr:to>
      <xdr:col>8</xdr:col>
      <xdr:colOff>1179919</xdr:colOff>
      <xdr:row>7</xdr:row>
      <xdr:rowOff>173222</xdr:rowOff>
    </xdr:to>
    <xdr:sp macro="" textlink="'District pivot'!R9">
      <xdr:nvSpPr>
        <xdr:cNvPr id="50" name="TextBox 49">
          <a:extLst>
            <a:ext uri="{FF2B5EF4-FFF2-40B4-BE49-F238E27FC236}">
              <a16:creationId xmlns:a16="http://schemas.microsoft.com/office/drawing/2014/main" id="{CDF73898-49E5-5DA1-5EF5-CB6A929DE374}"/>
            </a:ext>
          </a:extLst>
        </xdr:cNvPr>
        <xdr:cNvSpPr txBox="1"/>
      </xdr:nvSpPr>
      <xdr:spPr>
        <a:xfrm>
          <a:off x="13246384" y="931746"/>
          <a:ext cx="1211385" cy="508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70AFDC-1DB8-4042-B6C5-5D0EFEDD9114}" type="TxLink">
            <a:rPr lang="en-US" sz="3200" b="0" i="0" u="none" strike="noStrike">
              <a:solidFill>
                <a:srgbClr val="000000"/>
              </a:solidFill>
              <a:latin typeface="Lato Black" panose="020F0A02020204030203" pitchFamily="34" charset="0"/>
              <a:ea typeface="Calibri"/>
              <a:cs typeface="Calibri"/>
            </a:rPr>
            <a:pPr algn="ctr"/>
            <a:t>22</a:t>
          </a:fld>
          <a:endParaRPr lang="en-IN" sz="3200">
            <a:solidFill>
              <a:sysClr val="windowText" lastClr="000000"/>
            </a:solidFill>
            <a:latin typeface="Lato Black" panose="020F0A02020204030203" pitchFamily="34" charset="0"/>
          </a:endParaRPr>
        </a:p>
      </xdr:txBody>
    </xdr:sp>
    <xdr:clientData/>
  </xdr:twoCellAnchor>
  <xdr:twoCellAnchor>
    <xdr:from>
      <xdr:col>10</xdr:col>
      <xdr:colOff>586595</xdr:colOff>
      <xdr:row>5</xdr:row>
      <xdr:rowOff>41925</xdr:rowOff>
    </xdr:from>
    <xdr:to>
      <xdr:col>12</xdr:col>
      <xdr:colOff>578780</xdr:colOff>
      <xdr:row>8</xdr:row>
      <xdr:rowOff>7301</xdr:rowOff>
    </xdr:to>
    <xdr:sp macro="" textlink="'District pivot'!Q9">
      <xdr:nvSpPr>
        <xdr:cNvPr id="51" name="TextBox 50">
          <a:extLst>
            <a:ext uri="{FF2B5EF4-FFF2-40B4-BE49-F238E27FC236}">
              <a16:creationId xmlns:a16="http://schemas.microsoft.com/office/drawing/2014/main" id="{D11D79B7-4ED8-2FC2-A9FC-12301C72AA7E}"/>
            </a:ext>
          </a:extLst>
        </xdr:cNvPr>
        <xdr:cNvSpPr txBox="1"/>
      </xdr:nvSpPr>
      <xdr:spPr>
        <a:xfrm>
          <a:off x="15864695" y="946800"/>
          <a:ext cx="1211385" cy="508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DCB63C-4799-4A10-848F-3EE674F60C26}" type="TxLink">
            <a:rPr lang="en-US" sz="3200" b="0" i="0" u="none" strike="noStrike">
              <a:solidFill>
                <a:srgbClr val="000000"/>
              </a:solidFill>
              <a:latin typeface="Lato Black" panose="020F0A02020204030203" pitchFamily="34" charset="0"/>
              <a:ea typeface="Calibri"/>
              <a:cs typeface="Calibri"/>
            </a:rPr>
            <a:pPr algn="ctr"/>
            <a:t>51</a:t>
          </a:fld>
          <a:endParaRPr lang="en-IN" sz="3200">
            <a:solidFill>
              <a:sysClr val="windowText" lastClr="000000"/>
            </a:solidFill>
            <a:latin typeface="Lato Black" panose="020F0A02020204030203" pitchFamily="34" charset="0"/>
          </a:endParaRPr>
        </a:p>
      </xdr:txBody>
    </xdr:sp>
    <xdr:clientData/>
  </xdr:twoCellAnchor>
  <xdr:twoCellAnchor>
    <xdr:from>
      <xdr:col>3</xdr:col>
      <xdr:colOff>1233187</xdr:colOff>
      <xdr:row>5</xdr:row>
      <xdr:rowOff>16350</xdr:rowOff>
    </xdr:from>
    <xdr:to>
      <xdr:col>4</xdr:col>
      <xdr:colOff>1006297</xdr:colOff>
      <xdr:row>7</xdr:row>
      <xdr:rowOff>162701</xdr:rowOff>
    </xdr:to>
    <xdr:sp macro="" textlink="'District pivot'!F9">
      <xdr:nvSpPr>
        <xdr:cNvPr id="52" name="TextBox 51">
          <a:extLst>
            <a:ext uri="{FF2B5EF4-FFF2-40B4-BE49-F238E27FC236}">
              <a16:creationId xmlns:a16="http://schemas.microsoft.com/office/drawing/2014/main" id="{2A8ADC57-9627-2252-FDA8-B1EADE14A2B2}"/>
            </a:ext>
          </a:extLst>
        </xdr:cNvPr>
        <xdr:cNvSpPr txBox="1"/>
      </xdr:nvSpPr>
      <xdr:spPr>
        <a:xfrm>
          <a:off x="3061987" y="921225"/>
          <a:ext cx="1211385" cy="508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93F00C-42C9-4BE8-9274-7E670266EFC4}" type="TxLink">
            <a:rPr lang="en-US" sz="3200" b="0" i="0" u="none" strike="noStrike">
              <a:solidFill>
                <a:srgbClr val="000000"/>
              </a:solidFill>
              <a:latin typeface="Lato Black" panose="020F0A02020204030203" pitchFamily="34" charset="0"/>
              <a:ea typeface="Calibri"/>
              <a:cs typeface="Calibri"/>
            </a:rPr>
            <a:pPr algn="ctr"/>
            <a:t>45</a:t>
          </a:fld>
          <a:endParaRPr lang="en-IN" sz="3200">
            <a:solidFill>
              <a:sysClr val="windowText" lastClr="000000"/>
            </a:solidFill>
            <a:latin typeface="Lato Black" panose="020F0A02020204030203" pitchFamily="34" charset="0"/>
          </a:endParaRPr>
        </a:p>
      </xdr:txBody>
    </xdr:sp>
    <xdr:clientData/>
  </xdr:twoCellAnchor>
  <xdr:twoCellAnchor>
    <xdr:from>
      <xdr:col>5</xdr:col>
      <xdr:colOff>555804</xdr:colOff>
      <xdr:row>5</xdr:row>
      <xdr:rowOff>23567</xdr:rowOff>
    </xdr:from>
    <xdr:to>
      <xdr:col>5</xdr:col>
      <xdr:colOff>1767189</xdr:colOff>
      <xdr:row>7</xdr:row>
      <xdr:rowOff>169918</xdr:rowOff>
    </xdr:to>
    <xdr:sp macro="" textlink="'District pivot'!G9">
      <xdr:nvSpPr>
        <xdr:cNvPr id="53" name="TextBox 52">
          <a:extLst>
            <a:ext uri="{FF2B5EF4-FFF2-40B4-BE49-F238E27FC236}">
              <a16:creationId xmlns:a16="http://schemas.microsoft.com/office/drawing/2014/main" id="{A9CB31F4-E01C-4D2D-B8CD-98E57AA40CBF}"/>
            </a:ext>
          </a:extLst>
        </xdr:cNvPr>
        <xdr:cNvSpPr txBox="1"/>
      </xdr:nvSpPr>
      <xdr:spPr>
        <a:xfrm>
          <a:off x="5632629" y="928442"/>
          <a:ext cx="1211385" cy="508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7913E6-EF58-412A-B080-751A6A74F109}" type="TxLink">
            <a:rPr lang="en-US" sz="3200" b="0" i="0" u="none" strike="noStrike">
              <a:solidFill>
                <a:srgbClr val="000000"/>
              </a:solidFill>
              <a:latin typeface="Lato Black" panose="020F0A02020204030203" pitchFamily="34" charset="0"/>
              <a:ea typeface="Calibri"/>
              <a:cs typeface="Calibri"/>
            </a:rPr>
            <a:pPr algn="ctr"/>
            <a:t>28</a:t>
          </a:fld>
          <a:endParaRPr lang="en-IN" sz="3200">
            <a:solidFill>
              <a:sysClr val="windowText" lastClr="000000"/>
            </a:solidFill>
            <a:latin typeface="Lato Black" panose="020F0A02020204030203" pitchFamily="34" charset="0"/>
          </a:endParaRPr>
        </a:p>
      </xdr:txBody>
    </xdr:sp>
    <xdr:clientData/>
  </xdr:twoCellAnchor>
  <xdr:twoCellAnchor>
    <xdr:from>
      <xdr:col>0</xdr:col>
      <xdr:colOff>66675</xdr:colOff>
      <xdr:row>71</xdr:row>
      <xdr:rowOff>20317</xdr:rowOff>
    </xdr:from>
    <xdr:to>
      <xdr:col>14</xdr:col>
      <xdr:colOff>15131</xdr:colOff>
      <xdr:row>109</xdr:row>
      <xdr:rowOff>38100</xdr:rowOff>
    </xdr:to>
    <xdr:grpSp>
      <xdr:nvGrpSpPr>
        <xdr:cNvPr id="11" name="Group 10">
          <a:extLst>
            <a:ext uri="{FF2B5EF4-FFF2-40B4-BE49-F238E27FC236}">
              <a16:creationId xmlns:a16="http://schemas.microsoft.com/office/drawing/2014/main" id="{51F0DC90-0B1E-A1C6-EB67-4363B7799D76}"/>
            </a:ext>
          </a:extLst>
        </xdr:cNvPr>
        <xdr:cNvGrpSpPr/>
      </xdr:nvGrpSpPr>
      <xdr:grpSpPr>
        <a:xfrm>
          <a:off x="66675" y="15967233"/>
          <a:ext cx="17658070" cy="6995132"/>
          <a:chOff x="66675" y="15003142"/>
          <a:chExt cx="17664956" cy="6894833"/>
        </a:xfrm>
      </xdr:grpSpPr>
      <xdr:sp macro="" textlink="">
        <xdr:nvSpPr>
          <xdr:cNvPr id="46" name="Rectangle: Rounded Corners 45">
            <a:extLst>
              <a:ext uri="{FF2B5EF4-FFF2-40B4-BE49-F238E27FC236}">
                <a16:creationId xmlns:a16="http://schemas.microsoft.com/office/drawing/2014/main" id="{CDA4CC97-194F-4594-8C06-29AE7DD6E6FC}"/>
              </a:ext>
            </a:extLst>
          </xdr:cNvPr>
          <xdr:cNvSpPr/>
        </xdr:nvSpPr>
        <xdr:spPr>
          <a:xfrm>
            <a:off x="66675" y="15003142"/>
            <a:ext cx="17664956" cy="6894833"/>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F1139E54-0FF4-F709-22FA-9A04766EFD61}"/>
              </a:ext>
            </a:extLst>
          </xdr:cNvPr>
          <xdr:cNvSpPr/>
        </xdr:nvSpPr>
        <xdr:spPr>
          <a:xfrm>
            <a:off x="209257" y="15071782"/>
            <a:ext cx="17276148" cy="567967"/>
          </a:xfrm>
          <a:prstGeom prst="roundRect">
            <a:avLst>
              <a:gd name="adj" fmla="val 32353"/>
            </a:avLst>
          </a:prstGeom>
          <a:gradFill flip="none" rotWithShape="1">
            <a:gsLst>
              <a:gs pos="40000">
                <a:schemeClr val="accent3">
                  <a:lumMod val="40000"/>
                  <a:lumOff val="60000"/>
                </a:schemeClr>
              </a:gs>
              <a:gs pos="0">
                <a:srgbClr val="E8EFD9"/>
              </a:gs>
              <a:gs pos="82000">
                <a:schemeClr val="accent3">
                  <a:lumMod val="75000"/>
                </a:schemeClr>
              </a:gs>
              <a:gs pos="100000">
                <a:schemeClr val="accent3">
                  <a:lumMod val="50000"/>
                </a:schemeClr>
              </a:gs>
            </a:gsLst>
            <a:lin ang="5400000" scaled="1"/>
            <a:tileRect/>
          </a:gra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IN" sz="3200">
                <a:solidFill>
                  <a:schemeClr val="tx1"/>
                </a:solidFill>
                <a:latin typeface="Lato Black" panose="020F0A02020204030203" pitchFamily="34" charset="0"/>
              </a:rPr>
              <a:t>Premature Death Analysis</a:t>
            </a:r>
          </a:p>
        </xdr:txBody>
      </xdr:sp>
      <xdr:graphicFrame macro="">
        <xdr:nvGraphicFramePr>
          <xdr:cNvPr id="5" name="Chart 2">
            <a:extLst>
              <a:ext uri="{FF2B5EF4-FFF2-40B4-BE49-F238E27FC236}">
                <a16:creationId xmlns:a16="http://schemas.microsoft.com/office/drawing/2014/main" id="{532A4B5B-AF48-9250-81DD-E85DC87D7EBE}"/>
              </a:ext>
            </a:extLst>
          </xdr:cNvPr>
          <xdr:cNvGraphicFramePr/>
        </xdr:nvGraphicFramePr>
        <xdr:xfrm>
          <a:off x="910590" y="15914370"/>
          <a:ext cx="5280660" cy="28260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3">
            <a:extLst>
              <a:ext uri="{FF2B5EF4-FFF2-40B4-BE49-F238E27FC236}">
                <a16:creationId xmlns:a16="http://schemas.microsoft.com/office/drawing/2014/main" id="{D7CB7CFA-9A4B-C928-343A-8D129C4E274B}"/>
              </a:ext>
            </a:extLst>
          </xdr:cNvPr>
          <xdr:cNvGraphicFramePr/>
        </xdr:nvGraphicFramePr>
        <xdr:xfrm>
          <a:off x="6417945" y="15920084"/>
          <a:ext cx="5281200" cy="2826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 name="Chart 4">
            <a:extLst>
              <a:ext uri="{FF2B5EF4-FFF2-40B4-BE49-F238E27FC236}">
                <a16:creationId xmlns:a16="http://schemas.microsoft.com/office/drawing/2014/main" id="{A31EFD3E-228F-FD28-1CFE-8B3385F95486}"/>
              </a:ext>
            </a:extLst>
          </xdr:cNvPr>
          <xdr:cNvGraphicFramePr/>
        </xdr:nvGraphicFramePr>
        <xdr:xfrm>
          <a:off x="11976735" y="15878175"/>
          <a:ext cx="5281200" cy="283273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5">
            <a:extLst>
              <a:ext uri="{FF2B5EF4-FFF2-40B4-BE49-F238E27FC236}">
                <a16:creationId xmlns:a16="http://schemas.microsoft.com/office/drawing/2014/main" id="{EF3DF1E2-C432-96C4-70E7-3E149CF0F5E7}"/>
              </a:ext>
            </a:extLst>
          </xdr:cNvPr>
          <xdr:cNvGraphicFramePr/>
        </xdr:nvGraphicFramePr>
        <xdr:xfrm>
          <a:off x="3265170" y="18912840"/>
          <a:ext cx="5281200" cy="28260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0" name="Chart 9">
            <a:extLst>
              <a:ext uri="{FF2B5EF4-FFF2-40B4-BE49-F238E27FC236}">
                <a16:creationId xmlns:a16="http://schemas.microsoft.com/office/drawing/2014/main" id="{C0E49228-9CF9-4E74-8F4C-79216DB5CD0F}"/>
              </a:ext>
            </a:extLst>
          </xdr:cNvPr>
          <xdr:cNvGraphicFramePr>
            <a:graphicFrameLocks/>
          </xdr:cNvGraphicFramePr>
        </xdr:nvGraphicFramePr>
        <xdr:xfrm>
          <a:off x="9191625" y="18907125"/>
          <a:ext cx="5281200" cy="28260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186689</xdr:colOff>
      <xdr:row>8</xdr:row>
      <xdr:rowOff>160020</xdr:rowOff>
    </xdr:from>
    <xdr:to>
      <xdr:col>5</xdr:col>
      <xdr:colOff>742949</xdr:colOff>
      <xdr:row>28</xdr:row>
      <xdr:rowOff>85725</xdr:rowOff>
    </xdr:to>
    <xdr:graphicFrame macro="">
      <xdr:nvGraphicFramePr>
        <xdr:cNvPr id="2" name="Chart 1">
          <a:extLst>
            <a:ext uri="{FF2B5EF4-FFF2-40B4-BE49-F238E27FC236}">
              <a16:creationId xmlns:a16="http://schemas.microsoft.com/office/drawing/2014/main" id="{5FF24FC8-3DFD-DE64-735E-E0D472B02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975359</xdr:colOff>
      <xdr:row>8</xdr:row>
      <xdr:rowOff>177164</xdr:rowOff>
    </xdr:from>
    <xdr:to>
      <xdr:col>7</xdr:col>
      <xdr:colOff>2114549</xdr:colOff>
      <xdr:row>28</xdr:row>
      <xdr:rowOff>76199</xdr:rowOff>
    </xdr:to>
    <xdr:graphicFrame macro="">
      <xdr:nvGraphicFramePr>
        <xdr:cNvPr id="3" name="Chart 2">
          <a:extLst>
            <a:ext uri="{FF2B5EF4-FFF2-40B4-BE49-F238E27FC236}">
              <a16:creationId xmlns:a16="http://schemas.microsoft.com/office/drawing/2014/main" id="{55B9F652-D8DA-A346-9F3E-5A8E1DE0C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2295525</xdr:colOff>
      <xdr:row>8</xdr:row>
      <xdr:rowOff>160019</xdr:rowOff>
    </xdr:from>
    <xdr:to>
      <xdr:col>13</xdr:col>
      <xdr:colOff>466725</xdr:colOff>
      <xdr:row>28</xdr:row>
      <xdr:rowOff>47625</xdr:rowOff>
    </xdr:to>
    <xdr:graphicFrame macro="">
      <xdr:nvGraphicFramePr>
        <xdr:cNvPr id="9" name="Chart 2">
          <a:extLst>
            <a:ext uri="{FF2B5EF4-FFF2-40B4-BE49-F238E27FC236}">
              <a16:creationId xmlns:a16="http://schemas.microsoft.com/office/drawing/2014/main" id="{6CE3236B-B6C3-11F9-EE1B-E7DDA9403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209550</xdr:colOff>
      <xdr:row>51</xdr:row>
      <xdr:rowOff>20317</xdr:rowOff>
    </xdr:from>
    <xdr:to>
      <xdr:col>13</xdr:col>
      <xdr:colOff>378798</xdr:colOff>
      <xdr:row>54</xdr:row>
      <xdr:rowOff>45359</xdr:rowOff>
    </xdr:to>
    <xdr:sp macro="" textlink="">
      <xdr:nvSpPr>
        <xdr:cNvPr id="12" name="Rectangle: Rounded Corners 11">
          <a:extLst>
            <a:ext uri="{FF2B5EF4-FFF2-40B4-BE49-F238E27FC236}">
              <a16:creationId xmlns:a16="http://schemas.microsoft.com/office/drawing/2014/main" id="{5EDF9EFE-FC28-4C17-AA13-23579A7468A2}"/>
            </a:ext>
          </a:extLst>
        </xdr:cNvPr>
        <xdr:cNvSpPr/>
      </xdr:nvSpPr>
      <xdr:spPr>
        <a:xfrm>
          <a:off x="209550" y="9250042"/>
          <a:ext cx="17276148" cy="567967"/>
        </a:xfrm>
        <a:prstGeom prst="roundRect">
          <a:avLst>
            <a:gd name="adj" fmla="val 32353"/>
          </a:avLst>
        </a:prstGeom>
        <a:gradFill flip="none" rotWithShape="1">
          <a:gsLst>
            <a:gs pos="40000">
              <a:schemeClr val="accent3">
                <a:lumMod val="40000"/>
                <a:lumOff val="60000"/>
              </a:schemeClr>
            </a:gs>
            <a:gs pos="0">
              <a:srgbClr val="E8EFD9"/>
            </a:gs>
            <a:gs pos="82000">
              <a:schemeClr val="accent3">
                <a:lumMod val="75000"/>
              </a:schemeClr>
            </a:gs>
            <a:gs pos="100000">
              <a:schemeClr val="accent3">
                <a:lumMod val="50000"/>
              </a:schemeClr>
            </a:gs>
          </a:gsLst>
          <a:lin ang="5400000" scaled="1"/>
          <a:tileRect/>
        </a:gra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IN" sz="3200">
              <a:solidFill>
                <a:schemeClr val="tx1"/>
              </a:solidFill>
              <a:latin typeface="Lato Black" panose="020F0A02020204030203" pitchFamily="34" charset="0"/>
            </a:rPr>
            <a:t>Gender</a:t>
          </a:r>
          <a:r>
            <a:rPr lang="en-IN" sz="3200" baseline="0">
              <a:solidFill>
                <a:schemeClr val="tx1"/>
              </a:solidFill>
              <a:latin typeface="Lato Black" panose="020F0A02020204030203" pitchFamily="34" charset="0"/>
            </a:rPr>
            <a:t> wise Cause of Infant</a:t>
          </a:r>
          <a:r>
            <a:rPr lang="en-IN" sz="3200">
              <a:solidFill>
                <a:schemeClr val="tx1"/>
              </a:solidFill>
              <a:latin typeface="Lato Black" panose="020F0A02020204030203" pitchFamily="34" charset="0"/>
            </a:rPr>
            <a:t> Deaths </a:t>
          </a:r>
        </a:p>
      </xdr:txBody>
    </xdr:sp>
    <xdr:clientData/>
  </xdr:twoCellAnchor>
  <xdr:twoCellAnchor>
    <xdr:from>
      <xdr:col>0</xdr:col>
      <xdr:colOff>201930</xdr:colOff>
      <xdr:row>29</xdr:row>
      <xdr:rowOff>85724</xdr:rowOff>
    </xdr:from>
    <xdr:to>
      <xdr:col>5</xdr:col>
      <xdr:colOff>733425</xdr:colOff>
      <xdr:row>49</xdr:row>
      <xdr:rowOff>19049</xdr:rowOff>
    </xdr:to>
    <xdr:graphicFrame macro="">
      <xdr:nvGraphicFramePr>
        <xdr:cNvPr id="13" name="Chart 3">
          <a:extLst>
            <a:ext uri="{FF2B5EF4-FFF2-40B4-BE49-F238E27FC236}">
              <a16:creationId xmlns:a16="http://schemas.microsoft.com/office/drawing/2014/main" id="{5F366A2C-37C7-19A6-4E44-D7988EBBE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931545</xdr:colOff>
      <xdr:row>29</xdr:row>
      <xdr:rowOff>62865</xdr:rowOff>
    </xdr:from>
    <xdr:to>
      <xdr:col>7</xdr:col>
      <xdr:colOff>2152650</xdr:colOff>
      <xdr:row>49</xdr:row>
      <xdr:rowOff>47625</xdr:rowOff>
    </xdr:to>
    <xdr:graphicFrame macro="">
      <xdr:nvGraphicFramePr>
        <xdr:cNvPr id="14" name="Chart 4">
          <a:extLst>
            <a:ext uri="{FF2B5EF4-FFF2-40B4-BE49-F238E27FC236}">
              <a16:creationId xmlns:a16="http://schemas.microsoft.com/office/drawing/2014/main" id="{733AB324-D7CF-D831-B717-60A40531E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2350769</xdr:colOff>
      <xdr:row>29</xdr:row>
      <xdr:rowOff>47625</xdr:rowOff>
    </xdr:from>
    <xdr:to>
      <xdr:col>13</xdr:col>
      <xdr:colOff>447674</xdr:colOff>
      <xdr:row>49</xdr:row>
      <xdr:rowOff>9525</xdr:rowOff>
    </xdr:to>
    <xdr:graphicFrame macro="">
      <xdr:nvGraphicFramePr>
        <xdr:cNvPr id="15" name="Chart 5">
          <a:extLst>
            <a:ext uri="{FF2B5EF4-FFF2-40B4-BE49-F238E27FC236}">
              <a16:creationId xmlns:a16="http://schemas.microsoft.com/office/drawing/2014/main" id="{72B962A4-7A6A-6E4B-353C-8BAD5D2BC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50796</xdr:colOff>
      <xdr:row>0</xdr:row>
      <xdr:rowOff>9525</xdr:rowOff>
    </xdr:from>
    <xdr:to>
      <xdr:col>14</xdr:col>
      <xdr:colOff>442296</xdr:colOff>
      <xdr:row>96</xdr:row>
      <xdr:rowOff>161925</xdr:rowOff>
    </xdr:to>
    <xdr:grpSp>
      <xdr:nvGrpSpPr>
        <xdr:cNvPr id="19" name="Group 18">
          <a:extLst>
            <a:ext uri="{FF2B5EF4-FFF2-40B4-BE49-F238E27FC236}">
              <a16:creationId xmlns:a16="http://schemas.microsoft.com/office/drawing/2014/main" id="{4B7EC38B-3B5E-CAFE-0A8B-B6B1222F075D}"/>
            </a:ext>
          </a:extLst>
        </xdr:cNvPr>
        <xdr:cNvGrpSpPr/>
      </xdr:nvGrpSpPr>
      <xdr:grpSpPr>
        <a:xfrm>
          <a:off x="50796" y="9525"/>
          <a:ext cx="18091120" cy="17813438"/>
          <a:chOff x="50797" y="9525"/>
          <a:chExt cx="17882475" cy="16868775"/>
        </a:xfrm>
      </xdr:grpSpPr>
      <xdr:grpSp>
        <xdr:nvGrpSpPr>
          <xdr:cNvPr id="36" name="Group 35">
            <a:extLst>
              <a:ext uri="{FF2B5EF4-FFF2-40B4-BE49-F238E27FC236}">
                <a16:creationId xmlns:a16="http://schemas.microsoft.com/office/drawing/2014/main" id="{C2ADB270-41C7-270E-B878-2E280844E197}"/>
              </a:ext>
            </a:extLst>
          </xdr:cNvPr>
          <xdr:cNvGrpSpPr/>
        </xdr:nvGrpSpPr>
        <xdr:grpSpPr>
          <a:xfrm>
            <a:off x="50797" y="9525"/>
            <a:ext cx="17882475" cy="16868775"/>
            <a:chOff x="50798" y="9525"/>
            <a:chExt cx="17835272" cy="16202132"/>
          </a:xfrm>
        </xdr:grpSpPr>
        <xdr:sp macro="" textlink="">
          <xdr:nvSpPr>
            <xdr:cNvPr id="2" name="Rectangle: Rounded Corners 1">
              <a:extLst>
                <a:ext uri="{FF2B5EF4-FFF2-40B4-BE49-F238E27FC236}">
                  <a16:creationId xmlns:a16="http://schemas.microsoft.com/office/drawing/2014/main" id="{D0B1593D-E3EE-5022-ECAD-9A2ABF637F1A}"/>
                </a:ext>
              </a:extLst>
            </xdr:cNvPr>
            <xdr:cNvSpPr/>
          </xdr:nvSpPr>
          <xdr:spPr>
            <a:xfrm>
              <a:off x="50798" y="9525"/>
              <a:ext cx="17748000" cy="553529"/>
            </a:xfrm>
            <a:prstGeom prst="roundRect">
              <a:avLst/>
            </a:prstGeom>
            <a:solidFill>
              <a:schemeClr val="accent3">
                <a:lumMod val="40000"/>
                <a:lumOff val="60000"/>
              </a:schemeClr>
            </a:soli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IN" sz="4000">
                  <a:solidFill>
                    <a:sysClr val="windowText" lastClr="000000"/>
                  </a:solidFill>
                  <a:effectLst>
                    <a:outerShdw blurRad="50800" dist="38100" dir="5400000" algn="t" rotWithShape="0">
                      <a:prstClr val="black">
                        <a:alpha val="40000"/>
                      </a:prstClr>
                    </a:outerShdw>
                  </a:effectLst>
                  <a:latin typeface="Lato Black" panose="020F0A02020204030203" pitchFamily="34" charset="0"/>
                </a:rPr>
                <a:t>INFANT</a:t>
              </a:r>
              <a:r>
                <a:rPr lang="en-IN" sz="4000" baseline="0">
                  <a:solidFill>
                    <a:sysClr val="windowText" lastClr="000000"/>
                  </a:solidFill>
                  <a:effectLst>
                    <a:outerShdw blurRad="50800" dist="38100" dir="5400000" algn="t" rotWithShape="0">
                      <a:prstClr val="black">
                        <a:alpha val="40000"/>
                      </a:prstClr>
                    </a:outerShdw>
                  </a:effectLst>
                  <a:latin typeface="Lato Black" panose="020F0A02020204030203" pitchFamily="34" charset="0"/>
                </a:rPr>
                <a:t> DEATH REPORT</a:t>
              </a:r>
              <a:endParaRPr lang="en-IN" sz="4000">
                <a:solidFill>
                  <a:sysClr val="windowText" lastClr="000000"/>
                </a:solidFill>
                <a:effectLst>
                  <a:outerShdw blurRad="50800" dist="38100" dir="5400000" algn="t" rotWithShape="0">
                    <a:prstClr val="black">
                      <a:alpha val="40000"/>
                    </a:prstClr>
                  </a:outerShdw>
                </a:effectLst>
                <a:latin typeface="Lato Black" panose="020F0A02020204030203" pitchFamily="34" charset="0"/>
              </a:endParaRPr>
            </a:p>
          </xdr:txBody>
        </xdr:sp>
        <xdr:sp macro="" textlink="">
          <xdr:nvSpPr>
            <xdr:cNvPr id="3" name="Rectangle: Rounded Corners 2">
              <a:extLst>
                <a:ext uri="{FF2B5EF4-FFF2-40B4-BE49-F238E27FC236}">
                  <a16:creationId xmlns:a16="http://schemas.microsoft.com/office/drawing/2014/main" id="{6EA16601-6D5A-7B65-856E-AB1D3393A28A}"/>
                </a:ext>
              </a:extLst>
            </xdr:cNvPr>
            <xdr:cNvSpPr/>
          </xdr:nvSpPr>
          <xdr:spPr>
            <a:xfrm>
              <a:off x="95250" y="1419225"/>
              <a:ext cx="2324100" cy="7135681"/>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32" name="Rectangle: Rounded Corners 31">
              <a:extLst>
                <a:ext uri="{FF2B5EF4-FFF2-40B4-BE49-F238E27FC236}">
                  <a16:creationId xmlns:a16="http://schemas.microsoft.com/office/drawing/2014/main" id="{E9B5A10C-6E50-4B97-8AD4-28ED2A6F6E4C}"/>
                </a:ext>
              </a:extLst>
            </xdr:cNvPr>
            <xdr:cNvSpPr/>
          </xdr:nvSpPr>
          <xdr:spPr>
            <a:xfrm>
              <a:off x="12758763" y="1416050"/>
              <a:ext cx="4968000" cy="3526859"/>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51" name="Rectangle: Rounded Corners 50">
              <a:extLst>
                <a:ext uri="{FF2B5EF4-FFF2-40B4-BE49-F238E27FC236}">
                  <a16:creationId xmlns:a16="http://schemas.microsoft.com/office/drawing/2014/main" id="{D970BFD6-075A-4407-8C1F-31DD7F849E4B}"/>
                </a:ext>
              </a:extLst>
            </xdr:cNvPr>
            <xdr:cNvSpPr/>
          </xdr:nvSpPr>
          <xdr:spPr>
            <a:xfrm>
              <a:off x="219126" y="15735406"/>
              <a:ext cx="17352000" cy="476251"/>
            </a:xfrm>
            <a:prstGeom prst="roundRect">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IN" sz="4000">
                  <a:solidFill>
                    <a:sysClr val="windowText" lastClr="000000"/>
                  </a:solidFill>
                  <a:effectLst>
                    <a:outerShdw blurRad="50800" dist="38100" dir="5400000" algn="t" rotWithShape="0">
                      <a:prstClr val="black">
                        <a:alpha val="40000"/>
                      </a:prstClr>
                    </a:outerShdw>
                  </a:effectLst>
                  <a:latin typeface="Lato Black" panose="020F0A02020204030203" pitchFamily="34" charset="0"/>
                </a:rPr>
                <a:t>CAUSE</a:t>
              </a:r>
              <a:r>
                <a:rPr lang="en-IN" sz="4000" baseline="0">
                  <a:solidFill>
                    <a:sysClr val="windowText" lastClr="000000"/>
                  </a:solidFill>
                  <a:effectLst>
                    <a:outerShdw blurRad="50800" dist="38100" dir="5400000" algn="t" rotWithShape="0">
                      <a:prstClr val="black">
                        <a:alpha val="40000"/>
                      </a:prstClr>
                    </a:outerShdw>
                  </a:effectLst>
                  <a:latin typeface="Lato Black" panose="020F0A02020204030203" pitchFamily="34" charset="0"/>
                </a:rPr>
                <a:t> OF INFANT DEATHS</a:t>
              </a:r>
              <a:endParaRPr lang="en-IN" sz="4000">
                <a:solidFill>
                  <a:sysClr val="windowText" lastClr="000000"/>
                </a:solidFill>
                <a:effectLst>
                  <a:outerShdw blurRad="50800" dist="38100" dir="5400000" algn="t" rotWithShape="0">
                    <a:prstClr val="black">
                      <a:alpha val="40000"/>
                    </a:prstClr>
                  </a:outerShdw>
                </a:effectLst>
                <a:latin typeface="Lato Black" panose="020F0A02020204030203" pitchFamily="34" charset="0"/>
              </a:endParaRPr>
            </a:p>
          </xdr:txBody>
        </xdr:sp>
        <xdr:sp macro="" textlink="">
          <xdr:nvSpPr>
            <xdr:cNvPr id="52" name="Rectangle: Rounded Corners 51">
              <a:extLst>
                <a:ext uri="{FF2B5EF4-FFF2-40B4-BE49-F238E27FC236}">
                  <a16:creationId xmlns:a16="http://schemas.microsoft.com/office/drawing/2014/main" id="{267DA03B-C84F-4A8A-A291-8A82D5B8926B}"/>
                </a:ext>
              </a:extLst>
            </xdr:cNvPr>
            <xdr:cNvSpPr/>
          </xdr:nvSpPr>
          <xdr:spPr>
            <a:xfrm>
              <a:off x="2500313" y="1425575"/>
              <a:ext cx="5081587" cy="3526859"/>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53" name="Rectangle: Rounded Corners 52">
              <a:extLst>
                <a:ext uri="{FF2B5EF4-FFF2-40B4-BE49-F238E27FC236}">
                  <a16:creationId xmlns:a16="http://schemas.microsoft.com/office/drawing/2014/main" id="{37CC6B32-F729-4F4E-90BC-83223B564055}"/>
                </a:ext>
              </a:extLst>
            </xdr:cNvPr>
            <xdr:cNvSpPr/>
          </xdr:nvSpPr>
          <xdr:spPr>
            <a:xfrm>
              <a:off x="2471738" y="5000783"/>
              <a:ext cx="5129212" cy="3572620"/>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54" name="Rectangle: Rounded Corners 53">
              <a:extLst>
                <a:ext uri="{FF2B5EF4-FFF2-40B4-BE49-F238E27FC236}">
                  <a16:creationId xmlns:a16="http://schemas.microsoft.com/office/drawing/2014/main" id="{A7623658-FE6E-4656-85C8-E0AAC1A04924}"/>
                </a:ext>
              </a:extLst>
            </xdr:cNvPr>
            <xdr:cNvSpPr/>
          </xdr:nvSpPr>
          <xdr:spPr>
            <a:xfrm>
              <a:off x="7624788" y="1425575"/>
              <a:ext cx="5100637" cy="3526859"/>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55" name="Rectangle: Rounded Corners 54">
              <a:extLst>
                <a:ext uri="{FF2B5EF4-FFF2-40B4-BE49-F238E27FC236}">
                  <a16:creationId xmlns:a16="http://schemas.microsoft.com/office/drawing/2014/main" id="{2F8E53C7-CCF0-46B7-B6EC-BF1BDA10F85D}"/>
                </a:ext>
              </a:extLst>
            </xdr:cNvPr>
            <xdr:cNvSpPr/>
          </xdr:nvSpPr>
          <xdr:spPr>
            <a:xfrm>
              <a:off x="2562229" y="628650"/>
              <a:ext cx="2340000" cy="756000"/>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56" name="Rectangle: Rounded Corners 55">
              <a:extLst>
                <a:ext uri="{FF2B5EF4-FFF2-40B4-BE49-F238E27FC236}">
                  <a16:creationId xmlns:a16="http://schemas.microsoft.com/office/drawing/2014/main" id="{8659F0D0-0188-4256-BF25-B7B4685FA85F}"/>
                </a:ext>
              </a:extLst>
            </xdr:cNvPr>
            <xdr:cNvSpPr/>
          </xdr:nvSpPr>
          <xdr:spPr>
            <a:xfrm>
              <a:off x="95250" y="628650"/>
              <a:ext cx="2340000" cy="756000"/>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57" name="Rectangle: Rounded Corners 56">
              <a:extLst>
                <a:ext uri="{FF2B5EF4-FFF2-40B4-BE49-F238E27FC236}">
                  <a16:creationId xmlns:a16="http://schemas.microsoft.com/office/drawing/2014/main" id="{12FEA74A-F42E-46A3-986D-F62C5EDBFF75}"/>
                </a:ext>
              </a:extLst>
            </xdr:cNvPr>
            <xdr:cNvSpPr/>
          </xdr:nvSpPr>
          <xdr:spPr>
            <a:xfrm>
              <a:off x="5029208" y="622300"/>
              <a:ext cx="2340000" cy="756000"/>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58" name="Rectangle: Rounded Corners 57">
              <a:extLst>
                <a:ext uri="{FF2B5EF4-FFF2-40B4-BE49-F238E27FC236}">
                  <a16:creationId xmlns:a16="http://schemas.microsoft.com/office/drawing/2014/main" id="{F5995B83-361C-46C1-91FC-11E42BF75B65}"/>
                </a:ext>
              </a:extLst>
            </xdr:cNvPr>
            <xdr:cNvSpPr/>
          </xdr:nvSpPr>
          <xdr:spPr>
            <a:xfrm>
              <a:off x="7496187" y="635000"/>
              <a:ext cx="2340000" cy="756000"/>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59" name="Rectangle: Rounded Corners 58">
              <a:extLst>
                <a:ext uri="{FF2B5EF4-FFF2-40B4-BE49-F238E27FC236}">
                  <a16:creationId xmlns:a16="http://schemas.microsoft.com/office/drawing/2014/main" id="{EC9FA019-DE61-4D89-959E-BAD599EAEFD7}"/>
                </a:ext>
              </a:extLst>
            </xdr:cNvPr>
            <xdr:cNvSpPr/>
          </xdr:nvSpPr>
          <xdr:spPr>
            <a:xfrm>
              <a:off x="9963166" y="612775"/>
              <a:ext cx="2606675" cy="756000"/>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60" name="Rectangle: Rounded Corners 59">
              <a:extLst>
                <a:ext uri="{FF2B5EF4-FFF2-40B4-BE49-F238E27FC236}">
                  <a16:creationId xmlns:a16="http://schemas.microsoft.com/office/drawing/2014/main" id="{7B01213E-9324-42DE-880B-599B83F209C2}"/>
                </a:ext>
              </a:extLst>
            </xdr:cNvPr>
            <xdr:cNvSpPr/>
          </xdr:nvSpPr>
          <xdr:spPr>
            <a:xfrm>
              <a:off x="12696820" y="609600"/>
              <a:ext cx="2340000" cy="756000"/>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61" name="Rectangle: Rounded Corners 60">
              <a:extLst>
                <a:ext uri="{FF2B5EF4-FFF2-40B4-BE49-F238E27FC236}">
                  <a16:creationId xmlns:a16="http://schemas.microsoft.com/office/drawing/2014/main" id="{DBFDC1FB-7560-4618-94CE-9C9A293B61F8}"/>
                </a:ext>
              </a:extLst>
            </xdr:cNvPr>
            <xdr:cNvSpPr/>
          </xdr:nvSpPr>
          <xdr:spPr>
            <a:xfrm>
              <a:off x="15116301" y="615673"/>
              <a:ext cx="2520975" cy="756000"/>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62" name="Rectangle: Rounded Corners 61">
              <a:extLst>
                <a:ext uri="{FF2B5EF4-FFF2-40B4-BE49-F238E27FC236}">
                  <a16:creationId xmlns:a16="http://schemas.microsoft.com/office/drawing/2014/main" id="{DB2BE900-AAA2-4AF5-B106-30C7EEA0FF59}"/>
                </a:ext>
              </a:extLst>
            </xdr:cNvPr>
            <xdr:cNvSpPr/>
          </xdr:nvSpPr>
          <xdr:spPr>
            <a:xfrm>
              <a:off x="7648599" y="5001346"/>
              <a:ext cx="5057775" cy="3572057"/>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63" name="Rectangle: Rounded Corners 62">
              <a:extLst>
                <a:ext uri="{FF2B5EF4-FFF2-40B4-BE49-F238E27FC236}">
                  <a16:creationId xmlns:a16="http://schemas.microsoft.com/office/drawing/2014/main" id="{A3DD9E4D-F1EF-496E-834E-18FFDD30FBAE}"/>
                </a:ext>
              </a:extLst>
            </xdr:cNvPr>
            <xdr:cNvSpPr/>
          </xdr:nvSpPr>
          <xdr:spPr>
            <a:xfrm>
              <a:off x="12739738" y="4982297"/>
              <a:ext cx="4968000" cy="3581857"/>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64" name="TextBox 63">
              <a:hlinkClick xmlns:r="http://schemas.openxmlformats.org/officeDocument/2006/relationships" r:id="rId1" tooltip="Udupi Taluk"/>
              <a:extLst>
                <a:ext uri="{FF2B5EF4-FFF2-40B4-BE49-F238E27FC236}">
                  <a16:creationId xmlns:a16="http://schemas.microsoft.com/office/drawing/2014/main" id="{576E5FC1-35CF-BF32-7CA3-5C12D364C135}"/>
                </a:ext>
              </a:extLst>
            </xdr:cNvPr>
            <xdr:cNvSpPr txBox="1"/>
          </xdr:nvSpPr>
          <xdr:spPr>
            <a:xfrm>
              <a:off x="16743070" y="128014"/>
              <a:ext cx="1143000" cy="37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Lato Black" panose="020F0A02020204030203" pitchFamily="34" charset="0"/>
                </a:rPr>
                <a:t>UDUPI</a:t>
              </a:r>
            </a:p>
          </xdr:txBody>
        </xdr:sp>
        <xdr:sp macro="" textlink="">
          <xdr:nvSpPr>
            <xdr:cNvPr id="65" name="TextBox 64">
              <a:hlinkClick xmlns:r="http://schemas.openxmlformats.org/officeDocument/2006/relationships" r:id="rId2" tooltip="Kundapura Taluk"/>
              <a:extLst>
                <a:ext uri="{FF2B5EF4-FFF2-40B4-BE49-F238E27FC236}">
                  <a16:creationId xmlns:a16="http://schemas.microsoft.com/office/drawing/2014/main" id="{5B5DF263-86C4-452A-96A0-AF66E9284389}"/>
                </a:ext>
              </a:extLst>
            </xdr:cNvPr>
            <xdr:cNvSpPr txBox="1"/>
          </xdr:nvSpPr>
          <xdr:spPr>
            <a:xfrm>
              <a:off x="15078276" y="108725"/>
              <a:ext cx="1508610" cy="415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Lato Black" panose="020F0A02020204030203" pitchFamily="34" charset="0"/>
                </a:rPr>
                <a:t>KUNDAPURA</a:t>
              </a:r>
            </a:p>
          </xdr:txBody>
        </xdr:sp>
        <xdr:sp macro="" textlink="">
          <xdr:nvSpPr>
            <xdr:cNvPr id="66" name="TextBox 65">
              <a:hlinkClick xmlns:r="http://schemas.openxmlformats.org/officeDocument/2006/relationships" r:id="rId3" tooltip="Karkal Taluk"/>
              <a:extLst>
                <a:ext uri="{FF2B5EF4-FFF2-40B4-BE49-F238E27FC236}">
                  <a16:creationId xmlns:a16="http://schemas.microsoft.com/office/drawing/2014/main" id="{F6282079-9075-49DF-AD2B-1B5414C91AE8}"/>
                </a:ext>
              </a:extLst>
            </xdr:cNvPr>
            <xdr:cNvSpPr txBox="1"/>
          </xdr:nvSpPr>
          <xdr:spPr>
            <a:xfrm>
              <a:off x="13630300" y="93246"/>
              <a:ext cx="1260000" cy="42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Lato Black" panose="020F0A02020204030203" pitchFamily="34" charset="0"/>
                </a:rPr>
                <a:t>KARKAL</a:t>
              </a:r>
            </a:p>
          </xdr:txBody>
        </xdr:sp>
        <xdr:pic>
          <xdr:nvPicPr>
            <xdr:cNvPr id="68" name="Graphic 67" descr="Marker with solid fill">
              <a:extLst>
                <a:ext uri="{FF2B5EF4-FFF2-40B4-BE49-F238E27FC236}">
                  <a16:creationId xmlns:a16="http://schemas.microsoft.com/office/drawing/2014/main" id="{9FA12C6F-ED8C-9378-BAEB-2EA6C4CC7DD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468350" y="38100"/>
              <a:ext cx="457200" cy="457200"/>
            </a:xfrm>
            <a:prstGeom prst="rect">
              <a:avLst/>
            </a:prstGeom>
          </xdr:spPr>
        </xdr:pic>
        <xdr:pic>
          <xdr:nvPicPr>
            <xdr:cNvPr id="69" name="Graphic 68" descr="Marker with solid fill">
              <a:extLst>
                <a:ext uri="{FF2B5EF4-FFF2-40B4-BE49-F238E27FC236}">
                  <a16:creationId xmlns:a16="http://schemas.microsoft.com/office/drawing/2014/main" id="{199D4838-1861-4E59-9777-7077EA49C00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811526" y="56774"/>
              <a:ext cx="457200" cy="457200"/>
            </a:xfrm>
            <a:prstGeom prst="rect">
              <a:avLst/>
            </a:prstGeom>
          </xdr:spPr>
        </xdr:pic>
        <xdr:pic>
          <xdr:nvPicPr>
            <xdr:cNvPr id="70" name="Graphic 69" descr="Marker with solid fill">
              <a:extLst>
                <a:ext uri="{FF2B5EF4-FFF2-40B4-BE49-F238E27FC236}">
                  <a16:creationId xmlns:a16="http://schemas.microsoft.com/office/drawing/2014/main" id="{19C68562-A14F-4A7E-849A-83B897AC2FF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621125" y="38100"/>
              <a:ext cx="457200" cy="457200"/>
            </a:xfrm>
            <a:prstGeom prst="rect">
              <a:avLst/>
            </a:prstGeom>
          </xdr:spPr>
        </xdr:pic>
        <xdr:sp macro="" textlink="">
          <xdr:nvSpPr>
            <xdr:cNvPr id="71" name="Rectangle: Rounded Corners 70">
              <a:extLst>
                <a:ext uri="{FF2B5EF4-FFF2-40B4-BE49-F238E27FC236}">
                  <a16:creationId xmlns:a16="http://schemas.microsoft.com/office/drawing/2014/main" id="{45E9DE99-5503-E09D-6AA5-F9A741A0482C}"/>
                </a:ext>
              </a:extLst>
            </xdr:cNvPr>
            <xdr:cNvSpPr/>
          </xdr:nvSpPr>
          <xdr:spPr>
            <a:xfrm>
              <a:off x="13851255" y="369570"/>
              <a:ext cx="449580" cy="45719"/>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2" name="TextBox 71">
              <a:extLst>
                <a:ext uri="{FF2B5EF4-FFF2-40B4-BE49-F238E27FC236}">
                  <a16:creationId xmlns:a16="http://schemas.microsoft.com/office/drawing/2014/main" id="{A1864AB7-66EE-43E3-F06F-C04C0B848DE9}"/>
                </a:ext>
              </a:extLst>
            </xdr:cNvPr>
            <xdr:cNvSpPr txBox="1"/>
          </xdr:nvSpPr>
          <xdr:spPr>
            <a:xfrm>
              <a:off x="180975" y="657226"/>
              <a:ext cx="21621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Lato Black" panose="020F0A02020204030203" pitchFamily="34" charset="0"/>
                </a:rPr>
                <a:t>TOTAL HRP </a:t>
              </a:r>
            </a:p>
          </xdr:txBody>
        </xdr:sp>
        <xdr:sp macro="" textlink="">
          <xdr:nvSpPr>
            <xdr:cNvPr id="73" name="TextBox 72">
              <a:extLst>
                <a:ext uri="{FF2B5EF4-FFF2-40B4-BE49-F238E27FC236}">
                  <a16:creationId xmlns:a16="http://schemas.microsoft.com/office/drawing/2014/main" id="{55C6C0E3-4E2C-4347-AD72-76CE5224BB1A}"/>
                </a:ext>
              </a:extLst>
            </xdr:cNvPr>
            <xdr:cNvSpPr txBox="1"/>
          </xdr:nvSpPr>
          <xdr:spPr>
            <a:xfrm>
              <a:off x="7597251" y="639005"/>
              <a:ext cx="2162175" cy="239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Lato Black" panose="020F0A02020204030203" pitchFamily="34" charset="0"/>
                </a:rPr>
                <a:t>TOTAL INFANT DEATH</a:t>
              </a:r>
            </a:p>
          </xdr:txBody>
        </xdr:sp>
        <xdr:sp macro="" textlink="">
          <xdr:nvSpPr>
            <xdr:cNvPr id="74" name="TextBox 73">
              <a:extLst>
                <a:ext uri="{FF2B5EF4-FFF2-40B4-BE49-F238E27FC236}">
                  <a16:creationId xmlns:a16="http://schemas.microsoft.com/office/drawing/2014/main" id="{87F584BD-6B4C-4264-A66D-7CD245751603}"/>
                </a:ext>
              </a:extLst>
            </xdr:cNvPr>
            <xdr:cNvSpPr txBox="1"/>
          </xdr:nvSpPr>
          <xdr:spPr>
            <a:xfrm>
              <a:off x="10178224" y="638729"/>
              <a:ext cx="2162175" cy="230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prstClr val="black"/>
                  </a:solidFill>
                  <a:effectLst/>
                  <a:uLnTx/>
                  <a:uFillTx/>
                  <a:latin typeface="Lato Black" panose="020F0A02020204030203" pitchFamily="34" charset="0"/>
                  <a:ea typeface="+mn-ea"/>
                  <a:cs typeface="+mn-cs"/>
                </a:rPr>
                <a:t>TOTAL NEONATAL DEATH</a:t>
              </a:r>
            </a:p>
            <a:p>
              <a:endParaRPr lang="en-IN" sz="1100"/>
            </a:p>
          </xdr:txBody>
        </xdr:sp>
        <xdr:sp macro="" textlink="">
          <xdr:nvSpPr>
            <xdr:cNvPr id="75" name="TextBox 74">
              <a:extLst>
                <a:ext uri="{FF2B5EF4-FFF2-40B4-BE49-F238E27FC236}">
                  <a16:creationId xmlns:a16="http://schemas.microsoft.com/office/drawing/2014/main" id="{95C46924-A54F-4605-94F1-FDBDC929B7DD}"/>
                </a:ext>
              </a:extLst>
            </xdr:cNvPr>
            <xdr:cNvSpPr txBox="1"/>
          </xdr:nvSpPr>
          <xdr:spPr>
            <a:xfrm>
              <a:off x="12825696" y="602013"/>
              <a:ext cx="21621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Lato Black" panose="020F0A02020204030203" pitchFamily="34" charset="0"/>
                </a:rPr>
                <a:t>TOTAL PREVENTIVE CASES</a:t>
              </a:r>
            </a:p>
          </xdr:txBody>
        </xdr:sp>
        <xdr:sp macro="" textlink="">
          <xdr:nvSpPr>
            <xdr:cNvPr id="76" name="TextBox 75">
              <a:extLst>
                <a:ext uri="{FF2B5EF4-FFF2-40B4-BE49-F238E27FC236}">
                  <a16:creationId xmlns:a16="http://schemas.microsoft.com/office/drawing/2014/main" id="{6D069554-D18E-4823-9E59-1DC284336AAC}"/>
                </a:ext>
              </a:extLst>
            </xdr:cNvPr>
            <xdr:cNvSpPr txBox="1"/>
          </xdr:nvSpPr>
          <xdr:spPr>
            <a:xfrm>
              <a:off x="15073923" y="638729"/>
              <a:ext cx="2619375" cy="277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Lato Black" panose="020F0A02020204030203" pitchFamily="34" charset="0"/>
                </a:rPr>
                <a:t>TOTAL NON-PREVENTIVE</a:t>
              </a:r>
              <a:r>
                <a:rPr lang="en-IN" sz="1200" baseline="0">
                  <a:latin typeface="Lato Black" panose="020F0A02020204030203" pitchFamily="34" charset="0"/>
                </a:rPr>
                <a:t> CASES</a:t>
              </a:r>
              <a:endParaRPr lang="en-IN" sz="1200">
                <a:latin typeface="Lato Black" panose="020F0A02020204030203" pitchFamily="34" charset="0"/>
              </a:endParaRPr>
            </a:p>
          </xdr:txBody>
        </xdr:sp>
        <xdr:sp macro="" textlink="">
          <xdr:nvSpPr>
            <xdr:cNvPr id="77" name="TextBox 76">
              <a:extLst>
                <a:ext uri="{FF2B5EF4-FFF2-40B4-BE49-F238E27FC236}">
                  <a16:creationId xmlns:a16="http://schemas.microsoft.com/office/drawing/2014/main" id="{DC9093A0-9501-42BC-961F-78C8CE10B583}"/>
                </a:ext>
              </a:extLst>
            </xdr:cNvPr>
            <xdr:cNvSpPr txBox="1"/>
          </xdr:nvSpPr>
          <xdr:spPr>
            <a:xfrm>
              <a:off x="2645976" y="656672"/>
              <a:ext cx="216217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Lato Black" panose="020F0A02020204030203" pitchFamily="34" charset="0"/>
                </a:rPr>
                <a:t>TOTAL LSCS DELIVARY</a:t>
              </a:r>
            </a:p>
          </xdr:txBody>
        </xdr:sp>
        <xdr:sp macro="" textlink="">
          <xdr:nvSpPr>
            <xdr:cNvPr id="78" name="TextBox 77">
              <a:extLst>
                <a:ext uri="{FF2B5EF4-FFF2-40B4-BE49-F238E27FC236}">
                  <a16:creationId xmlns:a16="http://schemas.microsoft.com/office/drawing/2014/main" id="{A9E6FB24-A2D4-4DF4-A876-C98C8BE90029}"/>
                </a:ext>
              </a:extLst>
            </xdr:cNvPr>
            <xdr:cNvSpPr txBox="1"/>
          </xdr:nvSpPr>
          <xdr:spPr>
            <a:xfrm>
              <a:off x="5018227" y="637898"/>
              <a:ext cx="23241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solidFill>
                    <a:schemeClr val="dk1"/>
                  </a:solidFill>
                  <a:effectLst/>
                  <a:latin typeface="Lato Black" panose="020F0A02020204030203" pitchFamily="34" charset="0"/>
                  <a:ea typeface="+mn-ea"/>
                  <a:cs typeface="+mn-cs"/>
                </a:rPr>
                <a:t>TOTAL NORMAL DELIVARY</a:t>
              </a:r>
              <a:endParaRPr lang="en-IN" sz="1200">
                <a:effectLst/>
                <a:latin typeface="Lato Black" panose="020F0A02020204030203" pitchFamily="34" charset="0"/>
              </a:endParaRPr>
            </a:p>
            <a:p>
              <a:endParaRPr lang="en-IN" sz="1100"/>
            </a:p>
          </xdr:txBody>
        </xdr:sp>
        <xdr:sp macro="" textlink="">
          <xdr:nvSpPr>
            <xdr:cNvPr id="4" name="Rectangle: Rounded Corners 3">
              <a:extLst>
                <a:ext uri="{FF2B5EF4-FFF2-40B4-BE49-F238E27FC236}">
                  <a16:creationId xmlns:a16="http://schemas.microsoft.com/office/drawing/2014/main" id="{F148020D-DD35-4001-AF33-6EEA2862DE3C}"/>
                </a:ext>
              </a:extLst>
            </xdr:cNvPr>
            <xdr:cNvSpPr/>
          </xdr:nvSpPr>
          <xdr:spPr>
            <a:xfrm>
              <a:off x="61986" y="8912201"/>
              <a:ext cx="17640000" cy="6164911"/>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15" name="PHC_1">
                  <a:extLst>
                    <a:ext uri="{FF2B5EF4-FFF2-40B4-BE49-F238E27FC236}">
                      <a16:creationId xmlns:a16="http://schemas.microsoft.com/office/drawing/2014/main" id="{FA4EE3A4-11F4-47A4-B1C6-EF9612572BCE}"/>
                    </a:ext>
                  </a:extLst>
                </xdr:cNvPr>
                <xdr:cNvGraphicFramePr/>
              </xdr:nvGraphicFramePr>
              <xdr:xfrm>
                <a:off x="200025" y="1501775"/>
                <a:ext cx="2095500" cy="3210119"/>
              </xdr:xfrm>
              <a:graphic>
                <a:graphicData uri="http://schemas.microsoft.com/office/drawing/2010/slicer">
                  <sle:slicer xmlns:sle="http://schemas.microsoft.com/office/drawing/2010/slicer" name="PHC_1"/>
                </a:graphicData>
              </a:graphic>
            </xdr:graphicFrame>
          </mc:Choice>
          <mc:Fallback xmlns="">
            <xdr:sp macro="" textlink="">
              <xdr:nvSpPr>
                <xdr:cNvPr id="0" name=""/>
                <xdr:cNvSpPr>
                  <a:spLocks noTextEdit="1"/>
                </xdr:cNvSpPr>
              </xdr:nvSpPr>
              <xdr:spPr>
                <a:xfrm>
                  <a:off x="202305" y="1563174"/>
                  <a:ext cx="2127543" cy="3342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Religion 1">
                  <a:extLst>
                    <a:ext uri="{FF2B5EF4-FFF2-40B4-BE49-F238E27FC236}">
                      <a16:creationId xmlns:a16="http://schemas.microsoft.com/office/drawing/2014/main" id="{7AC723A1-61C8-45B5-A6A4-905D6F1CFD4F}"/>
                    </a:ext>
                  </a:extLst>
                </xdr:cNvPr>
                <xdr:cNvGraphicFramePr/>
              </xdr:nvGraphicFramePr>
              <xdr:xfrm>
                <a:off x="218999" y="4809961"/>
                <a:ext cx="2124075" cy="1188720"/>
              </xdr:xfrm>
              <a:graphic>
                <a:graphicData uri="http://schemas.microsoft.com/office/drawing/2010/slicer">
                  <sle:slicer xmlns:sle="http://schemas.microsoft.com/office/drawing/2010/slicer" name="Religion 1"/>
                </a:graphicData>
              </a:graphic>
            </xdr:graphicFrame>
          </mc:Choice>
          <mc:Fallback xmlns="">
            <xdr:sp macro="" textlink="">
              <xdr:nvSpPr>
                <xdr:cNvPr id="0" name=""/>
                <xdr:cNvSpPr>
                  <a:spLocks noTextEdit="1"/>
                </xdr:cNvSpPr>
              </xdr:nvSpPr>
              <xdr:spPr>
                <a:xfrm>
                  <a:off x="221569" y="5007477"/>
                  <a:ext cx="2156555" cy="1237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7" name="Community 1">
                  <a:extLst>
                    <a:ext uri="{FF2B5EF4-FFF2-40B4-BE49-F238E27FC236}">
                      <a16:creationId xmlns:a16="http://schemas.microsoft.com/office/drawing/2014/main" id="{968149A9-D552-4205-8579-B5D7AE357D51}"/>
                    </a:ext>
                  </a:extLst>
                </xdr:cNvPr>
                <xdr:cNvGraphicFramePr/>
              </xdr:nvGraphicFramePr>
              <xdr:xfrm>
                <a:off x="195188" y="6076487"/>
                <a:ext cx="2157412" cy="2422917"/>
              </xdr:xfrm>
              <a:graphic>
                <a:graphicData uri="http://schemas.microsoft.com/office/drawing/2010/slicer">
                  <sle:slicer xmlns:sle="http://schemas.microsoft.com/office/drawing/2010/slicer" name="Community 1"/>
                </a:graphicData>
              </a:graphic>
            </xdr:graphicFrame>
          </mc:Choice>
          <mc:Fallback xmlns="">
            <xdr:sp macro="" textlink="">
              <xdr:nvSpPr>
                <xdr:cNvPr id="0" name=""/>
                <xdr:cNvSpPr>
                  <a:spLocks noTextEdit="1"/>
                </xdr:cNvSpPr>
              </xdr:nvSpPr>
              <xdr:spPr>
                <a:xfrm>
                  <a:off x="197394" y="6326115"/>
                  <a:ext cx="2190402" cy="2522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karkal_pivot!F88">
          <xdr:nvSpPr>
            <xdr:cNvPr id="28" name="TextBox 27">
              <a:extLst>
                <a:ext uri="{FF2B5EF4-FFF2-40B4-BE49-F238E27FC236}">
                  <a16:creationId xmlns:a16="http://schemas.microsoft.com/office/drawing/2014/main" id="{2AE5F771-59DC-6293-6CDB-A6384A04E554}"/>
                </a:ext>
              </a:extLst>
            </xdr:cNvPr>
            <xdr:cNvSpPr txBox="1"/>
          </xdr:nvSpPr>
          <xdr:spPr>
            <a:xfrm>
              <a:off x="647701" y="914400"/>
              <a:ext cx="12096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D37245-44A5-4DA4-83FD-6F3D9EA7B445}" type="TxLink">
                <a:rPr lang="en-US" sz="3200" b="1" i="0" u="none" strike="noStrike">
                  <a:solidFill>
                    <a:srgbClr val="000000"/>
                  </a:solidFill>
                  <a:latin typeface="Lato Black" panose="020F0A02020204030203" pitchFamily="34" charset="0"/>
                  <a:ea typeface="Calibri"/>
                  <a:cs typeface="Calibri"/>
                </a:rPr>
                <a:pPr algn="ctr"/>
                <a:t>11</a:t>
              </a:fld>
              <a:endParaRPr lang="en-IN" sz="3200" b="1">
                <a:latin typeface="Lato Black" panose="020F0A02020204030203" pitchFamily="34" charset="0"/>
              </a:endParaRPr>
            </a:p>
          </xdr:txBody>
        </xdr:sp>
        <xdr:sp macro="" textlink="karkal_pivot!F106">
          <xdr:nvSpPr>
            <xdr:cNvPr id="29" name="TextBox 28">
              <a:extLst>
                <a:ext uri="{FF2B5EF4-FFF2-40B4-BE49-F238E27FC236}">
                  <a16:creationId xmlns:a16="http://schemas.microsoft.com/office/drawing/2014/main" id="{4A1C0E43-5950-48F1-BE77-062D7B529202}"/>
                </a:ext>
              </a:extLst>
            </xdr:cNvPr>
            <xdr:cNvSpPr txBox="1"/>
          </xdr:nvSpPr>
          <xdr:spPr>
            <a:xfrm>
              <a:off x="8130626" y="923371"/>
              <a:ext cx="12096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9825EF-CA30-4BAD-8F5D-AA9B95B6E384}" type="TxLink">
                <a:rPr lang="en-US" sz="3200" b="1" i="0" u="none" strike="noStrike">
                  <a:solidFill>
                    <a:srgbClr val="000000"/>
                  </a:solidFill>
                  <a:latin typeface="Lato Black" panose="020F0A02020204030203" pitchFamily="34" charset="0"/>
                  <a:ea typeface="Calibri"/>
                  <a:cs typeface="Calibri"/>
                </a:rPr>
                <a:pPr algn="ctr"/>
                <a:t>6</a:t>
              </a:fld>
              <a:endParaRPr lang="en-IN" sz="3200" b="1">
                <a:latin typeface="Lato Black" panose="020F0A02020204030203" pitchFamily="34" charset="0"/>
              </a:endParaRPr>
            </a:p>
          </xdr:txBody>
        </xdr:sp>
        <xdr:sp macro="" textlink="karkal_pivot!G106">
          <xdr:nvSpPr>
            <xdr:cNvPr id="30" name="TextBox 29">
              <a:extLst>
                <a:ext uri="{FF2B5EF4-FFF2-40B4-BE49-F238E27FC236}">
                  <a16:creationId xmlns:a16="http://schemas.microsoft.com/office/drawing/2014/main" id="{DCF56E8D-CDDC-4C36-9946-0BFCE971CAF4}"/>
                </a:ext>
              </a:extLst>
            </xdr:cNvPr>
            <xdr:cNvSpPr txBox="1"/>
          </xdr:nvSpPr>
          <xdr:spPr>
            <a:xfrm>
              <a:off x="10587850" y="904875"/>
              <a:ext cx="12096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90522D-CD54-4937-A197-1A2B959B5A90}" type="TxLink">
                <a:rPr lang="en-US" sz="3200" b="1" i="0" u="none" strike="noStrike">
                  <a:solidFill>
                    <a:srgbClr val="000000"/>
                  </a:solidFill>
                  <a:latin typeface="Lato Black" panose="020F0A02020204030203" pitchFamily="34" charset="0"/>
                  <a:ea typeface="Calibri"/>
                  <a:cs typeface="Calibri"/>
                </a:rPr>
                <a:pPr algn="ctr"/>
                <a:t>13</a:t>
              </a:fld>
              <a:endParaRPr lang="en-IN" sz="3200" b="1">
                <a:latin typeface="Lato Black" panose="020F0A02020204030203" pitchFamily="34" charset="0"/>
              </a:endParaRPr>
            </a:p>
          </xdr:txBody>
        </xdr:sp>
        <xdr:sp macro="" textlink="karkal_pivot!F100">
          <xdr:nvSpPr>
            <xdr:cNvPr id="31" name="TextBox 30">
              <a:extLst>
                <a:ext uri="{FF2B5EF4-FFF2-40B4-BE49-F238E27FC236}">
                  <a16:creationId xmlns:a16="http://schemas.microsoft.com/office/drawing/2014/main" id="{BC74DAFF-981D-47E4-B8DA-9A765CE17F74}"/>
                </a:ext>
              </a:extLst>
            </xdr:cNvPr>
            <xdr:cNvSpPr txBox="1"/>
          </xdr:nvSpPr>
          <xdr:spPr>
            <a:xfrm>
              <a:off x="3127524" y="895903"/>
              <a:ext cx="12096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EDEAA7-B6E9-4312-B388-7024FEC31B65}" type="TxLink">
                <a:rPr lang="en-US" sz="3200" b="0" i="0" u="none" strike="noStrike">
                  <a:solidFill>
                    <a:schemeClr val="tx1"/>
                  </a:solidFill>
                  <a:latin typeface="Lato Black" panose="020F0A02020204030203" pitchFamily="34" charset="0"/>
                  <a:ea typeface="Calibri"/>
                  <a:cs typeface="Calibri"/>
                </a:rPr>
                <a:pPr algn="ctr"/>
                <a:t>12</a:t>
              </a:fld>
              <a:endParaRPr lang="en-IN" sz="3200">
                <a:solidFill>
                  <a:schemeClr val="tx1"/>
                </a:solidFill>
                <a:latin typeface="Lato Black" panose="020F0A02020204030203" pitchFamily="34" charset="0"/>
              </a:endParaRPr>
            </a:p>
          </xdr:txBody>
        </xdr:sp>
        <xdr:sp macro="" textlink="karkal_pivot!G100">
          <xdr:nvSpPr>
            <xdr:cNvPr id="33" name="TextBox 32">
              <a:extLst>
                <a:ext uri="{FF2B5EF4-FFF2-40B4-BE49-F238E27FC236}">
                  <a16:creationId xmlns:a16="http://schemas.microsoft.com/office/drawing/2014/main" id="{5336C11E-EBE1-415D-8832-A55B485B6373}"/>
                </a:ext>
              </a:extLst>
            </xdr:cNvPr>
            <xdr:cNvSpPr txBox="1"/>
          </xdr:nvSpPr>
          <xdr:spPr>
            <a:xfrm>
              <a:off x="5471378" y="895627"/>
              <a:ext cx="12096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26326A-61EA-4035-ACFA-CCBAA14F8E08}" type="TxLink">
                <a:rPr lang="en-US" sz="3200" b="0" i="0" u="none" strike="noStrike">
                  <a:solidFill>
                    <a:schemeClr val="tx1"/>
                  </a:solidFill>
                  <a:latin typeface="Lato Black" panose="020F0A02020204030203" pitchFamily="34" charset="0"/>
                  <a:ea typeface="Calibri"/>
                  <a:cs typeface="Calibri"/>
                </a:rPr>
                <a:pPr algn="ctr"/>
                <a:t>7</a:t>
              </a:fld>
              <a:endParaRPr lang="en-IN" sz="3200">
                <a:solidFill>
                  <a:schemeClr val="tx1"/>
                </a:solidFill>
                <a:latin typeface="Lato Black" panose="020F0A02020204030203" pitchFamily="34" charset="0"/>
              </a:endParaRPr>
            </a:p>
          </xdr:txBody>
        </xdr:sp>
        <xdr:sp macro="" textlink="karkal_pivot!F94">
          <xdr:nvSpPr>
            <xdr:cNvPr id="34" name="TextBox 33">
              <a:extLst>
                <a:ext uri="{FF2B5EF4-FFF2-40B4-BE49-F238E27FC236}">
                  <a16:creationId xmlns:a16="http://schemas.microsoft.com/office/drawing/2014/main" id="{EC9C808A-F1A7-47AA-B433-F9B15352B440}"/>
                </a:ext>
              </a:extLst>
            </xdr:cNvPr>
            <xdr:cNvSpPr txBox="1"/>
          </xdr:nvSpPr>
          <xdr:spPr>
            <a:xfrm>
              <a:off x="13287049" y="885825"/>
              <a:ext cx="12096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6B5D45-4A93-4383-AF63-E34E52A0304E}" type="TxLink">
                <a:rPr lang="en-US" sz="3200" b="0" i="0" u="none" strike="noStrike">
                  <a:solidFill>
                    <a:schemeClr val="tx1"/>
                  </a:solidFill>
                  <a:latin typeface="Lato Black" panose="020F0A02020204030203" pitchFamily="34" charset="0"/>
                  <a:ea typeface="Calibri"/>
                  <a:cs typeface="Calibri"/>
                </a:rPr>
                <a:pPr algn="ctr"/>
                <a:t>4</a:t>
              </a:fld>
              <a:endParaRPr lang="en-IN" sz="3200">
                <a:solidFill>
                  <a:schemeClr val="tx1"/>
                </a:solidFill>
                <a:latin typeface="Lato Black" panose="020F0A02020204030203" pitchFamily="34" charset="0"/>
              </a:endParaRPr>
            </a:p>
          </xdr:txBody>
        </xdr:sp>
        <xdr:sp macro="" textlink="karkal_pivot!G94">
          <xdr:nvSpPr>
            <xdr:cNvPr id="35" name="TextBox 34">
              <a:extLst>
                <a:ext uri="{FF2B5EF4-FFF2-40B4-BE49-F238E27FC236}">
                  <a16:creationId xmlns:a16="http://schemas.microsoft.com/office/drawing/2014/main" id="{D3E83B7A-6E29-49B3-8170-8CB611D534EA}"/>
                </a:ext>
              </a:extLst>
            </xdr:cNvPr>
            <xdr:cNvSpPr txBox="1"/>
          </xdr:nvSpPr>
          <xdr:spPr>
            <a:xfrm>
              <a:off x="15754527" y="895350"/>
              <a:ext cx="12096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1F914A-E11F-475C-B954-57FE183EEDFE}" type="TxLink">
                <a:rPr lang="en-US" sz="3200" b="0" i="0" u="none" strike="noStrike">
                  <a:solidFill>
                    <a:schemeClr val="tx1"/>
                  </a:solidFill>
                  <a:latin typeface="Lato Black" panose="020F0A02020204030203" pitchFamily="34" charset="0"/>
                  <a:ea typeface="Calibri"/>
                  <a:cs typeface="Calibri"/>
                </a:rPr>
                <a:pPr algn="ctr"/>
                <a:t>15</a:t>
              </a:fld>
              <a:endParaRPr lang="en-IN" sz="3200">
                <a:solidFill>
                  <a:schemeClr val="tx1"/>
                </a:solidFill>
                <a:latin typeface="Lato Black" panose="020F0A02020204030203" pitchFamily="34" charset="0"/>
              </a:endParaRPr>
            </a:p>
          </xdr:txBody>
        </xdr:sp>
      </xdr:grpSp>
      <xdr:graphicFrame macro="">
        <xdr:nvGraphicFramePr>
          <xdr:cNvPr id="5" name="Chart 4">
            <a:extLst>
              <a:ext uri="{FF2B5EF4-FFF2-40B4-BE49-F238E27FC236}">
                <a16:creationId xmlns:a16="http://schemas.microsoft.com/office/drawing/2014/main" id="{173BD28A-B289-4D8D-A56A-30146619F9E4}"/>
              </a:ext>
            </a:extLst>
          </xdr:cNvPr>
          <xdr:cNvGraphicFramePr>
            <a:graphicFrameLocks/>
          </xdr:cNvGraphicFramePr>
        </xdr:nvGraphicFramePr>
        <xdr:xfrm>
          <a:off x="2581274" y="1523999"/>
          <a:ext cx="5019676" cy="357187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7" name="Chart 6">
            <a:extLst>
              <a:ext uri="{FF2B5EF4-FFF2-40B4-BE49-F238E27FC236}">
                <a16:creationId xmlns:a16="http://schemas.microsoft.com/office/drawing/2014/main" id="{CA288E27-1ED4-47F8-8709-C9EF89874F53}"/>
              </a:ext>
            </a:extLst>
          </xdr:cNvPr>
          <xdr:cNvGraphicFramePr>
            <a:graphicFrameLocks/>
          </xdr:cNvGraphicFramePr>
        </xdr:nvGraphicFramePr>
        <xdr:xfrm>
          <a:off x="12830175" y="1504950"/>
          <a:ext cx="4857750" cy="35052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8" name="Chart 7">
            <a:extLst>
              <a:ext uri="{FF2B5EF4-FFF2-40B4-BE49-F238E27FC236}">
                <a16:creationId xmlns:a16="http://schemas.microsoft.com/office/drawing/2014/main" id="{00229372-FF10-49B1-A0CE-EAF2C58AF33E}"/>
              </a:ext>
            </a:extLst>
          </xdr:cNvPr>
          <xdr:cNvGraphicFramePr>
            <a:graphicFrameLocks/>
          </xdr:cNvGraphicFramePr>
        </xdr:nvGraphicFramePr>
        <xdr:xfrm>
          <a:off x="2505076" y="5191126"/>
          <a:ext cx="5067299" cy="355282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1" name="Chart 10">
            <a:extLst>
              <a:ext uri="{FF2B5EF4-FFF2-40B4-BE49-F238E27FC236}">
                <a16:creationId xmlns:a16="http://schemas.microsoft.com/office/drawing/2014/main" id="{80870774-7C29-4463-BCB1-D753F1895558}"/>
              </a:ext>
            </a:extLst>
          </xdr:cNvPr>
          <xdr:cNvGraphicFramePr>
            <a:graphicFrameLocks/>
          </xdr:cNvGraphicFramePr>
        </xdr:nvGraphicFramePr>
        <xdr:xfrm>
          <a:off x="2447924" y="10010775"/>
          <a:ext cx="4886325" cy="2752725"/>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2" name="Chart 11">
            <a:extLst>
              <a:ext uri="{FF2B5EF4-FFF2-40B4-BE49-F238E27FC236}">
                <a16:creationId xmlns:a16="http://schemas.microsoft.com/office/drawing/2014/main" id="{F41E9AC3-1F03-458F-822C-F7E95FA0A8E2}"/>
              </a:ext>
            </a:extLst>
          </xdr:cNvPr>
          <xdr:cNvGraphicFramePr>
            <a:graphicFrameLocks/>
          </xdr:cNvGraphicFramePr>
        </xdr:nvGraphicFramePr>
        <xdr:xfrm>
          <a:off x="7437120" y="10020300"/>
          <a:ext cx="4885200" cy="27432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3" name="Chart 12">
            <a:extLst>
              <a:ext uri="{FF2B5EF4-FFF2-40B4-BE49-F238E27FC236}">
                <a16:creationId xmlns:a16="http://schemas.microsoft.com/office/drawing/2014/main" id="{811764E6-1B19-4EFE-8D3B-5E7DA1D9F956}"/>
              </a:ext>
            </a:extLst>
          </xdr:cNvPr>
          <xdr:cNvGraphicFramePr>
            <a:graphicFrameLocks/>
          </xdr:cNvGraphicFramePr>
        </xdr:nvGraphicFramePr>
        <xdr:xfrm>
          <a:off x="12430124" y="10005059"/>
          <a:ext cx="5191125" cy="2748915"/>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4" name="Chart 13">
            <a:extLst>
              <a:ext uri="{FF2B5EF4-FFF2-40B4-BE49-F238E27FC236}">
                <a16:creationId xmlns:a16="http://schemas.microsoft.com/office/drawing/2014/main" id="{D9DD1A63-9AD2-4B58-8EE9-A282F2197516}"/>
              </a:ext>
            </a:extLst>
          </xdr:cNvPr>
          <xdr:cNvGraphicFramePr>
            <a:graphicFrameLocks/>
          </xdr:cNvGraphicFramePr>
        </xdr:nvGraphicFramePr>
        <xdr:xfrm>
          <a:off x="5434965" y="12894945"/>
          <a:ext cx="4885200" cy="268200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18" name="Chart 17">
            <a:extLst>
              <a:ext uri="{FF2B5EF4-FFF2-40B4-BE49-F238E27FC236}">
                <a16:creationId xmlns:a16="http://schemas.microsoft.com/office/drawing/2014/main" id="{091E73AF-7008-407D-83B2-D0ED685E40E5}"/>
              </a:ext>
            </a:extLst>
          </xdr:cNvPr>
          <xdr:cNvGraphicFramePr>
            <a:graphicFrameLocks/>
          </xdr:cNvGraphicFramePr>
        </xdr:nvGraphicFramePr>
        <xdr:xfrm>
          <a:off x="10740390" y="12872085"/>
          <a:ext cx="4885200" cy="2682000"/>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20" name="Rectangle: Rounded Corners 19">
            <a:extLst>
              <a:ext uri="{FF2B5EF4-FFF2-40B4-BE49-F238E27FC236}">
                <a16:creationId xmlns:a16="http://schemas.microsoft.com/office/drawing/2014/main" id="{116D4411-8055-B2EE-B40A-14A8309EE93A}"/>
              </a:ext>
            </a:extLst>
          </xdr:cNvPr>
          <xdr:cNvSpPr/>
        </xdr:nvSpPr>
        <xdr:spPr>
          <a:xfrm>
            <a:off x="276225" y="9353550"/>
            <a:ext cx="17297400" cy="485775"/>
          </a:xfrm>
          <a:prstGeom prst="roundRect">
            <a:avLst>
              <a:gd name="adj" fmla="val 32353"/>
            </a:avLst>
          </a:prstGeom>
          <a:gradFill flip="none" rotWithShape="1">
            <a:gsLst>
              <a:gs pos="40000">
                <a:schemeClr val="accent3">
                  <a:lumMod val="40000"/>
                  <a:lumOff val="60000"/>
                </a:schemeClr>
              </a:gs>
              <a:gs pos="0">
                <a:srgbClr val="E8EFD9"/>
              </a:gs>
              <a:gs pos="82000">
                <a:schemeClr val="accent3">
                  <a:lumMod val="75000"/>
                </a:schemeClr>
              </a:gs>
              <a:gs pos="100000">
                <a:schemeClr val="accent3">
                  <a:lumMod val="50000"/>
                </a:schemeClr>
              </a:gs>
            </a:gsLst>
            <a:lin ang="5400000" scaled="1"/>
            <a:tileRect/>
          </a:gra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IN" sz="3200">
                <a:solidFill>
                  <a:schemeClr val="tx1"/>
                </a:solidFill>
                <a:latin typeface="Lato Black" panose="020F0A02020204030203" pitchFamily="34" charset="0"/>
              </a:rPr>
              <a:t>Premature Death Analysis</a:t>
            </a:r>
          </a:p>
        </xdr:txBody>
      </xdr:sp>
      <mc:AlternateContent xmlns:mc="http://schemas.openxmlformats.org/markup-compatibility/2006" xmlns:a14="http://schemas.microsoft.com/office/drawing/2010/main">
        <mc:Choice Requires="a14">
          <xdr:graphicFrame macro="">
            <xdr:nvGraphicFramePr>
              <xdr:cNvPr id="22" name="PHC 4">
                <a:extLst>
                  <a:ext uri="{FF2B5EF4-FFF2-40B4-BE49-F238E27FC236}">
                    <a16:creationId xmlns:a16="http://schemas.microsoft.com/office/drawing/2014/main" id="{259E3BAA-1892-4AD3-BC1C-A11F37CDABFE}"/>
                  </a:ext>
                </a:extLst>
              </xdr:cNvPr>
              <xdr:cNvGraphicFramePr/>
            </xdr:nvGraphicFramePr>
            <xdr:xfrm>
              <a:off x="208046" y="10106025"/>
              <a:ext cx="2192253" cy="3454390"/>
            </xdr:xfrm>
            <a:graphic>
              <a:graphicData uri="http://schemas.microsoft.com/office/drawing/2010/slicer">
                <sle:slicer xmlns:sle="http://schemas.microsoft.com/office/drawing/2010/slicer" name="PHC 4"/>
              </a:graphicData>
            </a:graphic>
          </xdr:graphicFrame>
        </mc:Choice>
        <mc:Fallback xmlns="">
          <xdr:sp macro="" textlink="">
            <xdr:nvSpPr>
              <xdr:cNvPr id="0" name=""/>
              <xdr:cNvSpPr>
                <a:spLocks noTextEdit="1"/>
              </xdr:cNvSpPr>
            </xdr:nvSpPr>
            <xdr:spPr>
              <a:xfrm>
                <a:off x="210028" y="10106025"/>
                <a:ext cx="2219901" cy="3454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3" name="Religion 4">
                <a:extLst>
                  <a:ext uri="{FF2B5EF4-FFF2-40B4-BE49-F238E27FC236}">
                    <a16:creationId xmlns:a16="http://schemas.microsoft.com/office/drawing/2014/main" id="{4B74F0B3-E26E-44E0-BBA3-C2CC55152536}"/>
                  </a:ext>
                </a:extLst>
              </xdr:cNvPr>
              <xdr:cNvGraphicFramePr/>
            </xdr:nvGraphicFramePr>
            <xdr:xfrm>
              <a:off x="246121" y="13778928"/>
              <a:ext cx="2129697" cy="1237630"/>
            </xdr:xfrm>
            <a:graphic>
              <a:graphicData uri="http://schemas.microsoft.com/office/drawing/2010/slicer">
                <sle:slicer xmlns:sle="http://schemas.microsoft.com/office/drawing/2010/slicer" name="Religion 4"/>
              </a:graphicData>
            </a:graphic>
          </xdr:graphicFrame>
        </mc:Choice>
        <mc:Fallback xmlns="">
          <xdr:sp macro="" textlink="">
            <xdr:nvSpPr>
              <xdr:cNvPr id="0" name=""/>
              <xdr:cNvSpPr>
                <a:spLocks noTextEdit="1"/>
              </xdr:cNvSpPr>
            </xdr:nvSpPr>
            <xdr:spPr>
              <a:xfrm>
                <a:off x="248583" y="13778928"/>
                <a:ext cx="2156556" cy="1237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4" name="Community 4">
                <a:extLst>
                  <a:ext uri="{FF2B5EF4-FFF2-40B4-BE49-F238E27FC236}">
                    <a16:creationId xmlns:a16="http://schemas.microsoft.com/office/drawing/2014/main" id="{354D87F6-71A5-4EB4-A420-ED4FC0E9BB8C}"/>
                  </a:ext>
                </a:extLst>
              </xdr:cNvPr>
              <xdr:cNvGraphicFramePr/>
            </xdr:nvGraphicFramePr>
            <xdr:xfrm>
              <a:off x="2574922" y="12992541"/>
              <a:ext cx="2163122" cy="2542734"/>
            </xdr:xfrm>
            <a:graphic>
              <a:graphicData uri="http://schemas.microsoft.com/office/drawing/2010/slicer">
                <sle:slicer xmlns:sle="http://schemas.microsoft.com/office/drawing/2010/slicer" name="Community 4"/>
              </a:graphicData>
            </a:graphic>
          </xdr:graphicFrame>
        </mc:Choice>
        <mc:Fallback xmlns="">
          <xdr:sp macro="" textlink="">
            <xdr:nvSpPr>
              <xdr:cNvPr id="0" name=""/>
              <xdr:cNvSpPr>
                <a:spLocks noTextEdit="1"/>
              </xdr:cNvSpPr>
            </xdr:nvSpPr>
            <xdr:spPr>
              <a:xfrm>
                <a:off x="2606754" y="12992541"/>
                <a:ext cx="2190402" cy="2542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7</xdr:col>
      <xdr:colOff>3171825</xdr:colOff>
      <xdr:row>29</xdr:row>
      <xdr:rowOff>152400</xdr:rowOff>
    </xdr:from>
    <xdr:to>
      <xdr:col>14</xdr:col>
      <xdr:colOff>47625</xdr:colOff>
      <xdr:row>50</xdr:row>
      <xdr:rowOff>66676</xdr:rowOff>
    </xdr:to>
    <xdr:graphicFrame macro="">
      <xdr:nvGraphicFramePr>
        <xdr:cNvPr id="21" name="Chart 20">
          <a:extLst>
            <a:ext uri="{FF2B5EF4-FFF2-40B4-BE49-F238E27FC236}">
              <a16:creationId xmlns:a16="http://schemas.microsoft.com/office/drawing/2014/main" id="{C6204398-A30A-4114-BB25-8BD8D0408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2724150</xdr:colOff>
      <xdr:row>30</xdr:row>
      <xdr:rowOff>0</xdr:rowOff>
    </xdr:from>
    <xdr:to>
      <xdr:col>7</xdr:col>
      <xdr:colOff>2971800</xdr:colOff>
      <xdr:row>50</xdr:row>
      <xdr:rowOff>114300</xdr:rowOff>
    </xdr:to>
    <xdr:graphicFrame macro="">
      <xdr:nvGraphicFramePr>
        <xdr:cNvPr id="25" name="Chart 24">
          <a:extLst>
            <a:ext uri="{FF2B5EF4-FFF2-40B4-BE49-F238E27FC236}">
              <a16:creationId xmlns:a16="http://schemas.microsoft.com/office/drawing/2014/main" id="{B4823B52-0E0A-4A26-8F52-98EA51928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2619376</xdr:colOff>
      <xdr:row>8</xdr:row>
      <xdr:rowOff>104775</xdr:rowOff>
    </xdr:from>
    <xdr:to>
      <xdr:col>7</xdr:col>
      <xdr:colOff>2933700</xdr:colOff>
      <xdr:row>27</xdr:row>
      <xdr:rowOff>123825</xdr:rowOff>
    </xdr:to>
    <xdr:graphicFrame macro="">
      <xdr:nvGraphicFramePr>
        <xdr:cNvPr id="26" name="Chart 25">
          <a:extLst>
            <a:ext uri="{FF2B5EF4-FFF2-40B4-BE49-F238E27FC236}">
              <a16:creationId xmlns:a16="http://schemas.microsoft.com/office/drawing/2014/main" id="{D22182A3-A6E3-4C66-87B7-28A69D3E6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28575</xdr:colOff>
      <xdr:row>0</xdr:row>
      <xdr:rowOff>8659</xdr:rowOff>
    </xdr:from>
    <xdr:to>
      <xdr:col>14</xdr:col>
      <xdr:colOff>165975</xdr:colOff>
      <xdr:row>91</xdr:row>
      <xdr:rowOff>197134</xdr:rowOff>
    </xdr:to>
    <xdr:grpSp>
      <xdr:nvGrpSpPr>
        <xdr:cNvPr id="59" name="Group 58">
          <a:extLst>
            <a:ext uri="{FF2B5EF4-FFF2-40B4-BE49-F238E27FC236}">
              <a16:creationId xmlns:a16="http://schemas.microsoft.com/office/drawing/2014/main" id="{DC2B794A-D7BE-D374-4241-690FBF951202}"/>
            </a:ext>
          </a:extLst>
        </xdr:cNvPr>
        <xdr:cNvGrpSpPr/>
      </xdr:nvGrpSpPr>
      <xdr:grpSpPr>
        <a:xfrm>
          <a:off x="28575" y="8659"/>
          <a:ext cx="17892000" cy="16847700"/>
          <a:chOff x="28575" y="8659"/>
          <a:chExt cx="17892000" cy="16847700"/>
        </a:xfrm>
      </xdr:grpSpPr>
      <xdr:grpSp>
        <xdr:nvGrpSpPr>
          <xdr:cNvPr id="2" name="Group 1">
            <a:extLst>
              <a:ext uri="{FF2B5EF4-FFF2-40B4-BE49-F238E27FC236}">
                <a16:creationId xmlns:a16="http://schemas.microsoft.com/office/drawing/2014/main" id="{B8CC5298-10FB-482F-AD84-0D860FEB9703}"/>
              </a:ext>
            </a:extLst>
          </xdr:cNvPr>
          <xdr:cNvGrpSpPr/>
        </xdr:nvGrpSpPr>
        <xdr:grpSpPr>
          <a:xfrm>
            <a:off x="28575" y="8659"/>
            <a:ext cx="17892000" cy="16847700"/>
            <a:chOff x="50798" y="9524"/>
            <a:chExt cx="17844772" cy="16625088"/>
          </a:xfrm>
        </xdr:grpSpPr>
        <xdr:sp macro="" textlink="">
          <xdr:nvSpPr>
            <xdr:cNvPr id="3" name="Rectangle: Rounded Corners 2">
              <a:extLst>
                <a:ext uri="{FF2B5EF4-FFF2-40B4-BE49-F238E27FC236}">
                  <a16:creationId xmlns:a16="http://schemas.microsoft.com/office/drawing/2014/main" id="{2417073A-2339-74BE-BA1D-475114240E66}"/>
                </a:ext>
              </a:extLst>
            </xdr:cNvPr>
            <xdr:cNvSpPr/>
          </xdr:nvSpPr>
          <xdr:spPr>
            <a:xfrm>
              <a:off x="50798" y="9524"/>
              <a:ext cx="17748000" cy="546599"/>
            </a:xfrm>
            <a:prstGeom prst="roundRect">
              <a:avLst/>
            </a:prstGeom>
            <a:solidFill>
              <a:schemeClr val="accent3">
                <a:lumMod val="40000"/>
                <a:lumOff val="60000"/>
              </a:schemeClr>
            </a:soli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IN" sz="4000">
                  <a:solidFill>
                    <a:sysClr val="windowText" lastClr="000000"/>
                  </a:solidFill>
                  <a:effectLst>
                    <a:outerShdw blurRad="50800" dist="38100" dir="5400000" algn="t" rotWithShape="0">
                      <a:prstClr val="black">
                        <a:alpha val="40000"/>
                      </a:prstClr>
                    </a:outerShdw>
                  </a:effectLst>
                  <a:latin typeface="Lato Black" panose="020F0A02020204030203" pitchFamily="34" charset="0"/>
                </a:rPr>
                <a:t>INFANT</a:t>
              </a:r>
              <a:r>
                <a:rPr lang="en-IN" sz="4000" baseline="0">
                  <a:solidFill>
                    <a:sysClr val="windowText" lastClr="000000"/>
                  </a:solidFill>
                  <a:effectLst>
                    <a:outerShdw blurRad="50800" dist="38100" dir="5400000" algn="t" rotWithShape="0">
                      <a:prstClr val="black">
                        <a:alpha val="40000"/>
                      </a:prstClr>
                    </a:outerShdw>
                  </a:effectLst>
                  <a:latin typeface="Lato Black" panose="020F0A02020204030203" pitchFamily="34" charset="0"/>
                </a:rPr>
                <a:t> DEATH REPORT</a:t>
              </a:r>
              <a:endParaRPr lang="en-IN" sz="4000">
                <a:solidFill>
                  <a:sysClr val="windowText" lastClr="000000"/>
                </a:solidFill>
                <a:effectLst>
                  <a:outerShdw blurRad="50800" dist="38100" dir="5400000" algn="t" rotWithShape="0">
                    <a:prstClr val="black">
                      <a:alpha val="40000"/>
                    </a:prstClr>
                  </a:outerShdw>
                </a:effectLst>
                <a:latin typeface="Lato Black" panose="020F0A02020204030203" pitchFamily="34" charset="0"/>
              </a:endParaRPr>
            </a:p>
          </xdr:txBody>
        </xdr:sp>
        <xdr:sp macro="" textlink="">
          <xdr:nvSpPr>
            <xdr:cNvPr id="4" name="Rectangle: Rounded Corners 3">
              <a:extLst>
                <a:ext uri="{FF2B5EF4-FFF2-40B4-BE49-F238E27FC236}">
                  <a16:creationId xmlns:a16="http://schemas.microsoft.com/office/drawing/2014/main" id="{0A0622C1-A822-FDC1-B2F5-6B08257EE3BD}"/>
                </a:ext>
              </a:extLst>
            </xdr:cNvPr>
            <xdr:cNvSpPr/>
          </xdr:nvSpPr>
          <xdr:spPr>
            <a:xfrm>
              <a:off x="76200" y="1392639"/>
              <a:ext cx="2324100" cy="7313781"/>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11" name="Rectangle: Rounded Corners 10">
              <a:extLst>
                <a:ext uri="{FF2B5EF4-FFF2-40B4-BE49-F238E27FC236}">
                  <a16:creationId xmlns:a16="http://schemas.microsoft.com/office/drawing/2014/main" id="{5D75B108-5940-600C-0BB7-F51A8E4D3861}"/>
                </a:ext>
              </a:extLst>
            </xdr:cNvPr>
            <xdr:cNvSpPr/>
          </xdr:nvSpPr>
          <xdr:spPr>
            <a:xfrm>
              <a:off x="12777788" y="1447095"/>
              <a:ext cx="4968000" cy="3581289"/>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D4E128EC-092A-E540-7B5C-5AF111383781}"/>
                </a:ext>
              </a:extLst>
            </xdr:cNvPr>
            <xdr:cNvSpPr/>
          </xdr:nvSpPr>
          <xdr:spPr>
            <a:xfrm>
              <a:off x="228650" y="16166098"/>
              <a:ext cx="17352000" cy="468514"/>
            </a:xfrm>
            <a:prstGeom prst="roundRect">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IN" sz="4000">
                  <a:solidFill>
                    <a:sysClr val="windowText" lastClr="000000"/>
                  </a:solidFill>
                  <a:effectLst>
                    <a:outerShdw blurRad="50800" dist="38100" dir="5400000" algn="t" rotWithShape="0">
                      <a:prstClr val="black">
                        <a:alpha val="40000"/>
                      </a:prstClr>
                    </a:outerShdw>
                  </a:effectLst>
                  <a:latin typeface="Lato Black" panose="020F0A02020204030203" pitchFamily="34" charset="0"/>
                </a:rPr>
                <a:t>CAUSE</a:t>
              </a:r>
              <a:r>
                <a:rPr lang="en-IN" sz="4000" baseline="0">
                  <a:solidFill>
                    <a:sysClr val="windowText" lastClr="000000"/>
                  </a:solidFill>
                  <a:effectLst>
                    <a:outerShdw blurRad="50800" dist="38100" dir="5400000" algn="t" rotWithShape="0">
                      <a:prstClr val="black">
                        <a:alpha val="40000"/>
                      </a:prstClr>
                    </a:outerShdw>
                  </a:effectLst>
                  <a:latin typeface="Lato Black" panose="020F0A02020204030203" pitchFamily="34" charset="0"/>
                </a:rPr>
                <a:t> OF INFANT DEATHS</a:t>
              </a:r>
              <a:endParaRPr lang="en-IN" sz="4000">
                <a:solidFill>
                  <a:sysClr val="windowText" lastClr="000000"/>
                </a:solidFill>
                <a:effectLst>
                  <a:outerShdw blurRad="50800" dist="38100" dir="5400000" algn="t" rotWithShape="0">
                    <a:prstClr val="black">
                      <a:alpha val="40000"/>
                    </a:prstClr>
                  </a:outerShdw>
                </a:effectLst>
                <a:latin typeface="Lato Black" panose="020F0A02020204030203" pitchFamily="34" charset="0"/>
              </a:endParaRPr>
            </a:p>
          </xdr:txBody>
        </xdr:sp>
        <xdr:sp macro="" textlink="">
          <xdr:nvSpPr>
            <xdr:cNvPr id="13" name="Rectangle: Rounded Corners 12">
              <a:extLst>
                <a:ext uri="{FF2B5EF4-FFF2-40B4-BE49-F238E27FC236}">
                  <a16:creationId xmlns:a16="http://schemas.microsoft.com/office/drawing/2014/main" id="{F876AE2D-3F84-B262-C915-012FB6468D2E}"/>
                </a:ext>
              </a:extLst>
            </xdr:cNvPr>
            <xdr:cNvSpPr/>
          </xdr:nvSpPr>
          <xdr:spPr>
            <a:xfrm>
              <a:off x="2452713" y="1425201"/>
              <a:ext cx="5121972" cy="3581289"/>
            </a:xfrm>
            <a:prstGeom prst="roundRect">
              <a:avLst>
                <a:gd name="adj" fmla="val 5612"/>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80A7348A-F2DC-4049-5949-C4486ABBC90E}"/>
                </a:ext>
              </a:extLst>
            </xdr:cNvPr>
            <xdr:cNvSpPr/>
          </xdr:nvSpPr>
          <xdr:spPr>
            <a:xfrm>
              <a:off x="2462213" y="5057479"/>
              <a:ext cx="5140972" cy="3581289"/>
            </a:xfrm>
            <a:prstGeom prst="roundRect">
              <a:avLst>
                <a:gd name="adj" fmla="val 6137"/>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2E79BDC6-2742-7656-94B0-E0A4FAB44693}"/>
                </a:ext>
              </a:extLst>
            </xdr:cNvPr>
            <xdr:cNvSpPr/>
          </xdr:nvSpPr>
          <xdr:spPr>
            <a:xfrm>
              <a:off x="7624763" y="1456621"/>
              <a:ext cx="5100637" cy="3581289"/>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77DE49A9-BCBA-60D0-EC0E-3AF7EFFF3A17}"/>
                </a:ext>
              </a:extLst>
            </xdr:cNvPr>
            <xdr:cNvSpPr/>
          </xdr:nvSpPr>
          <xdr:spPr>
            <a:xfrm>
              <a:off x="2587629" y="604047"/>
              <a:ext cx="2340000" cy="745362"/>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17" name="Rectangle: Rounded Corners 16">
              <a:extLst>
                <a:ext uri="{FF2B5EF4-FFF2-40B4-BE49-F238E27FC236}">
                  <a16:creationId xmlns:a16="http://schemas.microsoft.com/office/drawing/2014/main" id="{F2224FE7-D345-DA1E-6EF1-397598D2EDAD}"/>
                </a:ext>
              </a:extLst>
            </xdr:cNvPr>
            <xdr:cNvSpPr/>
          </xdr:nvSpPr>
          <xdr:spPr>
            <a:xfrm>
              <a:off x="104775" y="594333"/>
              <a:ext cx="2340000" cy="745362"/>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18" name="Rectangle: Rounded Corners 17">
              <a:extLst>
                <a:ext uri="{FF2B5EF4-FFF2-40B4-BE49-F238E27FC236}">
                  <a16:creationId xmlns:a16="http://schemas.microsoft.com/office/drawing/2014/main" id="{5D7757D7-F504-3A90-C76B-7580B911B379}"/>
                </a:ext>
              </a:extLst>
            </xdr:cNvPr>
            <xdr:cNvSpPr/>
          </xdr:nvSpPr>
          <xdr:spPr>
            <a:xfrm>
              <a:off x="5070483" y="623476"/>
              <a:ext cx="2340000" cy="745362"/>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19" name="Rectangle: Rounded Corners 18">
              <a:extLst>
                <a:ext uri="{FF2B5EF4-FFF2-40B4-BE49-F238E27FC236}">
                  <a16:creationId xmlns:a16="http://schemas.microsoft.com/office/drawing/2014/main" id="{B3480EF0-3764-F0F8-BB23-FE5739AE18FA}"/>
                </a:ext>
              </a:extLst>
            </xdr:cNvPr>
            <xdr:cNvSpPr/>
          </xdr:nvSpPr>
          <xdr:spPr>
            <a:xfrm>
              <a:off x="7553337" y="642905"/>
              <a:ext cx="2340000" cy="745362"/>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20" name="Rectangle: Rounded Corners 19">
              <a:extLst>
                <a:ext uri="{FF2B5EF4-FFF2-40B4-BE49-F238E27FC236}">
                  <a16:creationId xmlns:a16="http://schemas.microsoft.com/office/drawing/2014/main" id="{E84366A7-34F9-8A19-398A-A49F2156D593}"/>
                </a:ext>
              </a:extLst>
            </xdr:cNvPr>
            <xdr:cNvSpPr/>
          </xdr:nvSpPr>
          <xdr:spPr>
            <a:xfrm>
              <a:off x="10036191" y="633190"/>
              <a:ext cx="2606675" cy="745362"/>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21" name="Rectangle: Rounded Corners 20">
              <a:extLst>
                <a:ext uri="{FF2B5EF4-FFF2-40B4-BE49-F238E27FC236}">
                  <a16:creationId xmlns:a16="http://schemas.microsoft.com/office/drawing/2014/main" id="{99C8FE14-5BD5-91D6-D286-F51EBA427AF5}"/>
                </a:ext>
              </a:extLst>
            </xdr:cNvPr>
            <xdr:cNvSpPr/>
          </xdr:nvSpPr>
          <xdr:spPr>
            <a:xfrm>
              <a:off x="12785720" y="652618"/>
              <a:ext cx="2340000" cy="745362"/>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22" name="Rectangle: Rounded Corners 21">
              <a:extLst>
                <a:ext uri="{FF2B5EF4-FFF2-40B4-BE49-F238E27FC236}">
                  <a16:creationId xmlns:a16="http://schemas.microsoft.com/office/drawing/2014/main" id="{C4172DC7-B9CF-B8FB-D7E4-696610CC74C5}"/>
                </a:ext>
              </a:extLst>
            </xdr:cNvPr>
            <xdr:cNvSpPr/>
          </xdr:nvSpPr>
          <xdr:spPr>
            <a:xfrm>
              <a:off x="15268575" y="651359"/>
              <a:ext cx="2520975" cy="745362"/>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23" name="Rectangle: Rounded Corners 22">
              <a:extLst>
                <a:ext uri="{FF2B5EF4-FFF2-40B4-BE49-F238E27FC236}">
                  <a16:creationId xmlns:a16="http://schemas.microsoft.com/office/drawing/2014/main" id="{B9947AD1-A236-7A27-3F2F-9791FFB9F372}"/>
                </a:ext>
              </a:extLst>
            </xdr:cNvPr>
            <xdr:cNvSpPr/>
          </xdr:nvSpPr>
          <xdr:spPr>
            <a:xfrm>
              <a:off x="7658099" y="5076529"/>
              <a:ext cx="5057775" cy="3581289"/>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882B443D-D046-CA26-1A09-1885C0425252}"/>
                </a:ext>
              </a:extLst>
            </xdr:cNvPr>
            <xdr:cNvSpPr/>
          </xdr:nvSpPr>
          <xdr:spPr>
            <a:xfrm>
              <a:off x="12787313" y="5067953"/>
              <a:ext cx="4968000" cy="3581289"/>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25" name="TextBox 24">
              <a:hlinkClick xmlns:r="http://schemas.openxmlformats.org/officeDocument/2006/relationships" r:id="rId1" tooltip="Udupi Taluk"/>
              <a:extLst>
                <a:ext uri="{FF2B5EF4-FFF2-40B4-BE49-F238E27FC236}">
                  <a16:creationId xmlns:a16="http://schemas.microsoft.com/office/drawing/2014/main" id="{BCF222FA-6B10-AA7E-F6C9-E5EAB9121AD1}"/>
                </a:ext>
              </a:extLst>
            </xdr:cNvPr>
            <xdr:cNvSpPr txBox="1"/>
          </xdr:nvSpPr>
          <xdr:spPr>
            <a:xfrm>
              <a:off x="16752570" y="137162"/>
              <a:ext cx="1143000" cy="37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Lato Black" panose="020F0A02020204030203" pitchFamily="34" charset="0"/>
                </a:rPr>
                <a:t>UDUPI</a:t>
              </a:r>
            </a:p>
          </xdr:txBody>
        </xdr:sp>
        <xdr:sp macro="" textlink="">
          <xdr:nvSpPr>
            <xdr:cNvPr id="26" name="TextBox 25">
              <a:hlinkClick xmlns:r="http://schemas.openxmlformats.org/officeDocument/2006/relationships" r:id="rId2" tooltip="Kundapura Taluk"/>
              <a:extLst>
                <a:ext uri="{FF2B5EF4-FFF2-40B4-BE49-F238E27FC236}">
                  <a16:creationId xmlns:a16="http://schemas.microsoft.com/office/drawing/2014/main" id="{794528B9-7026-3EDA-804D-8D112B12EA61}"/>
                </a:ext>
              </a:extLst>
            </xdr:cNvPr>
            <xdr:cNvSpPr txBox="1"/>
          </xdr:nvSpPr>
          <xdr:spPr>
            <a:xfrm>
              <a:off x="15087776" y="89677"/>
              <a:ext cx="1495425" cy="415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Lato Black" panose="020F0A02020204030203" pitchFamily="34" charset="0"/>
                </a:rPr>
                <a:t>KUNDAPURA</a:t>
              </a:r>
            </a:p>
          </xdr:txBody>
        </xdr:sp>
        <xdr:sp macro="" textlink="">
          <xdr:nvSpPr>
            <xdr:cNvPr id="27" name="TextBox 26">
              <a:hlinkClick xmlns:r="http://schemas.openxmlformats.org/officeDocument/2006/relationships" r:id="rId3" tooltip="Karkal Taluk"/>
              <a:extLst>
                <a:ext uri="{FF2B5EF4-FFF2-40B4-BE49-F238E27FC236}">
                  <a16:creationId xmlns:a16="http://schemas.microsoft.com/office/drawing/2014/main" id="{5DEA9041-77E3-9021-11B5-93A9B9B4D6D2}"/>
                </a:ext>
              </a:extLst>
            </xdr:cNvPr>
            <xdr:cNvSpPr txBox="1"/>
          </xdr:nvSpPr>
          <xdr:spPr>
            <a:xfrm>
              <a:off x="13639800" y="102395"/>
              <a:ext cx="1260000" cy="42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Lato Black" panose="020F0A02020204030203" pitchFamily="34" charset="0"/>
                </a:rPr>
                <a:t>KARKAL</a:t>
              </a:r>
            </a:p>
          </xdr:txBody>
        </xdr:sp>
        <xdr:pic>
          <xdr:nvPicPr>
            <xdr:cNvPr id="28" name="Graphic 27" descr="Marker with solid fill">
              <a:extLst>
                <a:ext uri="{FF2B5EF4-FFF2-40B4-BE49-F238E27FC236}">
                  <a16:creationId xmlns:a16="http://schemas.microsoft.com/office/drawing/2014/main" id="{D81A8D18-A854-011B-FDBE-BF5D4F60853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468350" y="38100"/>
              <a:ext cx="457200" cy="457200"/>
            </a:xfrm>
            <a:prstGeom prst="rect">
              <a:avLst/>
            </a:prstGeom>
          </xdr:spPr>
        </xdr:pic>
        <xdr:pic>
          <xdr:nvPicPr>
            <xdr:cNvPr id="29" name="Graphic 28" descr="Marker with solid fill">
              <a:extLst>
                <a:ext uri="{FF2B5EF4-FFF2-40B4-BE49-F238E27FC236}">
                  <a16:creationId xmlns:a16="http://schemas.microsoft.com/office/drawing/2014/main" id="{64ED4C2E-4C1F-4B57-6C91-AA4FF8327B2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821026" y="47625"/>
              <a:ext cx="457200" cy="457200"/>
            </a:xfrm>
            <a:prstGeom prst="rect">
              <a:avLst/>
            </a:prstGeom>
          </xdr:spPr>
        </xdr:pic>
        <xdr:pic>
          <xdr:nvPicPr>
            <xdr:cNvPr id="30" name="Graphic 29" descr="Marker with solid fill">
              <a:extLst>
                <a:ext uri="{FF2B5EF4-FFF2-40B4-BE49-F238E27FC236}">
                  <a16:creationId xmlns:a16="http://schemas.microsoft.com/office/drawing/2014/main" id="{B293B111-DE6C-464D-7561-596F4430882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621125" y="38100"/>
              <a:ext cx="457200" cy="457200"/>
            </a:xfrm>
            <a:prstGeom prst="rect">
              <a:avLst/>
            </a:prstGeom>
          </xdr:spPr>
        </xdr:pic>
        <xdr:sp macro="" textlink="">
          <xdr:nvSpPr>
            <xdr:cNvPr id="31" name="Rectangle: Rounded Corners 30">
              <a:extLst>
                <a:ext uri="{FF2B5EF4-FFF2-40B4-BE49-F238E27FC236}">
                  <a16:creationId xmlns:a16="http://schemas.microsoft.com/office/drawing/2014/main" id="{673A8497-4590-0F20-BA7C-A9640D6E4EE5}"/>
                </a:ext>
              </a:extLst>
            </xdr:cNvPr>
            <xdr:cNvSpPr/>
          </xdr:nvSpPr>
          <xdr:spPr>
            <a:xfrm>
              <a:off x="15203956" y="369553"/>
              <a:ext cx="449580" cy="45719"/>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9883B686-B439-2B0D-2B5D-F42DE34D4E9B}"/>
                </a:ext>
              </a:extLst>
            </xdr:cNvPr>
            <xdr:cNvSpPr txBox="1"/>
          </xdr:nvSpPr>
          <xdr:spPr>
            <a:xfrm>
              <a:off x="200025" y="604128"/>
              <a:ext cx="21621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Lato Black" panose="020F0A02020204030203" pitchFamily="34" charset="0"/>
                </a:rPr>
                <a:t>TOTAL HRP </a:t>
              </a:r>
            </a:p>
          </xdr:txBody>
        </xdr:sp>
        <xdr:sp macro="" textlink="">
          <xdr:nvSpPr>
            <xdr:cNvPr id="33" name="TextBox 32">
              <a:extLst>
                <a:ext uri="{FF2B5EF4-FFF2-40B4-BE49-F238E27FC236}">
                  <a16:creationId xmlns:a16="http://schemas.microsoft.com/office/drawing/2014/main" id="{D82C6F75-3436-22E1-6A8F-2F8890A9BEEB}"/>
                </a:ext>
              </a:extLst>
            </xdr:cNvPr>
            <xdr:cNvSpPr txBox="1"/>
          </xdr:nvSpPr>
          <xdr:spPr>
            <a:xfrm>
              <a:off x="7749449" y="650134"/>
              <a:ext cx="21621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Lato Black" panose="020F0A02020204030203" pitchFamily="34" charset="0"/>
                </a:rPr>
                <a:t>TOTAL INFANT DEATH</a:t>
              </a:r>
            </a:p>
          </xdr:txBody>
        </xdr:sp>
        <xdr:sp macro="" textlink="">
          <xdr:nvSpPr>
            <xdr:cNvPr id="34" name="TextBox 33">
              <a:extLst>
                <a:ext uri="{FF2B5EF4-FFF2-40B4-BE49-F238E27FC236}">
                  <a16:creationId xmlns:a16="http://schemas.microsoft.com/office/drawing/2014/main" id="{3056F532-F98D-B526-D74A-8163B0566512}"/>
                </a:ext>
              </a:extLst>
            </xdr:cNvPr>
            <xdr:cNvSpPr txBox="1"/>
          </xdr:nvSpPr>
          <xdr:spPr>
            <a:xfrm>
              <a:off x="10225949" y="644941"/>
              <a:ext cx="216217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prstClr val="black"/>
                  </a:solidFill>
                  <a:effectLst/>
                  <a:uLnTx/>
                  <a:uFillTx/>
                  <a:latin typeface="Lato Black" panose="020F0A02020204030203" pitchFamily="34" charset="0"/>
                  <a:ea typeface="+mn-ea"/>
                  <a:cs typeface="+mn-cs"/>
                </a:rPr>
                <a:t>TOTAL NEONATAL DEATH</a:t>
              </a:r>
            </a:p>
            <a:p>
              <a:endParaRPr lang="en-IN" sz="1100"/>
            </a:p>
          </xdr:txBody>
        </xdr:sp>
        <xdr:sp macro="" textlink="">
          <xdr:nvSpPr>
            <xdr:cNvPr id="35" name="TextBox 34">
              <a:extLst>
                <a:ext uri="{FF2B5EF4-FFF2-40B4-BE49-F238E27FC236}">
                  <a16:creationId xmlns:a16="http://schemas.microsoft.com/office/drawing/2014/main" id="{D0C65F0D-1675-F203-866D-AFC6F7EBCE34}"/>
                </a:ext>
              </a:extLst>
            </xdr:cNvPr>
            <xdr:cNvSpPr txBox="1"/>
          </xdr:nvSpPr>
          <xdr:spPr>
            <a:xfrm>
              <a:off x="12854472" y="663858"/>
              <a:ext cx="21621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Lato Black" panose="020F0A02020204030203" pitchFamily="34" charset="0"/>
                </a:rPr>
                <a:t>TOTAL PREVENTIVE CASES</a:t>
              </a:r>
            </a:p>
          </xdr:txBody>
        </xdr:sp>
        <xdr:sp macro="" textlink="">
          <xdr:nvSpPr>
            <xdr:cNvPr id="36" name="TextBox 35">
              <a:extLst>
                <a:ext uri="{FF2B5EF4-FFF2-40B4-BE49-F238E27FC236}">
                  <a16:creationId xmlns:a16="http://schemas.microsoft.com/office/drawing/2014/main" id="{FAA56712-B806-713E-6823-B42F4773F1FA}"/>
                </a:ext>
              </a:extLst>
            </xdr:cNvPr>
            <xdr:cNvSpPr txBox="1"/>
          </xdr:nvSpPr>
          <xdr:spPr>
            <a:xfrm>
              <a:off x="15273747" y="654332"/>
              <a:ext cx="247744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Lato Black" panose="020F0A02020204030203" pitchFamily="34" charset="0"/>
                </a:rPr>
                <a:t>TOTAL NON-PREVENTIVE</a:t>
              </a:r>
              <a:r>
                <a:rPr lang="en-IN" sz="1200" baseline="0">
                  <a:latin typeface="Lato Black" panose="020F0A02020204030203" pitchFamily="34" charset="0"/>
                </a:rPr>
                <a:t> CASES</a:t>
              </a:r>
              <a:endParaRPr lang="en-IN" sz="1200">
                <a:latin typeface="Lato Black" panose="020F0A02020204030203" pitchFamily="34" charset="0"/>
              </a:endParaRPr>
            </a:p>
          </xdr:txBody>
        </xdr:sp>
        <xdr:sp macro="" textlink="">
          <xdr:nvSpPr>
            <xdr:cNvPr id="37" name="TextBox 36">
              <a:extLst>
                <a:ext uri="{FF2B5EF4-FFF2-40B4-BE49-F238E27FC236}">
                  <a16:creationId xmlns:a16="http://schemas.microsoft.com/office/drawing/2014/main" id="{8E0D790A-0B0B-A630-D7F1-18633708F7C6}"/>
                </a:ext>
              </a:extLst>
            </xdr:cNvPr>
            <xdr:cNvSpPr txBox="1"/>
          </xdr:nvSpPr>
          <xdr:spPr>
            <a:xfrm>
              <a:off x="2675029" y="620789"/>
              <a:ext cx="216217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Lato Black" panose="020F0A02020204030203" pitchFamily="34" charset="0"/>
                </a:rPr>
                <a:t>TOTAL LSCS DELIVARY</a:t>
              </a:r>
            </a:p>
          </xdr:txBody>
        </xdr:sp>
        <xdr:sp macro="" textlink="">
          <xdr:nvSpPr>
            <xdr:cNvPr id="38" name="TextBox 37">
              <a:extLst>
                <a:ext uri="{FF2B5EF4-FFF2-40B4-BE49-F238E27FC236}">
                  <a16:creationId xmlns:a16="http://schemas.microsoft.com/office/drawing/2014/main" id="{DD8FE32A-2692-55AA-1253-4B1290EBCE56}"/>
                </a:ext>
              </a:extLst>
            </xdr:cNvPr>
            <xdr:cNvSpPr txBox="1"/>
          </xdr:nvSpPr>
          <xdr:spPr>
            <a:xfrm>
              <a:off x="5094503" y="617431"/>
              <a:ext cx="23241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solidFill>
                    <a:schemeClr val="dk1"/>
                  </a:solidFill>
                  <a:effectLst/>
                  <a:latin typeface="Lato Black" panose="020F0A02020204030203" pitchFamily="34" charset="0"/>
                  <a:ea typeface="+mn-ea"/>
                  <a:cs typeface="+mn-cs"/>
                </a:rPr>
                <a:t>TOTAL NORMAL DELIVARY</a:t>
              </a:r>
              <a:endParaRPr lang="en-IN" sz="1200">
                <a:effectLst/>
                <a:latin typeface="Lato Black" panose="020F0A02020204030203" pitchFamily="34" charset="0"/>
              </a:endParaRPr>
            </a:p>
            <a:p>
              <a:endParaRPr lang="en-IN" sz="1100"/>
            </a:p>
          </xdr:txBody>
        </xdr:sp>
        <xdr:sp macro="" textlink="">
          <xdr:nvSpPr>
            <xdr:cNvPr id="39" name="Rectangle: Rounded Corners 38">
              <a:extLst>
                <a:ext uri="{FF2B5EF4-FFF2-40B4-BE49-F238E27FC236}">
                  <a16:creationId xmlns:a16="http://schemas.microsoft.com/office/drawing/2014/main" id="{FA642AF4-846F-98E6-89CA-776D7A534FDA}"/>
                </a:ext>
              </a:extLst>
            </xdr:cNvPr>
            <xdr:cNvSpPr/>
          </xdr:nvSpPr>
          <xdr:spPr>
            <a:xfrm>
              <a:off x="60448" y="9192317"/>
              <a:ext cx="17640000" cy="6333987"/>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Kundapura_pivot!G84">
          <xdr:nvSpPr>
            <xdr:cNvPr id="43" name="TextBox 42">
              <a:extLst>
                <a:ext uri="{FF2B5EF4-FFF2-40B4-BE49-F238E27FC236}">
                  <a16:creationId xmlns:a16="http://schemas.microsoft.com/office/drawing/2014/main" id="{9B27C43C-ED53-5012-C4D3-177601AA19F3}"/>
                </a:ext>
              </a:extLst>
            </xdr:cNvPr>
            <xdr:cNvSpPr txBox="1"/>
          </xdr:nvSpPr>
          <xdr:spPr>
            <a:xfrm>
              <a:off x="600076" y="875024"/>
              <a:ext cx="1209674"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D961BB-68F8-4EB7-B4BF-0B4C941DBFCA}" type="TxLink">
                <a:rPr lang="en-US" sz="3200" b="0" i="0" u="none" strike="noStrike">
                  <a:solidFill>
                    <a:srgbClr val="000000"/>
                  </a:solidFill>
                  <a:latin typeface="Lato Black" panose="020F0A02020204030203" pitchFamily="34" charset="0"/>
                  <a:ea typeface="Calibri"/>
                  <a:cs typeface="Calibri"/>
                </a:rPr>
                <a:pPr algn="ctr"/>
                <a:t>22</a:t>
              </a:fld>
              <a:endParaRPr lang="en-IN" sz="7200" b="1">
                <a:latin typeface="Lato Black" panose="020F0A02020204030203" pitchFamily="34" charset="0"/>
              </a:endParaRPr>
            </a:p>
          </xdr:txBody>
        </xdr:sp>
        <xdr:sp macro="" textlink="Kundapura_pivot!G99">
          <xdr:nvSpPr>
            <xdr:cNvPr id="44" name="TextBox 43">
              <a:extLst>
                <a:ext uri="{FF2B5EF4-FFF2-40B4-BE49-F238E27FC236}">
                  <a16:creationId xmlns:a16="http://schemas.microsoft.com/office/drawing/2014/main" id="{AE03BBF3-4C39-87CA-5323-2C44EC6F1555}"/>
                </a:ext>
              </a:extLst>
            </xdr:cNvPr>
            <xdr:cNvSpPr txBox="1"/>
          </xdr:nvSpPr>
          <xdr:spPr>
            <a:xfrm>
              <a:off x="8230463" y="915891"/>
              <a:ext cx="1209674"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34D65A-26C0-4204-B7CB-2DD3C6D3EDB7}" type="TxLink">
                <a:rPr lang="en-US" sz="3200" b="0" i="0" u="none" strike="noStrike">
                  <a:solidFill>
                    <a:srgbClr val="000000"/>
                  </a:solidFill>
                  <a:latin typeface="Lato Black" panose="020F0A02020204030203" pitchFamily="34" charset="0"/>
                  <a:ea typeface="Calibri"/>
                  <a:cs typeface="Calibri"/>
                </a:rPr>
                <a:pPr algn="ctr"/>
                <a:t>12</a:t>
              </a:fld>
              <a:endParaRPr lang="en-IN" sz="7200" b="1">
                <a:latin typeface="Lato Black" panose="020F0A02020204030203" pitchFamily="34" charset="0"/>
              </a:endParaRPr>
            </a:p>
          </xdr:txBody>
        </xdr:sp>
        <xdr:sp macro="" textlink="Kundapura_pivot!H99">
          <xdr:nvSpPr>
            <xdr:cNvPr id="45" name="TextBox 44">
              <a:extLst>
                <a:ext uri="{FF2B5EF4-FFF2-40B4-BE49-F238E27FC236}">
                  <a16:creationId xmlns:a16="http://schemas.microsoft.com/office/drawing/2014/main" id="{DA831E95-41CE-0CDF-4E24-47895328DB2D}"/>
                </a:ext>
              </a:extLst>
            </xdr:cNvPr>
            <xdr:cNvSpPr txBox="1"/>
          </xdr:nvSpPr>
          <xdr:spPr>
            <a:xfrm>
              <a:off x="10730776" y="881630"/>
              <a:ext cx="1209674"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1B9BEF-9C98-46E7-80B0-B6EFADDBF29C}" type="TxLink">
                <a:rPr lang="en-US" sz="3200" b="0" i="0" u="none" strike="noStrike">
                  <a:solidFill>
                    <a:srgbClr val="000000"/>
                  </a:solidFill>
                  <a:latin typeface="Lato Black" panose="020F0A02020204030203" pitchFamily="34" charset="0"/>
                  <a:ea typeface="Calibri"/>
                  <a:cs typeface="Calibri"/>
                </a:rPr>
                <a:pPr algn="ctr"/>
                <a:t>19</a:t>
              </a:fld>
              <a:endParaRPr lang="en-IN" sz="7200" b="1">
                <a:latin typeface="Lato Black" panose="020F0A02020204030203" pitchFamily="34" charset="0"/>
              </a:endParaRPr>
            </a:p>
          </xdr:txBody>
        </xdr:sp>
        <xdr:sp macro="" textlink="Kundapura_pivot!G89">
          <xdr:nvSpPr>
            <xdr:cNvPr id="46" name="TextBox 45">
              <a:extLst>
                <a:ext uri="{FF2B5EF4-FFF2-40B4-BE49-F238E27FC236}">
                  <a16:creationId xmlns:a16="http://schemas.microsoft.com/office/drawing/2014/main" id="{A42B0F7F-8CB9-2165-6E7F-046C8D07F9D8}"/>
                </a:ext>
              </a:extLst>
            </xdr:cNvPr>
            <xdr:cNvSpPr txBox="1"/>
          </xdr:nvSpPr>
          <xdr:spPr>
            <a:xfrm>
              <a:off x="13354537" y="903714"/>
              <a:ext cx="1209674"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8C874-4CA5-42E5-9B31-24B99131C6E1}" type="TxLink">
                <a:rPr lang="en-US" sz="3200" b="0" i="0" u="none" strike="noStrike">
                  <a:solidFill>
                    <a:srgbClr val="000000"/>
                  </a:solidFill>
                  <a:latin typeface="Lato Black" panose="020F0A02020204030203" pitchFamily="34" charset="0"/>
                  <a:ea typeface="Calibri"/>
                  <a:cs typeface="Calibri"/>
                </a:rPr>
                <a:pPr algn="ctr"/>
                <a:t>8</a:t>
              </a:fld>
              <a:endParaRPr lang="en-IN" sz="3200">
                <a:latin typeface="Lato Black" panose="020F0A02020204030203" pitchFamily="34" charset="0"/>
              </a:endParaRPr>
            </a:p>
          </xdr:txBody>
        </xdr:sp>
        <xdr:sp macro="" textlink="Kundapura_pivot!H89">
          <xdr:nvSpPr>
            <xdr:cNvPr id="47" name="TextBox 46">
              <a:extLst>
                <a:ext uri="{FF2B5EF4-FFF2-40B4-BE49-F238E27FC236}">
                  <a16:creationId xmlns:a16="http://schemas.microsoft.com/office/drawing/2014/main" id="{6B13CAA2-DCC0-C159-D8C2-181D5A91B9E7}"/>
                </a:ext>
              </a:extLst>
            </xdr:cNvPr>
            <xdr:cNvSpPr txBox="1"/>
          </xdr:nvSpPr>
          <xdr:spPr>
            <a:xfrm>
              <a:off x="15969149" y="916408"/>
              <a:ext cx="1209674"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74B69-3568-4F40-98CF-927991D05C09}" type="TxLink">
                <a:rPr lang="en-US" sz="3200" b="0" i="0" u="none" strike="noStrike">
                  <a:solidFill>
                    <a:srgbClr val="000000"/>
                  </a:solidFill>
                  <a:latin typeface="Lato Black" panose="020F0A02020204030203" pitchFamily="34" charset="0"/>
                  <a:ea typeface="Calibri"/>
                  <a:cs typeface="Calibri"/>
                </a:rPr>
                <a:pPr algn="ctr"/>
                <a:t>23</a:t>
              </a:fld>
              <a:endParaRPr lang="en-IN" sz="3200">
                <a:latin typeface="Lato Black" panose="020F0A02020204030203" pitchFamily="34" charset="0"/>
              </a:endParaRPr>
            </a:p>
          </xdr:txBody>
        </xdr:sp>
        <xdr:sp macro="" textlink="Kundapura_pivot!G94">
          <xdr:nvSpPr>
            <xdr:cNvPr id="48" name="TextBox 47">
              <a:extLst>
                <a:ext uri="{FF2B5EF4-FFF2-40B4-BE49-F238E27FC236}">
                  <a16:creationId xmlns:a16="http://schemas.microsoft.com/office/drawing/2014/main" id="{26DDBED2-4818-1A41-ABE1-653B4138648B}"/>
                </a:ext>
              </a:extLst>
            </xdr:cNvPr>
            <xdr:cNvSpPr txBox="1"/>
          </xdr:nvSpPr>
          <xdr:spPr>
            <a:xfrm>
              <a:off x="3089495" y="866620"/>
              <a:ext cx="1209674"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CC458A-2750-46DD-8036-D98614B6BB22}" type="TxLink">
                <a:rPr lang="en-US" sz="3200" b="0" i="0" u="none" strike="noStrike">
                  <a:solidFill>
                    <a:srgbClr val="000000"/>
                  </a:solidFill>
                  <a:latin typeface="Lato Black" panose="020F0A02020204030203" pitchFamily="34" charset="0"/>
                  <a:ea typeface="Calibri"/>
                  <a:cs typeface="Calibri"/>
                </a:rPr>
                <a:pPr algn="ctr"/>
                <a:t>23</a:t>
              </a:fld>
              <a:endParaRPr lang="en-IN" sz="3200">
                <a:latin typeface="Lato Black" panose="020F0A02020204030203" pitchFamily="34" charset="0"/>
              </a:endParaRPr>
            </a:p>
          </xdr:txBody>
        </xdr:sp>
        <xdr:sp macro="" textlink="Kundapura_pivot!H94">
          <xdr:nvSpPr>
            <xdr:cNvPr id="49" name="TextBox 48">
              <a:extLst>
                <a:ext uri="{FF2B5EF4-FFF2-40B4-BE49-F238E27FC236}">
                  <a16:creationId xmlns:a16="http://schemas.microsoft.com/office/drawing/2014/main" id="{856B8502-26A4-6D1A-C29D-D4D92A2715BC}"/>
                </a:ext>
              </a:extLst>
            </xdr:cNvPr>
            <xdr:cNvSpPr txBox="1"/>
          </xdr:nvSpPr>
          <xdr:spPr>
            <a:xfrm>
              <a:off x="5666005" y="872739"/>
              <a:ext cx="1209674"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588565-F773-4167-B782-C6DA269F84BD}" type="TxLink">
                <a:rPr lang="en-US" sz="3200" b="0" i="0" u="none" strike="noStrike">
                  <a:solidFill>
                    <a:srgbClr val="000000"/>
                  </a:solidFill>
                  <a:latin typeface="Lato Black" panose="020F0A02020204030203" pitchFamily="34" charset="0"/>
                  <a:ea typeface="Calibri"/>
                  <a:cs typeface="Calibri"/>
                </a:rPr>
                <a:pPr algn="ctr"/>
                <a:t>8</a:t>
              </a:fld>
              <a:endParaRPr lang="en-IN" sz="3200">
                <a:latin typeface="Lato Black" panose="020F0A02020204030203" pitchFamily="34" charset="0"/>
              </a:endParaRPr>
            </a:p>
          </xdr:txBody>
        </xdr:sp>
      </xdr:grpSp>
      <xdr:graphicFrame macro="">
        <xdr:nvGraphicFramePr>
          <xdr:cNvPr id="8" name="Chart 7">
            <a:extLst>
              <a:ext uri="{FF2B5EF4-FFF2-40B4-BE49-F238E27FC236}">
                <a16:creationId xmlns:a16="http://schemas.microsoft.com/office/drawing/2014/main" id="{272D75EF-3D54-4EB5-BE86-EA5DAE74DC33}"/>
              </a:ext>
            </a:extLst>
          </xdr:cNvPr>
          <xdr:cNvGraphicFramePr>
            <a:graphicFrameLocks/>
          </xdr:cNvGraphicFramePr>
        </xdr:nvGraphicFramePr>
        <xdr:xfrm>
          <a:off x="2457451" y="1504949"/>
          <a:ext cx="5010149" cy="3495676"/>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9" name="Chart 8">
            <a:extLst>
              <a:ext uri="{FF2B5EF4-FFF2-40B4-BE49-F238E27FC236}">
                <a16:creationId xmlns:a16="http://schemas.microsoft.com/office/drawing/2014/main" id="{0C29A1DC-8C77-4108-87D3-F201037E26E0}"/>
              </a:ext>
            </a:extLst>
          </xdr:cNvPr>
          <xdr:cNvGraphicFramePr>
            <a:graphicFrameLocks/>
          </xdr:cNvGraphicFramePr>
        </xdr:nvGraphicFramePr>
        <xdr:xfrm>
          <a:off x="7667625" y="1533526"/>
          <a:ext cx="5124450" cy="35052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0" name="Chart 9">
            <a:extLst>
              <a:ext uri="{FF2B5EF4-FFF2-40B4-BE49-F238E27FC236}">
                <a16:creationId xmlns:a16="http://schemas.microsoft.com/office/drawing/2014/main" id="{3C82951D-725B-4924-99BF-917B5CA45696}"/>
              </a:ext>
            </a:extLst>
          </xdr:cNvPr>
          <xdr:cNvGraphicFramePr>
            <a:graphicFrameLocks/>
          </xdr:cNvGraphicFramePr>
        </xdr:nvGraphicFramePr>
        <xdr:xfrm>
          <a:off x="12839700" y="1504950"/>
          <a:ext cx="4867275" cy="3533775"/>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40" name="Chart 39">
            <a:extLst>
              <a:ext uri="{FF2B5EF4-FFF2-40B4-BE49-F238E27FC236}">
                <a16:creationId xmlns:a16="http://schemas.microsoft.com/office/drawing/2014/main" id="{E3FD0665-DA36-4B30-AA7E-0DF4D2A4716B}"/>
              </a:ext>
            </a:extLst>
          </xdr:cNvPr>
          <xdr:cNvGraphicFramePr>
            <a:graphicFrameLocks/>
          </xdr:cNvGraphicFramePr>
        </xdr:nvGraphicFramePr>
        <xdr:xfrm>
          <a:off x="2476500" y="5191125"/>
          <a:ext cx="5067300" cy="348615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41" name="Rectangle: Rounded Corners 40">
            <a:extLst>
              <a:ext uri="{FF2B5EF4-FFF2-40B4-BE49-F238E27FC236}">
                <a16:creationId xmlns:a16="http://schemas.microsoft.com/office/drawing/2014/main" id="{45956A4C-73D4-4FE5-8EA5-F2654981BA15}"/>
              </a:ext>
            </a:extLst>
          </xdr:cNvPr>
          <xdr:cNvSpPr/>
        </xdr:nvSpPr>
        <xdr:spPr>
          <a:xfrm>
            <a:off x="285750" y="9409834"/>
            <a:ext cx="17297400" cy="485775"/>
          </a:xfrm>
          <a:prstGeom prst="roundRect">
            <a:avLst>
              <a:gd name="adj" fmla="val 32353"/>
            </a:avLst>
          </a:prstGeom>
          <a:gradFill flip="none" rotWithShape="1">
            <a:gsLst>
              <a:gs pos="40000">
                <a:schemeClr val="accent3">
                  <a:lumMod val="40000"/>
                  <a:lumOff val="60000"/>
                </a:schemeClr>
              </a:gs>
              <a:gs pos="0">
                <a:srgbClr val="E8EFD9"/>
              </a:gs>
              <a:gs pos="82000">
                <a:schemeClr val="accent3">
                  <a:lumMod val="75000"/>
                </a:schemeClr>
              </a:gs>
              <a:gs pos="100000">
                <a:schemeClr val="accent3">
                  <a:lumMod val="50000"/>
                </a:schemeClr>
              </a:gs>
            </a:gsLst>
            <a:lin ang="5400000" scaled="1"/>
            <a:tileRect/>
          </a:gra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IN" sz="3200">
                <a:solidFill>
                  <a:schemeClr val="tx1"/>
                </a:solidFill>
                <a:latin typeface="Lato Black" panose="020F0A02020204030203" pitchFamily="34" charset="0"/>
              </a:rPr>
              <a:t>Premature Death Analysis</a:t>
            </a:r>
          </a:p>
        </xdr:txBody>
      </xdr:sp>
      <xdr:graphicFrame macro="">
        <xdr:nvGraphicFramePr>
          <xdr:cNvPr id="42" name="Chart 41">
            <a:extLst>
              <a:ext uri="{FF2B5EF4-FFF2-40B4-BE49-F238E27FC236}">
                <a16:creationId xmlns:a16="http://schemas.microsoft.com/office/drawing/2014/main" id="{E305D0B1-B098-4A1C-B1E4-3E42272249ED}"/>
              </a:ext>
            </a:extLst>
          </xdr:cNvPr>
          <xdr:cNvGraphicFramePr>
            <a:graphicFrameLocks/>
          </xdr:cNvGraphicFramePr>
        </xdr:nvGraphicFramePr>
        <xdr:xfrm>
          <a:off x="2493645" y="10020300"/>
          <a:ext cx="4885200" cy="2754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0" name="Chart 49">
            <a:extLst>
              <a:ext uri="{FF2B5EF4-FFF2-40B4-BE49-F238E27FC236}">
                <a16:creationId xmlns:a16="http://schemas.microsoft.com/office/drawing/2014/main" id="{D7234DF6-41CC-427A-B713-CBCD2616D21F}"/>
              </a:ext>
            </a:extLst>
          </xdr:cNvPr>
          <xdr:cNvGraphicFramePr>
            <a:graphicFrameLocks/>
          </xdr:cNvGraphicFramePr>
        </xdr:nvGraphicFramePr>
        <xdr:xfrm>
          <a:off x="7534275" y="10010775"/>
          <a:ext cx="4885200" cy="275400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51" name="Chart 50">
            <a:extLst>
              <a:ext uri="{FF2B5EF4-FFF2-40B4-BE49-F238E27FC236}">
                <a16:creationId xmlns:a16="http://schemas.microsoft.com/office/drawing/2014/main" id="{35B1ED2E-7842-4851-947C-AE15939103CE}"/>
              </a:ext>
            </a:extLst>
          </xdr:cNvPr>
          <xdr:cNvGraphicFramePr>
            <a:graphicFrameLocks/>
          </xdr:cNvGraphicFramePr>
        </xdr:nvGraphicFramePr>
        <xdr:xfrm>
          <a:off x="12611100" y="9999345"/>
          <a:ext cx="4885200" cy="275400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52" name="Chart 51">
            <a:extLst>
              <a:ext uri="{FF2B5EF4-FFF2-40B4-BE49-F238E27FC236}">
                <a16:creationId xmlns:a16="http://schemas.microsoft.com/office/drawing/2014/main" id="{D78DDB00-8218-4BCB-A87B-FD23096D5482}"/>
              </a:ext>
            </a:extLst>
          </xdr:cNvPr>
          <xdr:cNvGraphicFramePr>
            <a:graphicFrameLocks/>
          </xdr:cNvGraphicFramePr>
        </xdr:nvGraphicFramePr>
        <xdr:xfrm>
          <a:off x="5446395" y="12830175"/>
          <a:ext cx="4885200" cy="275400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53" name="Chart 52">
            <a:extLst>
              <a:ext uri="{FF2B5EF4-FFF2-40B4-BE49-F238E27FC236}">
                <a16:creationId xmlns:a16="http://schemas.microsoft.com/office/drawing/2014/main" id="{E87E76D8-17B7-4528-9C2E-54712521EB1C}"/>
              </a:ext>
            </a:extLst>
          </xdr:cNvPr>
          <xdr:cNvGraphicFramePr>
            <a:graphicFrameLocks/>
          </xdr:cNvGraphicFramePr>
        </xdr:nvGraphicFramePr>
        <xdr:xfrm>
          <a:off x="10488930" y="12839700"/>
          <a:ext cx="4885200" cy="2754000"/>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57" name="Chart 56">
            <a:extLst>
              <a:ext uri="{FF2B5EF4-FFF2-40B4-BE49-F238E27FC236}">
                <a16:creationId xmlns:a16="http://schemas.microsoft.com/office/drawing/2014/main" id="{77610F02-5519-4DB0-9254-CF4C12835F28}"/>
              </a:ext>
            </a:extLst>
          </xdr:cNvPr>
          <xdr:cNvGraphicFramePr>
            <a:graphicFrameLocks/>
          </xdr:cNvGraphicFramePr>
        </xdr:nvGraphicFramePr>
        <xdr:xfrm>
          <a:off x="7724775" y="5191125"/>
          <a:ext cx="4895850" cy="3533775"/>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58" name="Chart 57">
            <a:extLst>
              <a:ext uri="{FF2B5EF4-FFF2-40B4-BE49-F238E27FC236}">
                <a16:creationId xmlns:a16="http://schemas.microsoft.com/office/drawing/2014/main" id="{95BAABC4-440E-4DF3-8E0F-43F591AE6E8C}"/>
              </a:ext>
            </a:extLst>
          </xdr:cNvPr>
          <xdr:cNvGraphicFramePr>
            <a:graphicFrameLocks/>
          </xdr:cNvGraphicFramePr>
        </xdr:nvGraphicFramePr>
        <xdr:xfrm>
          <a:off x="12811124" y="5191125"/>
          <a:ext cx="4905375" cy="3533775"/>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editAs="oneCell">
    <xdr:from>
      <xdr:col>0</xdr:col>
      <xdr:colOff>207645</xdr:colOff>
      <xdr:row>55</xdr:row>
      <xdr:rowOff>43814</xdr:rowOff>
    </xdr:from>
    <xdr:to>
      <xdr:col>3</xdr:col>
      <xdr:colOff>462195</xdr:colOff>
      <xdr:row>74</xdr:row>
      <xdr:rowOff>133350</xdr:rowOff>
    </xdr:to>
    <mc:AlternateContent xmlns:mc="http://schemas.openxmlformats.org/markup-compatibility/2006" xmlns:a14="http://schemas.microsoft.com/office/drawing/2010/main">
      <mc:Choice Requires="a14">
        <xdr:graphicFrame macro="">
          <xdr:nvGraphicFramePr>
            <xdr:cNvPr id="60" name="PHC">
              <a:extLst>
                <a:ext uri="{FF2B5EF4-FFF2-40B4-BE49-F238E27FC236}">
                  <a16:creationId xmlns:a16="http://schemas.microsoft.com/office/drawing/2014/main" id="{93997B82-F448-516B-4CFA-A03E5FE879DE}"/>
                </a:ext>
              </a:extLst>
            </xdr:cNvPr>
            <xdr:cNvGraphicFramePr/>
          </xdr:nvGraphicFramePr>
          <xdr:xfrm>
            <a:off x="0" y="0"/>
            <a:ext cx="0" cy="0"/>
          </xdr:xfrm>
          <a:graphic>
            <a:graphicData uri="http://schemas.microsoft.com/office/drawing/2010/slicer">
              <sle:slicer xmlns:sle="http://schemas.microsoft.com/office/drawing/2010/slicer" name="PHC"/>
            </a:graphicData>
          </a:graphic>
        </xdr:graphicFrame>
      </mc:Choice>
      <mc:Fallback xmlns="">
        <xdr:sp macro="" textlink="">
          <xdr:nvSpPr>
            <xdr:cNvPr id="0" name=""/>
            <xdr:cNvSpPr>
              <a:spLocks noTextEdit="1"/>
            </xdr:cNvSpPr>
          </xdr:nvSpPr>
          <xdr:spPr>
            <a:xfrm>
              <a:off x="207645" y="9997439"/>
              <a:ext cx="2102400" cy="3689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192405</xdr:colOff>
      <xdr:row>75</xdr:row>
      <xdr:rowOff>57149</xdr:rowOff>
    </xdr:from>
    <xdr:to>
      <xdr:col>3</xdr:col>
      <xdr:colOff>446955</xdr:colOff>
      <xdr:row>81</xdr:row>
      <xdr:rowOff>9525</xdr:rowOff>
    </xdr:to>
    <mc:AlternateContent xmlns:mc="http://schemas.openxmlformats.org/markup-compatibility/2006" xmlns:a14="http://schemas.microsoft.com/office/drawing/2010/main">
      <mc:Choice Requires="a14">
        <xdr:graphicFrame macro="">
          <xdr:nvGraphicFramePr>
            <xdr:cNvPr id="61" name="Religion">
              <a:extLst>
                <a:ext uri="{FF2B5EF4-FFF2-40B4-BE49-F238E27FC236}">
                  <a16:creationId xmlns:a16="http://schemas.microsoft.com/office/drawing/2014/main" id="{E6D13937-BF73-D47A-B3F1-DA81ECA685CF}"/>
                </a:ext>
              </a:extLst>
            </xdr:cNvPr>
            <xdr:cNvGraphicFramePr/>
          </xdr:nvGraphicFramePr>
          <xdr:xfrm>
            <a:off x="0" y="0"/>
            <a:ext cx="0" cy="0"/>
          </xdr:xfrm>
          <a:graphic>
            <a:graphicData uri="http://schemas.microsoft.com/office/drawing/2010/slicer">
              <sle:slicer xmlns:sle="http://schemas.microsoft.com/office/drawing/2010/slicer" name="Religion"/>
            </a:graphicData>
          </a:graphic>
        </xdr:graphicFrame>
      </mc:Choice>
      <mc:Fallback xmlns="">
        <xdr:sp macro="" textlink="">
          <xdr:nvSpPr>
            <xdr:cNvPr id="0" name=""/>
            <xdr:cNvSpPr>
              <a:spLocks noTextEdit="1"/>
            </xdr:cNvSpPr>
          </xdr:nvSpPr>
          <xdr:spPr>
            <a:xfrm>
              <a:off x="192405" y="13792199"/>
              <a:ext cx="2102400" cy="1038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691515</xdr:colOff>
      <xdr:row>70</xdr:row>
      <xdr:rowOff>60960</xdr:rowOff>
    </xdr:from>
    <xdr:to>
      <xdr:col>4</xdr:col>
      <xdr:colOff>1355640</xdr:colOff>
      <xdr:row>84</xdr:row>
      <xdr:rowOff>83310</xdr:rowOff>
    </xdr:to>
    <mc:AlternateContent xmlns:mc="http://schemas.openxmlformats.org/markup-compatibility/2006" xmlns:a14="http://schemas.microsoft.com/office/drawing/2010/main">
      <mc:Choice Requires="a14">
        <xdr:graphicFrame macro="">
          <xdr:nvGraphicFramePr>
            <xdr:cNvPr id="62" name="Community">
              <a:extLst>
                <a:ext uri="{FF2B5EF4-FFF2-40B4-BE49-F238E27FC236}">
                  <a16:creationId xmlns:a16="http://schemas.microsoft.com/office/drawing/2014/main" id="{1315A518-DD43-FEA9-D969-0905D5725456}"/>
                </a:ext>
              </a:extLst>
            </xdr:cNvPr>
            <xdr:cNvGraphicFramePr/>
          </xdr:nvGraphicFramePr>
          <xdr:xfrm>
            <a:off x="0" y="0"/>
            <a:ext cx="0" cy="0"/>
          </xdr:xfrm>
          <a:graphic>
            <a:graphicData uri="http://schemas.microsoft.com/office/drawing/2010/slicer">
              <sle:slicer xmlns:sle="http://schemas.microsoft.com/office/drawing/2010/slicer" name="Community"/>
            </a:graphicData>
          </a:graphic>
        </xdr:graphicFrame>
      </mc:Choice>
      <mc:Fallback xmlns="">
        <xdr:sp macro="" textlink="">
          <xdr:nvSpPr>
            <xdr:cNvPr id="0" name=""/>
            <xdr:cNvSpPr>
              <a:spLocks noTextEdit="1"/>
            </xdr:cNvSpPr>
          </xdr:nvSpPr>
          <xdr:spPr>
            <a:xfrm>
              <a:off x="2539365" y="12891135"/>
              <a:ext cx="2102400" cy="25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8</xdr:row>
      <xdr:rowOff>85725</xdr:rowOff>
    </xdr:from>
    <xdr:to>
      <xdr:col>3</xdr:col>
      <xdr:colOff>416475</xdr:colOff>
      <xdr:row>27</xdr:row>
      <xdr:rowOff>63600</xdr:rowOff>
    </xdr:to>
    <mc:AlternateContent xmlns:mc="http://schemas.openxmlformats.org/markup-compatibility/2006" xmlns:a14="http://schemas.microsoft.com/office/drawing/2010/main">
      <mc:Choice Requires="a14">
        <xdr:graphicFrame macro="">
          <xdr:nvGraphicFramePr>
            <xdr:cNvPr id="63" name="PHC 1">
              <a:extLst>
                <a:ext uri="{FF2B5EF4-FFF2-40B4-BE49-F238E27FC236}">
                  <a16:creationId xmlns:a16="http://schemas.microsoft.com/office/drawing/2014/main" id="{05B69CFC-8BEF-4CF8-B114-9DE234F257E9}"/>
                </a:ext>
              </a:extLst>
            </xdr:cNvPr>
            <xdr:cNvGraphicFramePr/>
          </xdr:nvGraphicFramePr>
          <xdr:xfrm>
            <a:off x="0" y="0"/>
            <a:ext cx="0" cy="0"/>
          </xdr:xfrm>
          <a:graphic>
            <a:graphicData uri="http://schemas.microsoft.com/office/drawing/2010/slicer">
              <sle:slicer xmlns:sle="http://schemas.microsoft.com/office/drawing/2010/slicer" name="PHC 1"/>
            </a:graphicData>
          </a:graphic>
        </xdr:graphicFrame>
      </mc:Choice>
      <mc:Fallback xmlns="">
        <xdr:sp macro="" textlink="">
          <xdr:nvSpPr>
            <xdr:cNvPr id="0" name=""/>
            <xdr:cNvSpPr>
              <a:spLocks noTextEdit="1"/>
            </xdr:cNvSpPr>
          </xdr:nvSpPr>
          <xdr:spPr>
            <a:xfrm>
              <a:off x="161925" y="1533525"/>
              <a:ext cx="2102400" cy="341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27</xdr:row>
      <xdr:rowOff>142009</xdr:rowOff>
    </xdr:from>
    <xdr:to>
      <xdr:col>3</xdr:col>
      <xdr:colOff>397425</xdr:colOff>
      <xdr:row>33</xdr:row>
      <xdr:rowOff>94385</xdr:rowOff>
    </xdr:to>
    <mc:AlternateContent xmlns:mc="http://schemas.openxmlformats.org/markup-compatibility/2006" xmlns:a14="http://schemas.microsoft.com/office/drawing/2010/main">
      <mc:Choice Requires="a14">
        <xdr:graphicFrame macro="">
          <xdr:nvGraphicFramePr>
            <xdr:cNvPr id="64" name="Religion 2">
              <a:extLst>
                <a:ext uri="{FF2B5EF4-FFF2-40B4-BE49-F238E27FC236}">
                  <a16:creationId xmlns:a16="http://schemas.microsoft.com/office/drawing/2014/main" id="{3C04DDFA-EEA2-4C8A-AD8E-17238E321FBA}"/>
                </a:ext>
              </a:extLst>
            </xdr:cNvPr>
            <xdr:cNvGraphicFramePr/>
          </xdr:nvGraphicFramePr>
          <xdr:xfrm>
            <a:off x="0" y="0"/>
            <a:ext cx="0" cy="0"/>
          </xdr:xfrm>
          <a:graphic>
            <a:graphicData uri="http://schemas.microsoft.com/office/drawing/2010/slicer">
              <sle:slicer xmlns:sle="http://schemas.microsoft.com/office/drawing/2010/slicer" name="Religion 2"/>
            </a:graphicData>
          </a:graphic>
        </xdr:graphicFrame>
      </mc:Choice>
      <mc:Fallback xmlns="">
        <xdr:sp macro="" textlink="">
          <xdr:nvSpPr>
            <xdr:cNvPr id="0" name=""/>
            <xdr:cNvSpPr>
              <a:spLocks noTextEdit="1"/>
            </xdr:cNvSpPr>
          </xdr:nvSpPr>
          <xdr:spPr>
            <a:xfrm>
              <a:off x="142875" y="5028334"/>
              <a:ext cx="2102400" cy="1038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33</xdr:row>
      <xdr:rowOff>171450</xdr:rowOff>
    </xdr:from>
    <xdr:to>
      <xdr:col>3</xdr:col>
      <xdr:colOff>406950</xdr:colOff>
      <xdr:row>48</xdr:row>
      <xdr:rowOff>12825</xdr:rowOff>
    </xdr:to>
    <mc:AlternateContent xmlns:mc="http://schemas.openxmlformats.org/markup-compatibility/2006" xmlns:a14="http://schemas.microsoft.com/office/drawing/2010/main">
      <mc:Choice Requires="a14">
        <xdr:graphicFrame macro="">
          <xdr:nvGraphicFramePr>
            <xdr:cNvPr id="65" name="Community 2">
              <a:extLst>
                <a:ext uri="{FF2B5EF4-FFF2-40B4-BE49-F238E27FC236}">
                  <a16:creationId xmlns:a16="http://schemas.microsoft.com/office/drawing/2014/main" id="{03295838-6F65-4095-9F8D-4DBF74FA0A06}"/>
                </a:ext>
              </a:extLst>
            </xdr:cNvPr>
            <xdr:cNvGraphicFramePr/>
          </xdr:nvGraphicFramePr>
          <xdr:xfrm>
            <a:off x="0" y="0"/>
            <a:ext cx="0" cy="0"/>
          </xdr:xfrm>
          <a:graphic>
            <a:graphicData uri="http://schemas.microsoft.com/office/drawing/2010/slicer">
              <sle:slicer xmlns:sle="http://schemas.microsoft.com/office/drawing/2010/slicer" name="Community 2"/>
            </a:graphicData>
          </a:graphic>
        </xdr:graphicFrame>
      </mc:Choice>
      <mc:Fallback xmlns="">
        <xdr:sp macro="" textlink="">
          <xdr:nvSpPr>
            <xdr:cNvPr id="0" name=""/>
            <xdr:cNvSpPr>
              <a:spLocks noTextEdit="1"/>
            </xdr:cNvSpPr>
          </xdr:nvSpPr>
          <xdr:spPr>
            <a:xfrm>
              <a:off x="152400" y="6143625"/>
              <a:ext cx="2102400" cy="25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165975</xdr:colOff>
      <xdr:row>92</xdr:row>
      <xdr:rowOff>107317</xdr:rowOff>
    </xdr:to>
    <xdr:grpSp>
      <xdr:nvGrpSpPr>
        <xdr:cNvPr id="59" name="Group 58">
          <a:extLst>
            <a:ext uri="{FF2B5EF4-FFF2-40B4-BE49-F238E27FC236}">
              <a16:creationId xmlns:a16="http://schemas.microsoft.com/office/drawing/2014/main" id="{06AF1BA1-0874-FAC3-4DD4-BA519356BA5A}"/>
            </a:ext>
          </a:extLst>
        </xdr:cNvPr>
        <xdr:cNvGrpSpPr/>
      </xdr:nvGrpSpPr>
      <xdr:grpSpPr>
        <a:xfrm>
          <a:off x="0" y="0"/>
          <a:ext cx="17892000" cy="16766542"/>
          <a:chOff x="0" y="0"/>
          <a:chExt cx="17892000" cy="16766542"/>
        </a:xfrm>
      </xdr:grpSpPr>
      <xdr:grpSp>
        <xdr:nvGrpSpPr>
          <xdr:cNvPr id="2" name="Group 1">
            <a:extLst>
              <a:ext uri="{FF2B5EF4-FFF2-40B4-BE49-F238E27FC236}">
                <a16:creationId xmlns:a16="http://schemas.microsoft.com/office/drawing/2014/main" id="{14E7063E-9F65-44AF-BC1D-F69FAD637B66}"/>
              </a:ext>
            </a:extLst>
          </xdr:cNvPr>
          <xdr:cNvGrpSpPr/>
        </xdr:nvGrpSpPr>
        <xdr:grpSpPr>
          <a:xfrm>
            <a:off x="0" y="0"/>
            <a:ext cx="17892000" cy="16766542"/>
            <a:chOff x="50798" y="9524"/>
            <a:chExt cx="17844772" cy="16530621"/>
          </a:xfrm>
        </xdr:grpSpPr>
        <xdr:sp macro="" textlink="">
          <xdr:nvSpPr>
            <xdr:cNvPr id="3" name="Rectangle: Rounded Corners 2">
              <a:extLst>
                <a:ext uri="{FF2B5EF4-FFF2-40B4-BE49-F238E27FC236}">
                  <a16:creationId xmlns:a16="http://schemas.microsoft.com/office/drawing/2014/main" id="{4E3668D6-F8A5-3DE1-5D54-E02C16D95D39}"/>
                </a:ext>
              </a:extLst>
            </xdr:cNvPr>
            <xdr:cNvSpPr/>
          </xdr:nvSpPr>
          <xdr:spPr>
            <a:xfrm>
              <a:off x="50798" y="9524"/>
              <a:ext cx="17748000" cy="546599"/>
            </a:xfrm>
            <a:prstGeom prst="roundRect">
              <a:avLst/>
            </a:prstGeom>
            <a:solidFill>
              <a:schemeClr val="accent3">
                <a:lumMod val="40000"/>
                <a:lumOff val="60000"/>
              </a:schemeClr>
            </a:soli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IN" sz="4000">
                  <a:solidFill>
                    <a:sysClr val="windowText" lastClr="000000"/>
                  </a:solidFill>
                  <a:effectLst>
                    <a:outerShdw blurRad="50800" dist="38100" dir="5400000" algn="t" rotWithShape="0">
                      <a:prstClr val="black">
                        <a:alpha val="40000"/>
                      </a:prstClr>
                    </a:outerShdw>
                  </a:effectLst>
                  <a:latin typeface="Lato Black" panose="020F0A02020204030203" pitchFamily="34" charset="0"/>
                </a:rPr>
                <a:t>INFANT</a:t>
              </a:r>
              <a:r>
                <a:rPr lang="en-IN" sz="4000" baseline="0">
                  <a:solidFill>
                    <a:sysClr val="windowText" lastClr="000000"/>
                  </a:solidFill>
                  <a:effectLst>
                    <a:outerShdw blurRad="50800" dist="38100" dir="5400000" algn="t" rotWithShape="0">
                      <a:prstClr val="black">
                        <a:alpha val="40000"/>
                      </a:prstClr>
                    </a:outerShdw>
                  </a:effectLst>
                  <a:latin typeface="Lato Black" panose="020F0A02020204030203" pitchFamily="34" charset="0"/>
                </a:rPr>
                <a:t> DEATH REPORT</a:t>
              </a:r>
              <a:endParaRPr lang="en-IN" sz="4000">
                <a:solidFill>
                  <a:sysClr val="windowText" lastClr="000000"/>
                </a:solidFill>
                <a:effectLst>
                  <a:outerShdw blurRad="50800" dist="38100" dir="5400000" algn="t" rotWithShape="0">
                    <a:prstClr val="black">
                      <a:alpha val="40000"/>
                    </a:prstClr>
                  </a:outerShdw>
                </a:effectLst>
                <a:latin typeface="Lato Black" panose="020F0A02020204030203" pitchFamily="34" charset="0"/>
              </a:endParaRPr>
            </a:p>
          </xdr:txBody>
        </xdr:sp>
        <xdr:sp macro="" textlink="">
          <xdr:nvSpPr>
            <xdr:cNvPr id="4" name="Rectangle: Rounded Corners 3">
              <a:extLst>
                <a:ext uri="{FF2B5EF4-FFF2-40B4-BE49-F238E27FC236}">
                  <a16:creationId xmlns:a16="http://schemas.microsoft.com/office/drawing/2014/main" id="{C18E12EB-7D34-1A4D-69C3-F5E80F941FA9}"/>
                </a:ext>
              </a:extLst>
            </xdr:cNvPr>
            <xdr:cNvSpPr/>
          </xdr:nvSpPr>
          <xdr:spPr>
            <a:xfrm>
              <a:off x="76200" y="1402030"/>
              <a:ext cx="2324100" cy="7313781"/>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5" name="Rectangle: Rounded Corners 4">
              <a:extLst>
                <a:ext uri="{FF2B5EF4-FFF2-40B4-BE49-F238E27FC236}">
                  <a16:creationId xmlns:a16="http://schemas.microsoft.com/office/drawing/2014/main" id="{CC8449E5-B602-CBB5-8C0B-9C4136FEC078}"/>
                </a:ext>
              </a:extLst>
            </xdr:cNvPr>
            <xdr:cNvSpPr/>
          </xdr:nvSpPr>
          <xdr:spPr>
            <a:xfrm>
              <a:off x="12806363" y="1447095"/>
              <a:ext cx="4968000" cy="3581289"/>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A0F7F727-D31F-2B07-92C7-06C282D0B0CB}"/>
                </a:ext>
              </a:extLst>
            </xdr:cNvPr>
            <xdr:cNvSpPr/>
          </xdr:nvSpPr>
          <xdr:spPr>
            <a:xfrm>
              <a:off x="228726" y="16071631"/>
              <a:ext cx="17352000" cy="468514"/>
            </a:xfrm>
            <a:prstGeom prst="roundRect">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IN" sz="4000">
                  <a:solidFill>
                    <a:sysClr val="windowText" lastClr="000000"/>
                  </a:solidFill>
                  <a:effectLst>
                    <a:outerShdw blurRad="50800" dist="38100" dir="5400000" algn="t" rotWithShape="0">
                      <a:prstClr val="black">
                        <a:alpha val="40000"/>
                      </a:prstClr>
                    </a:outerShdw>
                  </a:effectLst>
                  <a:latin typeface="Lato Black" panose="020F0A02020204030203" pitchFamily="34" charset="0"/>
                </a:rPr>
                <a:t>CAUSE</a:t>
              </a:r>
              <a:r>
                <a:rPr lang="en-IN" sz="4000" baseline="0">
                  <a:solidFill>
                    <a:sysClr val="windowText" lastClr="000000"/>
                  </a:solidFill>
                  <a:effectLst>
                    <a:outerShdw blurRad="50800" dist="38100" dir="5400000" algn="t" rotWithShape="0">
                      <a:prstClr val="black">
                        <a:alpha val="40000"/>
                      </a:prstClr>
                    </a:outerShdw>
                  </a:effectLst>
                  <a:latin typeface="Lato Black" panose="020F0A02020204030203" pitchFamily="34" charset="0"/>
                </a:rPr>
                <a:t> OF INFANT DEATHS</a:t>
              </a:r>
              <a:endParaRPr lang="en-IN" sz="4000">
                <a:solidFill>
                  <a:sysClr val="windowText" lastClr="000000"/>
                </a:solidFill>
                <a:effectLst>
                  <a:outerShdw blurRad="50800" dist="38100" dir="5400000" algn="t" rotWithShape="0">
                    <a:prstClr val="black">
                      <a:alpha val="40000"/>
                    </a:prstClr>
                  </a:outerShdw>
                </a:effectLst>
                <a:latin typeface="Lato Black" panose="020F0A02020204030203" pitchFamily="34" charset="0"/>
              </a:endParaRPr>
            </a:p>
          </xdr:txBody>
        </xdr:sp>
        <xdr:sp macro="" textlink="">
          <xdr:nvSpPr>
            <xdr:cNvPr id="7" name="Rectangle: Rounded Corners 6">
              <a:extLst>
                <a:ext uri="{FF2B5EF4-FFF2-40B4-BE49-F238E27FC236}">
                  <a16:creationId xmlns:a16="http://schemas.microsoft.com/office/drawing/2014/main" id="{A6A48B72-A062-E0C2-F837-2D0577A4106E}"/>
                </a:ext>
              </a:extLst>
            </xdr:cNvPr>
            <xdr:cNvSpPr/>
          </xdr:nvSpPr>
          <xdr:spPr>
            <a:xfrm>
              <a:off x="2471713" y="1434592"/>
              <a:ext cx="5121972" cy="3581289"/>
            </a:xfrm>
            <a:prstGeom prst="roundRect">
              <a:avLst>
                <a:gd name="adj" fmla="val 5612"/>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575BEB72-023C-C0BC-2D24-A980BCC0FEA0}"/>
                </a:ext>
              </a:extLst>
            </xdr:cNvPr>
            <xdr:cNvSpPr/>
          </xdr:nvSpPr>
          <xdr:spPr>
            <a:xfrm>
              <a:off x="2462213" y="5066918"/>
              <a:ext cx="5129212" cy="3619865"/>
            </a:xfrm>
            <a:prstGeom prst="roundRect">
              <a:avLst>
                <a:gd name="adj" fmla="val 6137"/>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132B952-5919-5D10-D7A6-C9165EE3D566}"/>
                </a:ext>
              </a:extLst>
            </xdr:cNvPr>
            <xdr:cNvSpPr/>
          </xdr:nvSpPr>
          <xdr:spPr>
            <a:xfrm>
              <a:off x="7634287" y="1456621"/>
              <a:ext cx="5117820" cy="3581289"/>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59EB0872-18C5-E760-1AE2-5E2ED40985CA}"/>
                </a:ext>
              </a:extLst>
            </xdr:cNvPr>
            <xdr:cNvSpPr/>
          </xdr:nvSpPr>
          <xdr:spPr>
            <a:xfrm>
              <a:off x="2587629" y="604047"/>
              <a:ext cx="2340000" cy="745362"/>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11" name="Rectangle: Rounded Corners 10">
              <a:extLst>
                <a:ext uri="{FF2B5EF4-FFF2-40B4-BE49-F238E27FC236}">
                  <a16:creationId xmlns:a16="http://schemas.microsoft.com/office/drawing/2014/main" id="{DEE276C3-6100-B250-8DC2-7656B68E281D}"/>
                </a:ext>
              </a:extLst>
            </xdr:cNvPr>
            <xdr:cNvSpPr/>
          </xdr:nvSpPr>
          <xdr:spPr>
            <a:xfrm>
              <a:off x="104775" y="594333"/>
              <a:ext cx="2340000" cy="745362"/>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12" name="Rectangle: Rounded Corners 11">
              <a:extLst>
                <a:ext uri="{FF2B5EF4-FFF2-40B4-BE49-F238E27FC236}">
                  <a16:creationId xmlns:a16="http://schemas.microsoft.com/office/drawing/2014/main" id="{3C67E9C6-418A-8517-EAF3-33B51411658D}"/>
                </a:ext>
              </a:extLst>
            </xdr:cNvPr>
            <xdr:cNvSpPr/>
          </xdr:nvSpPr>
          <xdr:spPr>
            <a:xfrm>
              <a:off x="5070483" y="623476"/>
              <a:ext cx="2340000" cy="745362"/>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13" name="Rectangle: Rounded Corners 12">
              <a:extLst>
                <a:ext uri="{FF2B5EF4-FFF2-40B4-BE49-F238E27FC236}">
                  <a16:creationId xmlns:a16="http://schemas.microsoft.com/office/drawing/2014/main" id="{8F1C918A-1E0D-8D9C-3D9E-262F3485DDA6}"/>
                </a:ext>
              </a:extLst>
            </xdr:cNvPr>
            <xdr:cNvSpPr/>
          </xdr:nvSpPr>
          <xdr:spPr>
            <a:xfrm>
              <a:off x="7553337" y="642905"/>
              <a:ext cx="2340000" cy="745362"/>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14" name="Rectangle: Rounded Corners 13">
              <a:extLst>
                <a:ext uri="{FF2B5EF4-FFF2-40B4-BE49-F238E27FC236}">
                  <a16:creationId xmlns:a16="http://schemas.microsoft.com/office/drawing/2014/main" id="{FB99FF0E-4E0F-CDBF-4A7F-92B92AEE5B56}"/>
                </a:ext>
              </a:extLst>
            </xdr:cNvPr>
            <xdr:cNvSpPr/>
          </xdr:nvSpPr>
          <xdr:spPr>
            <a:xfrm>
              <a:off x="10036191" y="633190"/>
              <a:ext cx="2606675" cy="745362"/>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15" name="Rectangle: Rounded Corners 14">
              <a:extLst>
                <a:ext uri="{FF2B5EF4-FFF2-40B4-BE49-F238E27FC236}">
                  <a16:creationId xmlns:a16="http://schemas.microsoft.com/office/drawing/2014/main" id="{A144815D-BA44-24AF-2EB7-2E4339E2DFF0}"/>
                </a:ext>
              </a:extLst>
            </xdr:cNvPr>
            <xdr:cNvSpPr/>
          </xdr:nvSpPr>
          <xdr:spPr>
            <a:xfrm>
              <a:off x="12785720" y="624445"/>
              <a:ext cx="2340000" cy="745362"/>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16" name="Rectangle: Rounded Corners 15">
              <a:extLst>
                <a:ext uri="{FF2B5EF4-FFF2-40B4-BE49-F238E27FC236}">
                  <a16:creationId xmlns:a16="http://schemas.microsoft.com/office/drawing/2014/main" id="{226D994C-CBCF-132E-1E06-58193165318D}"/>
                </a:ext>
              </a:extLst>
            </xdr:cNvPr>
            <xdr:cNvSpPr/>
          </xdr:nvSpPr>
          <xdr:spPr>
            <a:xfrm>
              <a:off x="15268575" y="613762"/>
              <a:ext cx="2520975" cy="745362"/>
            </a:xfrm>
            <a:prstGeom prst="roundRect">
              <a:avLst>
                <a:gd name="adj" fmla="val 6929"/>
              </a:avLst>
            </a:prstGeom>
            <a:solidFill>
              <a:schemeClr val="accent3">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sp macro="" textlink="">
          <xdr:nvSpPr>
            <xdr:cNvPr id="17" name="Rectangle: Rounded Corners 16">
              <a:extLst>
                <a:ext uri="{FF2B5EF4-FFF2-40B4-BE49-F238E27FC236}">
                  <a16:creationId xmlns:a16="http://schemas.microsoft.com/office/drawing/2014/main" id="{13D3D2A9-C4E6-F774-48F0-35297A9A7D5E}"/>
                </a:ext>
              </a:extLst>
            </xdr:cNvPr>
            <xdr:cNvSpPr/>
          </xdr:nvSpPr>
          <xdr:spPr>
            <a:xfrm>
              <a:off x="7658099" y="5085968"/>
              <a:ext cx="5075009" cy="3619597"/>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BFBC23BC-1C4F-64A5-F2EA-2744118BBC66}"/>
                </a:ext>
              </a:extLst>
            </xdr:cNvPr>
            <xdr:cNvSpPr/>
          </xdr:nvSpPr>
          <xdr:spPr>
            <a:xfrm>
              <a:off x="12787313" y="5077393"/>
              <a:ext cx="4968000" cy="3628174"/>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19" name="TextBox 18">
              <a:hlinkClick xmlns:r="http://schemas.openxmlformats.org/officeDocument/2006/relationships" r:id="rId1" tooltip="Udupi Taluk"/>
              <a:extLst>
                <a:ext uri="{FF2B5EF4-FFF2-40B4-BE49-F238E27FC236}">
                  <a16:creationId xmlns:a16="http://schemas.microsoft.com/office/drawing/2014/main" id="{FDD8456A-05C1-CD00-C0EC-A386D32B9847}"/>
                </a:ext>
              </a:extLst>
            </xdr:cNvPr>
            <xdr:cNvSpPr txBox="1"/>
          </xdr:nvSpPr>
          <xdr:spPr>
            <a:xfrm>
              <a:off x="16752570" y="137162"/>
              <a:ext cx="1143000" cy="37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Lato Black" panose="020F0A02020204030203" pitchFamily="34" charset="0"/>
                </a:rPr>
                <a:t>UDUPI</a:t>
              </a:r>
            </a:p>
          </xdr:txBody>
        </xdr:sp>
        <xdr:sp macro="" textlink="">
          <xdr:nvSpPr>
            <xdr:cNvPr id="20" name="TextBox 19">
              <a:hlinkClick xmlns:r="http://schemas.openxmlformats.org/officeDocument/2006/relationships" r:id="rId2" tooltip="Kundapura Taluk"/>
              <a:extLst>
                <a:ext uri="{FF2B5EF4-FFF2-40B4-BE49-F238E27FC236}">
                  <a16:creationId xmlns:a16="http://schemas.microsoft.com/office/drawing/2014/main" id="{518C1DFD-7AF8-91B0-5868-B9DF512DD379}"/>
                </a:ext>
              </a:extLst>
            </xdr:cNvPr>
            <xdr:cNvSpPr txBox="1"/>
          </xdr:nvSpPr>
          <xdr:spPr>
            <a:xfrm>
              <a:off x="15154275" y="117874"/>
              <a:ext cx="1495425" cy="415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Lato Black" panose="020F0A02020204030203" pitchFamily="34" charset="0"/>
                </a:rPr>
                <a:t>KUNDAPURA</a:t>
              </a:r>
            </a:p>
          </xdr:txBody>
        </xdr:sp>
        <xdr:sp macro="" textlink="">
          <xdr:nvSpPr>
            <xdr:cNvPr id="21" name="TextBox 20">
              <a:hlinkClick xmlns:r="http://schemas.openxmlformats.org/officeDocument/2006/relationships" r:id="rId3" tooltip="Karkal Taluk"/>
              <a:extLst>
                <a:ext uri="{FF2B5EF4-FFF2-40B4-BE49-F238E27FC236}">
                  <a16:creationId xmlns:a16="http://schemas.microsoft.com/office/drawing/2014/main" id="{770AE83A-DCFB-082E-DC12-BF7F4F251C02}"/>
                </a:ext>
              </a:extLst>
            </xdr:cNvPr>
            <xdr:cNvSpPr txBox="1"/>
          </xdr:nvSpPr>
          <xdr:spPr>
            <a:xfrm>
              <a:off x="13639800" y="102395"/>
              <a:ext cx="1260000" cy="42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Lato Black" panose="020F0A02020204030203" pitchFamily="34" charset="0"/>
                </a:rPr>
                <a:t>KARKAL</a:t>
              </a:r>
            </a:p>
          </xdr:txBody>
        </xdr:sp>
        <xdr:pic>
          <xdr:nvPicPr>
            <xdr:cNvPr id="22" name="Graphic 21" descr="Marker with solid fill">
              <a:extLst>
                <a:ext uri="{FF2B5EF4-FFF2-40B4-BE49-F238E27FC236}">
                  <a16:creationId xmlns:a16="http://schemas.microsoft.com/office/drawing/2014/main" id="{0F6EF7FC-EE6A-6802-7FC3-7FD42A4D03E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468350" y="38100"/>
              <a:ext cx="457200" cy="457200"/>
            </a:xfrm>
            <a:prstGeom prst="rect">
              <a:avLst/>
            </a:prstGeom>
          </xdr:spPr>
        </xdr:pic>
        <xdr:pic>
          <xdr:nvPicPr>
            <xdr:cNvPr id="23" name="Graphic 22" descr="Marker with solid fill">
              <a:extLst>
                <a:ext uri="{FF2B5EF4-FFF2-40B4-BE49-F238E27FC236}">
                  <a16:creationId xmlns:a16="http://schemas.microsoft.com/office/drawing/2014/main" id="{A4B0058B-EBD8-9CF1-8A5D-7BCFBEEB933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868525" y="47625"/>
              <a:ext cx="457200" cy="457200"/>
            </a:xfrm>
            <a:prstGeom prst="rect">
              <a:avLst/>
            </a:prstGeom>
          </xdr:spPr>
        </xdr:pic>
        <xdr:pic>
          <xdr:nvPicPr>
            <xdr:cNvPr id="24" name="Graphic 23" descr="Marker with solid fill">
              <a:extLst>
                <a:ext uri="{FF2B5EF4-FFF2-40B4-BE49-F238E27FC236}">
                  <a16:creationId xmlns:a16="http://schemas.microsoft.com/office/drawing/2014/main" id="{3C0C9B74-50FC-88F1-9F59-32E89D06ACC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621125" y="38100"/>
              <a:ext cx="457200" cy="457200"/>
            </a:xfrm>
            <a:prstGeom prst="rect">
              <a:avLst/>
            </a:prstGeom>
          </xdr:spPr>
        </xdr:pic>
        <xdr:sp macro="" textlink="">
          <xdr:nvSpPr>
            <xdr:cNvPr id="25" name="Rectangle: Rounded Corners 24">
              <a:extLst>
                <a:ext uri="{FF2B5EF4-FFF2-40B4-BE49-F238E27FC236}">
                  <a16:creationId xmlns:a16="http://schemas.microsoft.com/office/drawing/2014/main" id="{9AF019E3-0214-E122-C62D-22508B16EE37}"/>
                </a:ext>
              </a:extLst>
            </xdr:cNvPr>
            <xdr:cNvSpPr/>
          </xdr:nvSpPr>
          <xdr:spPr>
            <a:xfrm>
              <a:off x="17018428" y="416524"/>
              <a:ext cx="449580" cy="45719"/>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F2DA7822-C717-7083-CB34-4B68969E6F88}"/>
                </a:ext>
              </a:extLst>
            </xdr:cNvPr>
            <xdr:cNvSpPr txBox="1"/>
          </xdr:nvSpPr>
          <xdr:spPr>
            <a:xfrm>
              <a:off x="200025" y="604128"/>
              <a:ext cx="21621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Lato Black" panose="020F0A02020204030203" pitchFamily="34" charset="0"/>
                </a:rPr>
                <a:t>TOTAL HRP </a:t>
              </a:r>
            </a:p>
          </xdr:txBody>
        </xdr:sp>
        <xdr:sp macro="" textlink="">
          <xdr:nvSpPr>
            <xdr:cNvPr id="27" name="TextBox 26">
              <a:extLst>
                <a:ext uri="{FF2B5EF4-FFF2-40B4-BE49-F238E27FC236}">
                  <a16:creationId xmlns:a16="http://schemas.microsoft.com/office/drawing/2014/main" id="{C2A20C0E-F905-58C5-6159-DFB47A837C52}"/>
                </a:ext>
              </a:extLst>
            </xdr:cNvPr>
            <xdr:cNvSpPr txBox="1"/>
          </xdr:nvSpPr>
          <xdr:spPr>
            <a:xfrm>
              <a:off x="7758949" y="650134"/>
              <a:ext cx="21621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Lato Black" panose="020F0A02020204030203" pitchFamily="34" charset="0"/>
                </a:rPr>
                <a:t>TOTAL INFANT DEATH</a:t>
              </a:r>
            </a:p>
          </xdr:txBody>
        </xdr:sp>
        <xdr:sp macro="" textlink="">
          <xdr:nvSpPr>
            <xdr:cNvPr id="28" name="TextBox 27">
              <a:extLst>
                <a:ext uri="{FF2B5EF4-FFF2-40B4-BE49-F238E27FC236}">
                  <a16:creationId xmlns:a16="http://schemas.microsoft.com/office/drawing/2014/main" id="{DA5D9125-5819-E3BF-8998-3EF4D52D0A99}"/>
                </a:ext>
              </a:extLst>
            </xdr:cNvPr>
            <xdr:cNvSpPr txBox="1"/>
          </xdr:nvSpPr>
          <xdr:spPr>
            <a:xfrm>
              <a:off x="10235449" y="644941"/>
              <a:ext cx="216217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prstClr val="black"/>
                  </a:solidFill>
                  <a:effectLst/>
                  <a:uLnTx/>
                  <a:uFillTx/>
                  <a:latin typeface="Lato Black" panose="020F0A02020204030203" pitchFamily="34" charset="0"/>
                  <a:ea typeface="+mn-ea"/>
                  <a:cs typeface="+mn-cs"/>
                </a:rPr>
                <a:t>TOTAL NEONATAL DEATH</a:t>
              </a:r>
            </a:p>
            <a:p>
              <a:endParaRPr lang="en-IN" sz="1100"/>
            </a:p>
          </xdr:txBody>
        </xdr:sp>
        <xdr:sp macro="" textlink="">
          <xdr:nvSpPr>
            <xdr:cNvPr id="29" name="TextBox 28">
              <a:extLst>
                <a:ext uri="{FF2B5EF4-FFF2-40B4-BE49-F238E27FC236}">
                  <a16:creationId xmlns:a16="http://schemas.microsoft.com/office/drawing/2014/main" id="{2E93548D-F12A-B9DE-BBE0-49043CFE1EE0}"/>
                </a:ext>
              </a:extLst>
            </xdr:cNvPr>
            <xdr:cNvSpPr txBox="1"/>
          </xdr:nvSpPr>
          <xdr:spPr>
            <a:xfrm>
              <a:off x="12835472" y="635685"/>
              <a:ext cx="21621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Lato Black" panose="020F0A02020204030203" pitchFamily="34" charset="0"/>
                </a:rPr>
                <a:t>TOTAL PREVENTIVE CASES</a:t>
              </a:r>
            </a:p>
          </xdr:txBody>
        </xdr:sp>
        <xdr:sp macro="" textlink="">
          <xdr:nvSpPr>
            <xdr:cNvPr id="30" name="TextBox 29">
              <a:extLst>
                <a:ext uri="{FF2B5EF4-FFF2-40B4-BE49-F238E27FC236}">
                  <a16:creationId xmlns:a16="http://schemas.microsoft.com/office/drawing/2014/main" id="{F9588F0D-1C4B-BB0F-F222-795DB0D4D297}"/>
                </a:ext>
              </a:extLst>
            </xdr:cNvPr>
            <xdr:cNvSpPr txBox="1"/>
          </xdr:nvSpPr>
          <xdr:spPr>
            <a:xfrm>
              <a:off x="15226248" y="626160"/>
              <a:ext cx="26193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Lato Black" panose="020F0A02020204030203" pitchFamily="34" charset="0"/>
                </a:rPr>
                <a:t>TOTAL NON-PREVENTIVE</a:t>
              </a:r>
              <a:r>
                <a:rPr lang="en-IN" sz="1200" baseline="0">
                  <a:latin typeface="Lato Black" panose="020F0A02020204030203" pitchFamily="34" charset="0"/>
                </a:rPr>
                <a:t> CASES</a:t>
              </a:r>
              <a:endParaRPr lang="en-IN" sz="1200">
                <a:latin typeface="Lato Black" panose="020F0A02020204030203" pitchFamily="34" charset="0"/>
              </a:endParaRPr>
            </a:p>
          </xdr:txBody>
        </xdr:sp>
        <xdr:sp macro="" textlink="">
          <xdr:nvSpPr>
            <xdr:cNvPr id="31" name="TextBox 30">
              <a:extLst>
                <a:ext uri="{FF2B5EF4-FFF2-40B4-BE49-F238E27FC236}">
                  <a16:creationId xmlns:a16="http://schemas.microsoft.com/office/drawing/2014/main" id="{494B6361-EEEF-EF65-4298-1428B5BCB90A}"/>
                </a:ext>
              </a:extLst>
            </xdr:cNvPr>
            <xdr:cNvSpPr txBox="1"/>
          </xdr:nvSpPr>
          <xdr:spPr>
            <a:xfrm>
              <a:off x="2675029" y="611441"/>
              <a:ext cx="216217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Lato Black" panose="020F0A02020204030203" pitchFamily="34" charset="0"/>
                </a:rPr>
                <a:t>TOTAL LSCS DELIVARY</a:t>
              </a:r>
            </a:p>
          </xdr:txBody>
        </xdr:sp>
        <xdr:sp macro="" textlink="">
          <xdr:nvSpPr>
            <xdr:cNvPr id="32" name="TextBox 31">
              <a:extLst>
                <a:ext uri="{FF2B5EF4-FFF2-40B4-BE49-F238E27FC236}">
                  <a16:creationId xmlns:a16="http://schemas.microsoft.com/office/drawing/2014/main" id="{E009BDA8-B2BB-4E67-BAB3-1406E991B2BE}"/>
                </a:ext>
              </a:extLst>
            </xdr:cNvPr>
            <xdr:cNvSpPr txBox="1"/>
          </xdr:nvSpPr>
          <xdr:spPr>
            <a:xfrm>
              <a:off x="5123003" y="617447"/>
              <a:ext cx="23241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solidFill>
                    <a:schemeClr val="dk1"/>
                  </a:solidFill>
                  <a:effectLst/>
                  <a:latin typeface="Lato Black" panose="020F0A02020204030203" pitchFamily="34" charset="0"/>
                  <a:ea typeface="+mn-ea"/>
                  <a:cs typeface="+mn-cs"/>
                </a:rPr>
                <a:t>TOTAL NORMAL DELIVARY</a:t>
              </a:r>
              <a:endParaRPr lang="en-IN" sz="1200">
                <a:effectLst/>
                <a:latin typeface="Lato Black" panose="020F0A02020204030203" pitchFamily="34" charset="0"/>
              </a:endParaRPr>
            </a:p>
            <a:p>
              <a:endParaRPr lang="en-IN" sz="1100"/>
            </a:p>
          </xdr:txBody>
        </xdr:sp>
        <xdr:sp macro="" textlink="">
          <xdr:nvSpPr>
            <xdr:cNvPr id="33" name="Rectangle: Rounded Corners 32">
              <a:extLst>
                <a:ext uri="{FF2B5EF4-FFF2-40B4-BE49-F238E27FC236}">
                  <a16:creationId xmlns:a16="http://schemas.microsoft.com/office/drawing/2014/main" id="{138517E2-0677-4569-814B-CF6C77D03F76}"/>
                </a:ext>
              </a:extLst>
            </xdr:cNvPr>
            <xdr:cNvSpPr/>
          </xdr:nvSpPr>
          <xdr:spPr>
            <a:xfrm>
              <a:off x="107948" y="9182566"/>
              <a:ext cx="17640000" cy="6328481"/>
            </a:xfrm>
            <a:prstGeom prst="roundRect">
              <a:avLst>
                <a:gd name="adj" fmla="val 5088"/>
              </a:avLst>
            </a:prstGeom>
            <a:solidFill>
              <a:schemeClr val="accent3">
                <a:lumMod val="40000"/>
                <a:lumOff val="6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Udupi_pivot!G90">
          <xdr:nvSpPr>
            <xdr:cNvPr id="34" name="TextBox 33">
              <a:extLst>
                <a:ext uri="{FF2B5EF4-FFF2-40B4-BE49-F238E27FC236}">
                  <a16:creationId xmlns:a16="http://schemas.microsoft.com/office/drawing/2014/main" id="{83844450-A16A-E0F1-1725-BCBBCC3DCA73}"/>
                </a:ext>
              </a:extLst>
            </xdr:cNvPr>
            <xdr:cNvSpPr txBox="1"/>
          </xdr:nvSpPr>
          <xdr:spPr>
            <a:xfrm>
              <a:off x="600076" y="875024"/>
              <a:ext cx="1209674"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CF94D3-D22A-4378-952B-B0F34DA89407}" type="TxLink">
                <a:rPr lang="en-US" sz="3200" b="0" i="0" u="none" strike="noStrike">
                  <a:solidFill>
                    <a:sysClr val="windowText" lastClr="000000"/>
                  </a:solidFill>
                  <a:latin typeface="Lato Black" panose="020F0A02020204030203" pitchFamily="34" charset="0"/>
                  <a:ea typeface="Calibri"/>
                  <a:cs typeface="Calibri"/>
                </a:rPr>
                <a:pPr algn="ctr"/>
                <a:t>10</a:t>
              </a:fld>
              <a:endParaRPr lang="en-IN" sz="7200" b="1">
                <a:solidFill>
                  <a:sysClr val="windowText" lastClr="000000"/>
                </a:solidFill>
                <a:latin typeface="Lato Black" panose="020F0A02020204030203" pitchFamily="34" charset="0"/>
              </a:endParaRPr>
            </a:p>
          </xdr:txBody>
        </xdr:sp>
        <xdr:sp macro="" textlink="Udupi_pivot!G100">
          <xdr:nvSpPr>
            <xdr:cNvPr id="35" name="TextBox 34">
              <a:extLst>
                <a:ext uri="{FF2B5EF4-FFF2-40B4-BE49-F238E27FC236}">
                  <a16:creationId xmlns:a16="http://schemas.microsoft.com/office/drawing/2014/main" id="{447369EB-1AC8-7344-A00D-D9510C2EB67E}"/>
                </a:ext>
              </a:extLst>
            </xdr:cNvPr>
            <xdr:cNvSpPr txBox="1"/>
          </xdr:nvSpPr>
          <xdr:spPr>
            <a:xfrm>
              <a:off x="8239963" y="915891"/>
              <a:ext cx="1209674"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6D2AF8-CA05-44D1-A76A-8DF96C82EAAA}" type="TxLink">
                <a:rPr lang="en-US" sz="3200" b="0" i="0" u="none" strike="noStrike">
                  <a:solidFill>
                    <a:sysClr val="windowText" lastClr="000000"/>
                  </a:solidFill>
                  <a:latin typeface="Lato Black" panose="020F0A02020204030203" pitchFamily="34" charset="0"/>
                  <a:ea typeface="Calibri"/>
                  <a:cs typeface="Calibri"/>
                </a:rPr>
                <a:pPr algn="ctr"/>
                <a:t>9</a:t>
              </a:fld>
              <a:endParaRPr lang="en-IN" sz="7200" b="1">
                <a:solidFill>
                  <a:sysClr val="windowText" lastClr="000000"/>
                </a:solidFill>
                <a:latin typeface="Lato Black" panose="020F0A02020204030203" pitchFamily="34" charset="0"/>
              </a:endParaRPr>
            </a:p>
          </xdr:txBody>
        </xdr:sp>
        <xdr:sp macro="" textlink="Udupi_pivot!H100">
          <xdr:nvSpPr>
            <xdr:cNvPr id="36" name="TextBox 35">
              <a:extLst>
                <a:ext uri="{FF2B5EF4-FFF2-40B4-BE49-F238E27FC236}">
                  <a16:creationId xmlns:a16="http://schemas.microsoft.com/office/drawing/2014/main" id="{A1545D3B-0545-40AE-EFF8-703687DAA9AE}"/>
                </a:ext>
              </a:extLst>
            </xdr:cNvPr>
            <xdr:cNvSpPr txBox="1"/>
          </xdr:nvSpPr>
          <xdr:spPr>
            <a:xfrm>
              <a:off x="10740276" y="881630"/>
              <a:ext cx="1209674"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F3B16E-CC00-4CAB-A31F-367128C8571B}" type="TxLink">
                <a:rPr lang="en-US" sz="3200" b="0" i="0" u="none" strike="noStrike">
                  <a:solidFill>
                    <a:sysClr val="windowText" lastClr="000000"/>
                  </a:solidFill>
                  <a:latin typeface="Lato Black" panose="020F0A02020204030203" pitchFamily="34" charset="0"/>
                  <a:ea typeface="Calibri"/>
                  <a:cs typeface="Calibri"/>
                </a:rPr>
                <a:pPr algn="ctr"/>
                <a:t>14</a:t>
              </a:fld>
              <a:endParaRPr lang="en-IN" sz="7200" b="1">
                <a:solidFill>
                  <a:sysClr val="windowText" lastClr="000000"/>
                </a:solidFill>
                <a:latin typeface="Lato Black" panose="020F0A02020204030203" pitchFamily="34" charset="0"/>
              </a:endParaRPr>
            </a:p>
          </xdr:txBody>
        </xdr:sp>
        <xdr:sp macro="" textlink="Udupi_pivot!G105">
          <xdr:nvSpPr>
            <xdr:cNvPr id="37" name="TextBox 36">
              <a:extLst>
                <a:ext uri="{FF2B5EF4-FFF2-40B4-BE49-F238E27FC236}">
                  <a16:creationId xmlns:a16="http://schemas.microsoft.com/office/drawing/2014/main" id="{099FEEFD-A750-18A3-41D1-F04F7ED9569A}"/>
                </a:ext>
              </a:extLst>
            </xdr:cNvPr>
            <xdr:cNvSpPr txBox="1"/>
          </xdr:nvSpPr>
          <xdr:spPr>
            <a:xfrm>
              <a:off x="13335538" y="875541"/>
              <a:ext cx="1209674"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194CF5-BD22-4857-AA0F-B9D521A09CDA}" type="TxLink">
                <a:rPr lang="en-US" sz="3200" b="0" i="0" u="none" strike="noStrike">
                  <a:solidFill>
                    <a:sysClr val="windowText" lastClr="000000"/>
                  </a:solidFill>
                  <a:latin typeface="Lato Black" panose="020F0A02020204030203" pitchFamily="34" charset="0"/>
                  <a:ea typeface="Calibri"/>
                  <a:cs typeface="Calibri"/>
                </a:rPr>
                <a:pPr algn="ctr"/>
                <a:t>10</a:t>
              </a:fld>
              <a:endParaRPr lang="en-IN" sz="3200">
                <a:solidFill>
                  <a:sysClr val="windowText" lastClr="000000"/>
                </a:solidFill>
                <a:latin typeface="Lato Black" panose="020F0A02020204030203" pitchFamily="34" charset="0"/>
              </a:endParaRPr>
            </a:p>
          </xdr:txBody>
        </xdr:sp>
        <xdr:sp macro="" textlink="Udupi_pivot!H105">
          <xdr:nvSpPr>
            <xdr:cNvPr id="38" name="TextBox 37">
              <a:extLst>
                <a:ext uri="{FF2B5EF4-FFF2-40B4-BE49-F238E27FC236}">
                  <a16:creationId xmlns:a16="http://schemas.microsoft.com/office/drawing/2014/main" id="{D01D7140-6584-0A82-34EE-BC5F03678A70}"/>
                </a:ext>
              </a:extLst>
            </xdr:cNvPr>
            <xdr:cNvSpPr txBox="1"/>
          </xdr:nvSpPr>
          <xdr:spPr>
            <a:xfrm>
              <a:off x="15950150" y="888235"/>
              <a:ext cx="1209674"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AE0093-387A-4997-96B2-75A987FFBB2A}" type="TxLink">
                <a:rPr lang="en-US" sz="3200" b="0" i="0" u="none" strike="noStrike">
                  <a:solidFill>
                    <a:sysClr val="windowText" lastClr="000000"/>
                  </a:solidFill>
                  <a:latin typeface="Lato Black" panose="020F0A02020204030203" pitchFamily="34" charset="0"/>
                  <a:ea typeface="Calibri"/>
                  <a:cs typeface="Calibri"/>
                </a:rPr>
                <a:pPr algn="ctr"/>
                <a:t>13</a:t>
              </a:fld>
              <a:endParaRPr lang="en-IN" sz="3200">
                <a:solidFill>
                  <a:sysClr val="windowText" lastClr="000000"/>
                </a:solidFill>
                <a:latin typeface="Lato Black" panose="020F0A02020204030203" pitchFamily="34" charset="0"/>
              </a:endParaRPr>
            </a:p>
          </xdr:txBody>
        </xdr:sp>
        <xdr:sp macro="" textlink="Udupi_pivot!G95">
          <xdr:nvSpPr>
            <xdr:cNvPr id="39" name="TextBox 38">
              <a:extLst>
                <a:ext uri="{FF2B5EF4-FFF2-40B4-BE49-F238E27FC236}">
                  <a16:creationId xmlns:a16="http://schemas.microsoft.com/office/drawing/2014/main" id="{608F9B73-279A-B382-4E5A-FFDF6531EF81}"/>
                </a:ext>
              </a:extLst>
            </xdr:cNvPr>
            <xdr:cNvSpPr txBox="1"/>
          </xdr:nvSpPr>
          <xdr:spPr>
            <a:xfrm>
              <a:off x="3136994" y="866669"/>
              <a:ext cx="1209674"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B1CB75-152D-45DD-8225-64E30ECF91AE}" type="TxLink">
                <a:rPr lang="en-US" sz="3200" b="0" i="0" u="none" strike="noStrike">
                  <a:solidFill>
                    <a:sysClr val="windowText" lastClr="000000"/>
                  </a:solidFill>
                  <a:latin typeface="Lato Black" panose="020F0A02020204030203" pitchFamily="34" charset="0"/>
                  <a:ea typeface="Calibri"/>
                  <a:cs typeface="Calibri"/>
                </a:rPr>
                <a:pPr algn="ctr"/>
                <a:t>10</a:t>
              </a:fld>
              <a:endParaRPr lang="en-IN" sz="3200">
                <a:solidFill>
                  <a:sysClr val="windowText" lastClr="000000"/>
                </a:solidFill>
                <a:latin typeface="Lato Black" panose="020F0A02020204030203" pitchFamily="34" charset="0"/>
              </a:endParaRPr>
            </a:p>
          </xdr:txBody>
        </xdr:sp>
        <xdr:sp macro="" textlink="Udupi_pivot!H95">
          <xdr:nvSpPr>
            <xdr:cNvPr id="40" name="TextBox 39">
              <a:extLst>
                <a:ext uri="{FF2B5EF4-FFF2-40B4-BE49-F238E27FC236}">
                  <a16:creationId xmlns:a16="http://schemas.microsoft.com/office/drawing/2014/main" id="{A1C7D1BA-8ED0-323D-6A38-6579EBA02B00}"/>
                </a:ext>
              </a:extLst>
            </xdr:cNvPr>
            <xdr:cNvSpPr txBox="1"/>
          </xdr:nvSpPr>
          <xdr:spPr>
            <a:xfrm>
              <a:off x="5704004" y="872755"/>
              <a:ext cx="1209674"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5611E8-9DF2-4197-A2CF-ECFBA6B414AC}" type="TxLink">
                <a:rPr lang="en-US" sz="3200" b="0" i="0" u="none" strike="noStrike">
                  <a:solidFill>
                    <a:sysClr val="windowText" lastClr="000000"/>
                  </a:solidFill>
                  <a:latin typeface="Lato Black" panose="020F0A02020204030203" pitchFamily="34" charset="0"/>
                  <a:ea typeface="Calibri"/>
                  <a:cs typeface="Calibri"/>
                </a:rPr>
                <a:pPr algn="ctr"/>
                <a:t>13</a:t>
              </a:fld>
              <a:endParaRPr lang="en-IN" sz="3200">
                <a:solidFill>
                  <a:sysClr val="windowText" lastClr="000000"/>
                </a:solidFill>
                <a:latin typeface="Lato Black" panose="020F0A02020204030203" pitchFamily="34" charset="0"/>
              </a:endParaRPr>
            </a:p>
          </xdr:txBody>
        </xdr:sp>
      </xdr:grpSp>
      <xdr:sp macro="" textlink="">
        <xdr:nvSpPr>
          <xdr:cNvPr id="44" name="Rectangle: Rounded Corners 43">
            <a:extLst>
              <a:ext uri="{FF2B5EF4-FFF2-40B4-BE49-F238E27FC236}">
                <a16:creationId xmlns:a16="http://schemas.microsoft.com/office/drawing/2014/main" id="{0E57DC58-5D64-4F98-9ABF-710A4E088D36}"/>
              </a:ext>
            </a:extLst>
          </xdr:cNvPr>
          <xdr:cNvSpPr/>
        </xdr:nvSpPr>
        <xdr:spPr>
          <a:xfrm>
            <a:off x="219075" y="9410700"/>
            <a:ext cx="17297400" cy="485775"/>
          </a:xfrm>
          <a:prstGeom prst="roundRect">
            <a:avLst>
              <a:gd name="adj" fmla="val 32353"/>
            </a:avLst>
          </a:prstGeom>
          <a:gradFill flip="none" rotWithShape="1">
            <a:gsLst>
              <a:gs pos="40000">
                <a:schemeClr val="accent3">
                  <a:lumMod val="40000"/>
                  <a:lumOff val="60000"/>
                </a:schemeClr>
              </a:gs>
              <a:gs pos="0">
                <a:srgbClr val="E8EFD9"/>
              </a:gs>
              <a:gs pos="82000">
                <a:schemeClr val="accent3">
                  <a:lumMod val="75000"/>
                </a:schemeClr>
              </a:gs>
              <a:gs pos="100000">
                <a:schemeClr val="accent3">
                  <a:lumMod val="50000"/>
                </a:schemeClr>
              </a:gs>
            </a:gsLst>
            <a:lin ang="5400000" scaled="1"/>
            <a:tileRect/>
          </a:gra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IN" sz="3200">
                <a:solidFill>
                  <a:schemeClr val="tx1"/>
                </a:solidFill>
                <a:latin typeface="Lato Black" panose="020F0A02020204030203" pitchFamily="34" charset="0"/>
              </a:rPr>
              <a:t>Premature Death Analysis</a:t>
            </a:r>
          </a:p>
        </xdr:txBody>
      </xdr:sp>
      <xdr:graphicFrame macro="">
        <xdr:nvGraphicFramePr>
          <xdr:cNvPr id="45" name="Chart 44">
            <a:extLst>
              <a:ext uri="{FF2B5EF4-FFF2-40B4-BE49-F238E27FC236}">
                <a16:creationId xmlns:a16="http://schemas.microsoft.com/office/drawing/2014/main" id="{B9B3D871-57FD-4D9E-83E3-A3DDB5AEE2E0}"/>
              </a:ext>
            </a:extLst>
          </xdr:cNvPr>
          <xdr:cNvGraphicFramePr>
            <a:graphicFrameLocks/>
          </xdr:cNvGraphicFramePr>
        </xdr:nvGraphicFramePr>
        <xdr:xfrm>
          <a:off x="2352675" y="10027920"/>
          <a:ext cx="4885200" cy="27540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46" name="Chart 45">
            <a:extLst>
              <a:ext uri="{FF2B5EF4-FFF2-40B4-BE49-F238E27FC236}">
                <a16:creationId xmlns:a16="http://schemas.microsoft.com/office/drawing/2014/main" id="{6545AB98-F1C4-48FF-B239-4B8B7EDDE53F}"/>
              </a:ext>
            </a:extLst>
          </xdr:cNvPr>
          <xdr:cNvGraphicFramePr>
            <a:graphicFrameLocks/>
          </xdr:cNvGraphicFramePr>
        </xdr:nvGraphicFramePr>
        <xdr:xfrm>
          <a:off x="7549515" y="10010775"/>
          <a:ext cx="4885200" cy="27540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47" name="Chart 46">
            <a:extLst>
              <a:ext uri="{FF2B5EF4-FFF2-40B4-BE49-F238E27FC236}">
                <a16:creationId xmlns:a16="http://schemas.microsoft.com/office/drawing/2014/main" id="{F9D13330-3F5C-428B-B942-3B630C9EE8A4}"/>
              </a:ext>
            </a:extLst>
          </xdr:cNvPr>
          <xdr:cNvGraphicFramePr>
            <a:graphicFrameLocks/>
          </xdr:cNvGraphicFramePr>
        </xdr:nvGraphicFramePr>
        <xdr:xfrm>
          <a:off x="12706350" y="10016490"/>
          <a:ext cx="4885200" cy="275400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48" name="Chart 47">
            <a:extLst>
              <a:ext uri="{FF2B5EF4-FFF2-40B4-BE49-F238E27FC236}">
                <a16:creationId xmlns:a16="http://schemas.microsoft.com/office/drawing/2014/main" id="{5EB39798-FA2C-4058-BD89-573DC6961F9C}"/>
              </a:ext>
            </a:extLst>
          </xdr:cNvPr>
          <xdr:cNvGraphicFramePr>
            <a:graphicFrameLocks/>
          </xdr:cNvGraphicFramePr>
        </xdr:nvGraphicFramePr>
        <xdr:xfrm>
          <a:off x="5092065" y="12893040"/>
          <a:ext cx="4885200" cy="27540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49" name="Chart 48">
            <a:extLst>
              <a:ext uri="{FF2B5EF4-FFF2-40B4-BE49-F238E27FC236}">
                <a16:creationId xmlns:a16="http://schemas.microsoft.com/office/drawing/2014/main" id="{DC90290C-22B9-41F9-85DB-D12E8AC548A2}"/>
              </a:ext>
            </a:extLst>
          </xdr:cNvPr>
          <xdr:cNvGraphicFramePr>
            <a:graphicFrameLocks/>
          </xdr:cNvGraphicFramePr>
        </xdr:nvGraphicFramePr>
        <xdr:xfrm>
          <a:off x="10094595" y="12889230"/>
          <a:ext cx="4885200" cy="2754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3" name="Chart 52">
            <a:extLst>
              <a:ext uri="{FF2B5EF4-FFF2-40B4-BE49-F238E27FC236}">
                <a16:creationId xmlns:a16="http://schemas.microsoft.com/office/drawing/2014/main" id="{17701309-AF0D-4D82-BA7E-62F938BEFB85}"/>
              </a:ext>
            </a:extLst>
          </xdr:cNvPr>
          <xdr:cNvGraphicFramePr>
            <a:graphicFrameLocks/>
          </xdr:cNvGraphicFramePr>
        </xdr:nvGraphicFramePr>
        <xdr:xfrm>
          <a:off x="2457450" y="1495424"/>
          <a:ext cx="5076825" cy="3495675"/>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54" name="Chart 53">
            <a:extLst>
              <a:ext uri="{FF2B5EF4-FFF2-40B4-BE49-F238E27FC236}">
                <a16:creationId xmlns:a16="http://schemas.microsoft.com/office/drawing/2014/main" id="{20E2DA1A-626E-4F21-9B2C-66C83F9ADB3E}"/>
              </a:ext>
            </a:extLst>
          </xdr:cNvPr>
          <xdr:cNvGraphicFramePr>
            <a:graphicFrameLocks/>
          </xdr:cNvGraphicFramePr>
        </xdr:nvGraphicFramePr>
        <xdr:xfrm>
          <a:off x="7648574" y="1495425"/>
          <a:ext cx="5019675" cy="358140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55" name="Chart 54">
            <a:extLst>
              <a:ext uri="{FF2B5EF4-FFF2-40B4-BE49-F238E27FC236}">
                <a16:creationId xmlns:a16="http://schemas.microsoft.com/office/drawing/2014/main" id="{0D12CAE6-06EC-442E-96CB-C40E2A61B8E7}"/>
              </a:ext>
            </a:extLst>
          </xdr:cNvPr>
          <xdr:cNvGraphicFramePr>
            <a:graphicFrameLocks/>
          </xdr:cNvGraphicFramePr>
        </xdr:nvGraphicFramePr>
        <xdr:xfrm>
          <a:off x="12830175" y="1514475"/>
          <a:ext cx="4867275" cy="3505199"/>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56" name="Chart 55">
            <a:extLst>
              <a:ext uri="{FF2B5EF4-FFF2-40B4-BE49-F238E27FC236}">
                <a16:creationId xmlns:a16="http://schemas.microsoft.com/office/drawing/2014/main" id="{EF8A5C8B-287F-4D0E-8273-025F004F8AB0}"/>
              </a:ext>
            </a:extLst>
          </xdr:cNvPr>
          <xdr:cNvGraphicFramePr>
            <a:graphicFrameLocks/>
          </xdr:cNvGraphicFramePr>
        </xdr:nvGraphicFramePr>
        <xdr:xfrm>
          <a:off x="2447925" y="5191125"/>
          <a:ext cx="5067299" cy="3562350"/>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57" name="Chart 56">
            <a:extLst>
              <a:ext uri="{FF2B5EF4-FFF2-40B4-BE49-F238E27FC236}">
                <a16:creationId xmlns:a16="http://schemas.microsoft.com/office/drawing/2014/main" id="{73512DA8-A5B4-4199-91D0-DB08D9BEEAD3}"/>
              </a:ext>
            </a:extLst>
          </xdr:cNvPr>
          <xdr:cNvGraphicFramePr>
            <a:graphicFrameLocks/>
          </xdr:cNvGraphicFramePr>
        </xdr:nvGraphicFramePr>
        <xdr:xfrm>
          <a:off x="7686674" y="5200650"/>
          <a:ext cx="4981575" cy="3543300"/>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58" name="Chart 57">
            <a:extLst>
              <a:ext uri="{FF2B5EF4-FFF2-40B4-BE49-F238E27FC236}">
                <a16:creationId xmlns:a16="http://schemas.microsoft.com/office/drawing/2014/main" id="{46955A2F-4F02-4FDA-A216-2E20A0282927}"/>
              </a:ext>
            </a:extLst>
          </xdr:cNvPr>
          <xdr:cNvGraphicFramePr>
            <a:graphicFrameLocks/>
          </xdr:cNvGraphicFramePr>
        </xdr:nvGraphicFramePr>
        <xdr:xfrm>
          <a:off x="12801601" y="5210175"/>
          <a:ext cx="4867274" cy="3543300"/>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editAs="oneCell">
    <xdr:from>
      <xdr:col>0</xdr:col>
      <xdr:colOff>121920</xdr:colOff>
      <xdr:row>8</xdr:row>
      <xdr:rowOff>55244</xdr:rowOff>
    </xdr:from>
    <xdr:to>
      <xdr:col>3</xdr:col>
      <xdr:colOff>395520</xdr:colOff>
      <xdr:row>27</xdr:row>
      <xdr:rowOff>33119</xdr:rowOff>
    </xdr:to>
    <mc:AlternateContent xmlns:mc="http://schemas.openxmlformats.org/markup-compatibility/2006" xmlns:a14="http://schemas.microsoft.com/office/drawing/2010/main">
      <mc:Choice Requires="a14">
        <xdr:graphicFrame macro="">
          <xdr:nvGraphicFramePr>
            <xdr:cNvPr id="41" name="PHC 2">
              <a:extLst>
                <a:ext uri="{FF2B5EF4-FFF2-40B4-BE49-F238E27FC236}">
                  <a16:creationId xmlns:a16="http://schemas.microsoft.com/office/drawing/2014/main" id="{0AB80A15-22C3-8953-5AE3-2EA11E736FF2}"/>
                </a:ext>
              </a:extLst>
            </xdr:cNvPr>
            <xdr:cNvGraphicFramePr/>
          </xdr:nvGraphicFramePr>
          <xdr:xfrm>
            <a:off x="0" y="0"/>
            <a:ext cx="0" cy="0"/>
          </xdr:xfrm>
          <a:graphic>
            <a:graphicData uri="http://schemas.microsoft.com/office/drawing/2010/slicer">
              <sle:slicer xmlns:sle="http://schemas.microsoft.com/office/drawing/2010/slicer" name="PHC 2"/>
            </a:graphicData>
          </a:graphic>
        </xdr:graphicFrame>
      </mc:Choice>
      <mc:Fallback xmlns="">
        <xdr:sp macro="" textlink="">
          <xdr:nvSpPr>
            <xdr:cNvPr id="0" name=""/>
            <xdr:cNvSpPr>
              <a:spLocks noTextEdit="1"/>
            </xdr:cNvSpPr>
          </xdr:nvSpPr>
          <xdr:spPr>
            <a:xfrm>
              <a:off x="121920" y="1503044"/>
              <a:ext cx="2102400" cy="341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135255</xdr:colOff>
      <xdr:row>27</xdr:row>
      <xdr:rowOff>106680</xdr:rowOff>
    </xdr:from>
    <xdr:to>
      <xdr:col>3</xdr:col>
      <xdr:colOff>408855</xdr:colOff>
      <xdr:row>33</xdr:row>
      <xdr:rowOff>28575</xdr:rowOff>
    </xdr:to>
    <mc:AlternateContent xmlns:mc="http://schemas.openxmlformats.org/markup-compatibility/2006" xmlns:a14="http://schemas.microsoft.com/office/drawing/2010/main">
      <mc:Choice Requires="a14">
        <xdr:graphicFrame macro="">
          <xdr:nvGraphicFramePr>
            <xdr:cNvPr id="42" name="Religion 3">
              <a:extLst>
                <a:ext uri="{FF2B5EF4-FFF2-40B4-BE49-F238E27FC236}">
                  <a16:creationId xmlns:a16="http://schemas.microsoft.com/office/drawing/2014/main" id="{4A65E1C8-75CA-C602-70F0-2B9CF8C90188}"/>
                </a:ext>
              </a:extLst>
            </xdr:cNvPr>
            <xdr:cNvGraphicFramePr/>
          </xdr:nvGraphicFramePr>
          <xdr:xfrm>
            <a:off x="0" y="0"/>
            <a:ext cx="0" cy="0"/>
          </xdr:xfrm>
          <a:graphic>
            <a:graphicData uri="http://schemas.microsoft.com/office/drawing/2010/slicer">
              <sle:slicer xmlns:sle="http://schemas.microsoft.com/office/drawing/2010/slicer" name="Religion 3"/>
            </a:graphicData>
          </a:graphic>
        </xdr:graphicFrame>
      </mc:Choice>
      <mc:Fallback xmlns="">
        <xdr:sp macro="" textlink="">
          <xdr:nvSpPr>
            <xdr:cNvPr id="0" name=""/>
            <xdr:cNvSpPr>
              <a:spLocks noTextEdit="1"/>
            </xdr:cNvSpPr>
          </xdr:nvSpPr>
          <xdr:spPr>
            <a:xfrm>
              <a:off x="135255" y="4993005"/>
              <a:ext cx="2102400" cy="1007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33</xdr:row>
      <xdr:rowOff>110489</xdr:rowOff>
    </xdr:from>
    <xdr:to>
      <xdr:col>3</xdr:col>
      <xdr:colOff>403140</xdr:colOff>
      <xdr:row>47</xdr:row>
      <xdr:rowOff>132839</xdr:rowOff>
    </xdr:to>
    <mc:AlternateContent xmlns:mc="http://schemas.openxmlformats.org/markup-compatibility/2006" xmlns:a14="http://schemas.microsoft.com/office/drawing/2010/main">
      <mc:Choice Requires="a14">
        <xdr:graphicFrame macro="">
          <xdr:nvGraphicFramePr>
            <xdr:cNvPr id="43" name="Community 3">
              <a:extLst>
                <a:ext uri="{FF2B5EF4-FFF2-40B4-BE49-F238E27FC236}">
                  <a16:creationId xmlns:a16="http://schemas.microsoft.com/office/drawing/2014/main" id="{62137AF3-257F-5406-9777-E0B845126DC5}"/>
                </a:ext>
              </a:extLst>
            </xdr:cNvPr>
            <xdr:cNvGraphicFramePr/>
          </xdr:nvGraphicFramePr>
          <xdr:xfrm>
            <a:off x="0" y="0"/>
            <a:ext cx="0" cy="0"/>
          </xdr:xfrm>
          <a:graphic>
            <a:graphicData uri="http://schemas.microsoft.com/office/drawing/2010/slicer">
              <sle:slicer xmlns:sle="http://schemas.microsoft.com/office/drawing/2010/slicer" name="Community 3"/>
            </a:graphicData>
          </a:graphic>
        </xdr:graphicFrame>
      </mc:Choice>
      <mc:Fallback xmlns="">
        <xdr:sp macro="" textlink="">
          <xdr:nvSpPr>
            <xdr:cNvPr id="0" name=""/>
            <xdr:cNvSpPr>
              <a:spLocks noTextEdit="1"/>
            </xdr:cNvSpPr>
          </xdr:nvSpPr>
          <xdr:spPr>
            <a:xfrm>
              <a:off x="129540" y="6082664"/>
              <a:ext cx="2102400" cy="25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523875</xdr:colOff>
      <xdr:row>71</xdr:row>
      <xdr:rowOff>28575</xdr:rowOff>
    </xdr:from>
    <xdr:to>
      <xdr:col>4</xdr:col>
      <xdr:colOff>1178475</xdr:colOff>
      <xdr:row>85</xdr:row>
      <xdr:rowOff>50925</xdr:rowOff>
    </xdr:to>
    <mc:AlternateContent xmlns:mc="http://schemas.openxmlformats.org/markup-compatibility/2006" xmlns:a14="http://schemas.microsoft.com/office/drawing/2010/main">
      <mc:Choice Requires="a14">
        <xdr:graphicFrame macro="">
          <xdr:nvGraphicFramePr>
            <xdr:cNvPr id="50" name="Community 5">
              <a:extLst>
                <a:ext uri="{FF2B5EF4-FFF2-40B4-BE49-F238E27FC236}">
                  <a16:creationId xmlns:a16="http://schemas.microsoft.com/office/drawing/2014/main" id="{828272FA-2425-4C40-ADA3-EDE3A2909550}"/>
                </a:ext>
              </a:extLst>
            </xdr:cNvPr>
            <xdr:cNvGraphicFramePr/>
          </xdr:nvGraphicFramePr>
          <xdr:xfrm>
            <a:off x="0" y="0"/>
            <a:ext cx="0" cy="0"/>
          </xdr:xfrm>
          <a:graphic>
            <a:graphicData uri="http://schemas.microsoft.com/office/drawing/2010/slicer">
              <sle:slicer xmlns:sle="http://schemas.microsoft.com/office/drawing/2010/slicer" name="Community 5"/>
            </a:graphicData>
          </a:graphic>
        </xdr:graphicFrame>
      </mc:Choice>
      <mc:Fallback xmlns="">
        <xdr:sp macro="" textlink="">
          <xdr:nvSpPr>
            <xdr:cNvPr id="0" name=""/>
            <xdr:cNvSpPr>
              <a:spLocks noTextEdit="1"/>
            </xdr:cNvSpPr>
          </xdr:nvSpPr>
          <xdr:spPr>
            <a:xfrm>
              <a:off x="2352675" y="12877800"/>
              <a:ext cx="2102400" cy="25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74</xdr:row>
      <xdr:rowOff>152400</xdr:rowOff>
    </xdr:from>
    <xdr:to>
      <xdr:col>3</xdr:col>
      <xdr:colOff>426000</xdr:colOff>
      <xdr:row>80</xdr:row>
      <xdr:rowOff>74295</xdr:rowOff>
    </xdr:to>
    <mc:AlternateContent xmlns:mc="http://schemas.openxmlformats.org/markup-compatibility/2006" xmlns:a14="http://schemas.microsoft.com/office/drawing/2010/main">
      <mc:Choice Requires="a14">
        <xdr:graphicFrame macro="">
          <xdr:nvGraphicFramePr>
            <xdr:cNvPr id="51" name="Religion 5">
              <a:extLst>
                <a:ext uri="{FF2B5EF4-FFF2-40B4-BE49-F238E27FC236}">
                  <a16:creationId xmlns:a16="http://schemas.microsoft.com/office/drawing/2014/main" id="{615C76C5-F894-4F2A-996C-C2FDA31680CF}"/>
                </a:ext>
              </a:extLst>
            </xdr:cNvPr>
            <xdr:cNvGraphicFramePr/>
          </xdr:nvGraphicFramePr>
          <xdr:xfrm>
            <a:off x="0" y="0"/>
            <a:ext cx="0" cy="0"/>
          </xdr:xfrm>
          <a:graphic>
            <a:graphicData uri="http://schemas.microsoft.com/office/drawing/2010/slicer">
              <sle:slicer xmlns:sle="http://schemas.microsoft.com/office/drawing/2010/slicer" name="Religion 5"/>
            </a:graphicData>
          </a:graphic>
        </xdr:graphicFrame>
      </mc:Choice>
      <mc:Fallback xmlns="">
        <xdr:sp macro="" textlink="">
          <xdr:nvSpPr>
            <xdr:cNvPr id="0" name=""/>
            <xdr:cNvSpPr>
              <a:spLocks noTextEdit="1"/>
            </xdr:cNvSpPr>
          </xdr:nvSpPr>
          <xdr:spPr>
            <a:xfrm>
              <a:off x="152400" y="13544550"/>
              <a:ext cx="2102400" cy="1007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55</xdr:row>
      <xdr:rowOff>76200</xdr:rowOff>
    </xdr:from>
    <xdr:to>
      <xdr:col>3</xdr:col>
      <xdr:colOff>426000</xdr:colOff>
      <xdr:row>74</xdr:row>
      <xdr:rowOff>54075</xdr:rowOff>
    </xdr:to>
    <mc:AlternateContent xmlns:mc="http://schemas.openxmlformats.org/markup-compatibility/2006" xmlns:a14="http://schemas.microsoft.com/office/drawing/2010/main">
      <mc:Choice Requires="a14">
        <xdr:graphicFrame macro="">
          <xdr:nvGraphicFramePr>
            <xdr:cNvPr id="52" name="PHC 3">
              <a:extLst>
                <a:ext uri="{FF2B5EF4-FFF2-40B4-BE49-F238E27FC236}">
                  <a16:creationId xmlns:a16="http://schemas.microsoft.com/office/drawing/2014/main" id="{56AEF860-0EDD-4FFA-B7BC-7AED4EACD0C4}"/>
                </a:ext>
              </a:extLst>
            </xdr:cNvPr>
            <xdr:cNvGraphicFramePr/>
          </xdr:nvGraphicFramePr>
          <xdr:xfrm>
            <a:off x="0" y="0"/>
            <a:ext cx="0" cy="0"/>
          </xdr:xfrm>
          <a:graphic>
            <a:graphicData uri="http://schemas.microsoft.com/office/drawing/2010/slicer">
              <sle:slicer xmlns:sle="http://schemas.microsoft.com/office/drawing/2010/slicer" name="PHC 3"/>
            </a:graphicData>
          </a:graphic>
        </xdr:graphicFrame>
      </mc:Choice>
      <mc:Fallback xmlns="">
        <xdr:sp macro="" textlink="">
          <xdr:nvSpPr>
            <xdr:cNvPr id="0" name=""/>
            <xdr:cNvSpPr>
              <a:spLocks noTextEdit="1"/>
            </xdr:cNvSpPr>
          </xdr:nvSpPr>
          <xdr:spPr>
            <a:xfrm>
              <a:off x="152400" y="10029825"/>
              <a:ext cx="2102400" cy="341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106680</xdr:colOff>
      <xdr:row>0</xdr:row>
      <xdr:rowOff>99060</xdr:rowOff>
    </xdr:from>
    <xdr:to>
      <xdr:col>4</xdr:col>
      <xdr:colOff>1181100</xdr:colOff>
      <xdr:row>30</xdr:row>
      <xdr:rowOff>15240</xdr:rowOff>
    </xdr:to>
    <xdr:graphicFrame macro="">
      <xdr:nvGraphicFramePr>
        <xdr:cNvPr id="5" name="Chart 4">
          <a:extLst>
            <a:ext uri="{FF2B5EF4-FFF2-40B4-BE49-F238E27FC236}">
              <a16:creationId xmlns:a16="http://schemas.microsoft.com/office/drawing/2014/main" id="{9A536E44-6659-0087-EAA8-80C13EDAA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205740</xdr:colOff>
      <xdr:row>0</xdr:row>
      <xdr:rowOff>95250</xdr:rowOff>
    </xdr:from>
    <xdr:to>
      <xdr:col>15</xdr:col>
      <xdr:colOff>510540</xdr:colOff>
      <xdr:row>30</xdr:row>
      <xdr:rowOff>106680</xdr:rowOff>
    </xdr:to>
    <xdr:graphicFrame macro="">
      <xdr:nvGraphicFramePr>
        <xdr:cNvPr id="10" name="Chart 9">
          <a:extLst>
            <a:ext uri="{FF2B5EF4-FFF2-40B4-BE49-F238E27FC236}">
              <a16:creationId xmlns:a16="http://schemas.microsoft.com/office/drawing/2014/main" id="{AF29C291-DE88-76F0-8F63-ED8CEE09C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7620</xdr:colOff>
      <xdr:row>0</xdr:row>
      <xdr:rowOff>68580</xdr:rowOff>
    </xdr:from>
    <xdr:to>
      <xdr:col>25</xdr:col>
      <xdr:colOff>213360</xdr:colOff>
      <xdr:row>30</xdr:row>
      <xdr:rowOff>129540</xdr:rowOff>
    </xdr:to>
    <xdr:graphicFrame macro="">
      <xdr:nvGraphicFramePr>
        <xdr:cNvPr id="2" name="Chart 1">
          <a:extLst>
            <a:ext uri="{FF2B5EF4-FFF2-40B4-BE49-F238E27FC236}">
              <a16:creationId xmlns:a16="http://schemas.microsoft.com/office/drawing/2014/main" id="{A8C70CE3-3E81-BD85-EC72-B97AB0E7E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228600</xdr:colOff>
      <xdr:row>15</xdr:row>
      <xdr:rowOff>167640</xdr:rowOff>
    </xdr:from>
    <xdr:to>
      <xdr:col>7</xdr:col>
      <xdr:colOff>723900</xdr:colOff>
      <xdr:row>29</xdr:row>
      <xdr:rowOff>74295</xdr:rowOff>
    </xdr:to>
    <mc:AlternateContent xmlns:mc="http://schemas.openxmlformats.org/markup-compatibility/2006" xmlns:sle15="http://schemas.microsoft.com/office/drawing/2012/slicer">
      <mc:Choice Requires="sle15">
        <xdr:graphicFrame macro="">
          <xdr:nvGraphicFramePr>
            <xdr:cNvPr id="3" name="Column1">
              <a:extLst>
                <a:ext uri="{FF2B5EF4-FFF2-40B4-BE49-F238E27FC236}">
                  <a16:creationId xmlns:a16="http://schemas.microsoft.com/office/drawing/2014/main" id="{48550F73-DA36-EE29-3BF9-AA840B961295}"/>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7589520" y="2910840"/>
              <a:ext cx="250698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38.623088194443" createdVersion="8" refreshedVersion="8" minRefreshableVersion="3" recordCount="73" xr:uid="{BF25851C-5140-481E-A9D2-C370DC985302}">
  <cacheSource type="worksheet">
    <worksheetSource name="Infant_data"/>
  </cacheSource>
  <cacheFields count="69">
    <cacheField name="Taluk" numFmtId="0">
      <sharedItems count="3">
        <s v="Kundapura"/>
        <s v="Udupi"/>
        <s v="Karkala"/>
      </sharedItems>
    </cacheField>
    <cacheField name="PHC" numFmtId="0">
      <sharedItems/>
    </cacheField>
    <cacheField name="Religion" numFmtId="0">
      <sharedItems/>
    </cacheField>
    <cacheField name="Community" numFmtId="0">
      <sharedItems/>
    </cacheField>
    <cacheField name="High Risk (Yes / No)" numFmtId="0">
      <sharedItems count="2">
        <s v="YES"/>
        <s v="NO"/>
      </sharedItems>
    </cacheField>
    <cacheField name="Delivery Type (LSCS / Norma)" numFmtId="0">
      <sharedItems count="2">
        <s v="LSCS"/>
        <s v="Normal"/>
      </sharedItems>
    </cacheField>
    <cacheField name="Gender" numFmtId="0">
      <sharedItems count="2">
        <s v="Female"/>
        <s v="Male"/>
      </sharedItems>
    </cacheField>
    <cacheField name="Death category" numFmtId="0">
      <sharedItems count="2">
        <s v="Neonatal Death"/>
        <s v="Infant Death"/>
      </sharedItems>
    </cacheField>
    <cacheField name="Diabetes mellitus" numFmtId="0">
      <sharedItems count="2">
        <s v="NO"/>
        <s v="YES"/>
      </sharedItems>
    </cacheField>
    <cacheField name="RH '- ve'" numFmtId="0">
      <sharedItems count="2">
        <s v="NO"/>
        <s v="YES"/>
      </sharedItems>
    </cacheField>
    <cacheField name="Elderly Primi" numFmtId="0">
      <sharedItems/>
    </cacheField>
    <cacheField name="Hypertensive Diorders" numFmtId="0">
      <sharedItems count="2">
        <s v="NO"/>
        <s v="YES"/>
      </sharedItems>
    </cacheField>
    <cacheField name="Mild  Aneamia" numFmtId="0">
      <sharedItems/>
    </cacheField>
    <cacheField name="Morderate  Aneamia" numFmtId="0">
      <sharedItems/>
    </cacheField>
    <cacheField name="Sevre Aneamia" numFmtId="0">
      <sharedItems/>
    </cacheField>
    <cacheField name="BMI &lt; 18" numFmtId="0">
      <sharedItems/>
    </cacheField>
    <cacheField name="Previous LSCS" numFmtId="0">
      <sharedItems/>
    </cacheField>
    <cacheField name="Heigh &lt;145 cms" numFmtId="0">
      <sharedItems/>
    </cacheField>
    <cacheField name="Infectitons like HIV, Sypholiis" numFmtId="0">
      <sharedItems/>
    </cacheField>
    <cacheField name="Epilpsy / Asthama / Any other Disease" numFmtId="0">
      <sharedItems/>
    </cacheField>
    <cacheField name="4 / More Pregnancies" numFmtId="0">
      <sharedItems/>
    </cacheField>
    <cacheField name="Multi Gravida" numFmtId="0">
      <sharedItems/>
    </cacheField>
    <cacheField name="Previous Abortion" numFmtId="0">
      <sharedItems/>
    </cacheField>
    <cacheField name="Transverse lie of featus" numFmtId="0">
      <sharedItems/>
    </cacheField>
    <cacheField name="Tyroid Disease" numFmtId="0">
      <sharedItems/>
    </cacheField>
    <cacheField name="Psychiatric Illness" numFmtId="0">
      <sharedItems/>
    </cacheField>
    <cacheField name="IUGR" numFmtId="0">
      <sharedItems/>
    </cacheField>
    <cacheField name="Twins / Triplets etc" numFmtId="0">
      <sharedItems/>
    </cacheField>
    <cacheField name="Fetal developmental abnormalaitis" numFmtId="0">
      <sharedItems/>
    </cacheField>
    <cacheField name="Delivery Type (LSCS / Norma)2" numFmtId="0">
      <sharedItems/>
    </cacheField>
    <cacheField name="Gender2" numFmtId="0">
      <sharedItems/>
    </cacheField>
    <cacheField name="Months" numFmtId="0">
      <sharedItems containsSemiMixedTypes="0" containsString="0" containsNumber="1" containsInteger="1" minValue="0" maxValue="11"/>
    </cacheField>
    <cacheField name="Months to days" numFmtId="0">
      <sharedItems containsSemiMixedTypes="0" containsString="0" containsNumber="1" containsInteger="1" minValue="0" maxValue="330"/>
    </cacheField>
    <cacheField name="Days" numFmtId="0">
      <sharedItems containsSemiMixedTypes="0" containsString="0" containsNumber="1" containsInteger="1" minValue="0" maxValue="46"/>
    </cacheField>
    <cacheField name="Hours" numFmtId="0">
      <sharedItems containsMixedTypes="1" containsNumber="1" minValue="1.3" maxValue="15"/>
    </cacheField>
    <cacheField name="Total days" numFmtId="0">
      <sharedItems containsSemiMixedTypes="0" containsString="0" containsNumber="1" containsInteger="1" minValue="0" maxValue="330"/>
    </cacheField>
    <cacheField name="Death category2" numFmtId="0">
      <sharedItems/>
    </cacheField>
    <cacheField name="Place of Birth" numFmtId="0">
      <sharedItems/>
    </cacheField>
    <cacheField name="Place of Death" numFmtId="0">
      <sharedItems/>
    </cacheField>
    <cacheField name="Weight (gms)" numFmtId="0">
      <sharedItems containsSemiMixedTypes="0" containsString="0" containsNumber="1" containsInteger="1" minValue="530" maxValue="3850"/>
    </cacheField>
    <cacheField name="LBW" numFmtId="0">
      <sharedItems count="2">
        <s v="YES"/>
        <s v="NO"/>
      </sharedItems>
    </cacheField>
    <cacheField name="Extreme preterm _x000a_(&lt;28 weeks)" numFmtId="0">
      <sharedItems count="2">
        <s v="NO"/>
        <s v="YES"/>
      </sharedItems>
    </cacheField>
    <cacheField name="Early Premature _x000a_(28-31 weeks)" numFmtId="0">
      <sharedItems count="2">
        <s v="NO"/>
        <s v="YES"/>
      </sharedItems>
    </cacheField>
    <cacheField name="Morderate Premature _x000a_(&lt;32-33 weeks)" numFmtId="0">
      <sharedItems count="2">
        <s v="YES"/>
        <s v="NO"/>
      </sharedItems>
    </cacheField>
    <cacheField name="Late Pre-term _x000a_(34-36 weeks)" numFmtId="0">
      <sharedItems count="2">
        <s v="NO"/>
        <s v="YES"/>
      </sharedItems>
    </cacheField>
    <cacheField name="Aspitartion Pneumonia" numFmtId="0">
      <sharedItems/>
    </cacheField>
    <cacheField name="Broncho Pneumonia" numFmtId="0">
      <sharedItems/>
    </cacheField>
    <cacheField name="Congenitall Pneumonia" numFmtId="0">
      <sharedItems/>
    </cacheField>
    <cacheField name="Myocarditis" numFmtId="0">
      <sharedItems/>
    </cacheField>
    <cacheField name="Cardiac Anomoly" numFmtId="0">
      <sharedItems/>
    </cacheField>
    <cacheField name="CHD" numFmtId="0">
      <sharedItems/>
    </cacheField>
    <cacheField name="Sepsis" numFmtId="0">
      <sharedItems/>
    </cacheField>
    <cacheField name="Respiratory Distress" numFmtId="0">
      <sharedItems/>
    </cacheField>
    <cacheField name="Pulmonary Hypertension" numFmtId="0">
      <sharedItems/>
    </cacheField>
    <cacheField name="Neonatal Asphyxia" numFmtId="0">
      <sharedItems/>
    </cacheField>
    <cacheField name="Meconium Aspiration Syndrome" numFmtId="0">
      <sharedItems/>
    </cacheField>
    <cacheField name="Necrotinsing Enterocolitis" numFmtId="0">
      <sharedItems/>
    </cacheField>
    <cacheField name="Hepatic Cause" numFmtId="0">
      <sharedItems/>
    </cacheField>
    <cacheField name="Pneumothorax" numFmtId="0">
      <sharedItems/>
    </cacheField>
    <cacheField name="Milk Aspiration" numFmtId="0">
      <sharedItems/>
    </cacheField>
    <cacheField name="SIDS" numFmtId="0">
      <sharedItems/>
    </cacheField>
    <cacheField name="IUGR2" numFmtId="0">
      <sharedItems/>
    </cacheField>
    <cacheField name="Twins / Multiple etc" numFmtId="0">
      <sharedItems/>
    </cacheField>
    <cacheField name="Hemophagocytic " numFmtId="0">
      <sharedItems/>
    </cacheField>
    <cacheField name="Milk Aspiration3" numFmtId="0">
      <sharedItems/>
    </cacheField>
    <cacheField name="Cronic Liver Disease" numFmtId="0">
      <sharedItems/>
    </cacheField>
    <cacheField name="Others" numFmtId="0">
      <sharedItems/>
    </cacheField>
    <cacheField name="Reason for Others / Others" numFmtId="0">
      <sharedItems longText="1"/>
    </cacheField>
    <cacheField name="Preventable _x000a_(Yes / No)"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38.623089351851" createdVersion="8" refreshedVersion="8" minRefreshableVersion="3" recordCount="23" xr:uid="{9D7A2B46-27D5-4228-B633-13F9438B9ED4}">
  <cacheSource type="worksheet">
    <worksheetSource name="Udupi"/>
  </cacheSource>
  <cacheFields count="50">
    <cacheField name="Taluk" numFmtId="0">
      <sharedItems/>
    </cacheField>
    <cacheField name="PHC" numFmtId="0">
      <sharedItems count="18">
        <s v="Kemmannu"/>
        <s v="Brahmavara"/>
        <s v="Malpe"/>
        <s v="Kokkarne"/>
        <s v="Manipura"/>
        <s v="Barkur"/>
        <s v="Kukkehalli"/>
        <s v="Hiriadka"/>
        <s v="Sastana"/>
        <s v="Mudarangadi"/>
        <s v="Kaup"/>
        <s v="Shirva"/>
        <s v="Padubidri"/>
        <s v="Saligrama"/>
        <s v="UPHC-Manipal"/>
        <s v="Moodubettu"/>
        <s v="Saibrakatte"/>
        <s v="Sachar"/>
      </sharedItems>
    </cacheField>
    <cacheField name="Religion" numFmtId="0">
      <sharedItems count="2">
        <s v="Muslim"/>
        <s v="Hindu"/>
      </sharedItems>
    </cacheField>
    <cacheField name="Community" numFmtId="0">
      <sharedItems count="11">
        <s v="Muslim"/>
        <s v="Poojary"/>
        <s v="SC"/>
        <s v="Kudubi"/>
        <s v="Devadiga"/>
        <s v="Kulal"/>
        <s v="Nepalian"/>
        <s v="ST(Marati)"/>
        <s v="Acharya"/>
        <s v="Nayak"/>
        <s v="NULL"/>
      </sharedItems>
    </cacheField>
    <cacheField name="High Risk (Yes / No)" numFmtId="0">
      <sharedItems count="2">
        <s v="YES"/>
        <s v="NO"/>
      </sharedItems>
    </cacheField>
    <cacheField name="Delivery Type (LSCS / Norma)" numFmtId="0">
      <sharedItems count="2">
        <s v="LSCS"/>
        <s v="Normal"/>
      </sharedItems>
    </cacheField>
    <cacheField name="Gender" numFmtId="0">
      <sharedItems count="2">
        <s v="Male"/>
        <s v="Female"/>
      </sharedItems>
    </cacheField>
    <cacheField name="Death category" numFmtId="0">
      <sharedItems count="2">
        <s v="Infant Death"/>
        <s v="Neonatal Death"/>
      </sharedItems>
    </cacheField>
    <cacheField name="Place of Birth" numFmtId="0">
      <sharedItems/>
    </cacheField>
    <cacheField name="Place of Death" numFmtId="0">
      <sharedItems/>
    </cacheField>
    <cacheField name="Preventable _x000a_(Yes / No)" numFmtId="0">
      <sharedItems count="2">
        <s v="NO"/>
        <s v="YES"/>
      </sharedItems>
    </cacheField>
    <cacheField name="Diabetes mellitus" numFmtId="0">
      <sharedItems/>
    </cacheField>
    <cacheField name="RH '- ve'" numFmtId="0">
      <sharedItems/>
    </cacheField>
    <cacheField name="Elderly Primi" numFmtId="0">
      <sharedItems/>
    </cacheField>
    <cacheField name="Hypertensive Diorders" numFmtId="0">
      <sharedItems count="2">
        <s v="YES"/>
        <s v="NO"/>
      </sharedItems>
    </cacheField>
    <cacheField name="Mild" numFmtId="0">
      <sharedItems/>
    </cacheField>
    <cacheField name="Morderate" numFmtId="0">
      <sharedItems/>
    </cacheField>
    <cacheField name="Sevre Aneamia" numFmtId="0">
      <sharedItems/>
    </cacheField>
    <cacheField name="BMI &lt; 18" numFmtId="0">
      <sharedItems/>
    </cacheField>
    <cacheField name="Previous LSCS" numFmtId="0">
      <sharedItems/>
    </cacheField>
    <cacheField name="Heigh &lt;145 cms" numFmtId="0">
      <sharedItems/>
    </cacheField>
    <cacheField name="Multi Gravida" numFmtId="0">
      <sharedItems/>
    </cacheField>
    <cacheField name="Previous Abortion" numFmtId="0">
      <sharedItems/>
    </cacheField>
    <cacheField name="Tyroid Disease" numFmtId="0">
      <sharedItems/>
    </cacheField>
    <cacheField name="Psychiatric Illness" numFmtId="0">
      <sharedItems/>
    </cacheField>
    <cacheField name="Twins / Triplets etc" numFmtId="0">
      <sharedItems/>
    </cacheField>
    <cacheField name="Months" numFmtId="0">
      <sharedItems containsSemiMixedTypes="0" containsString="0" containsNumber="1" containsInteger="1" minValue="0" maxValue="6"/>
    </cacheField>
    <cacheField name="Days" numFmtId="0">
      <sharedItems containsSemiMixedTypes="0" containsString="0" containsNumber="1" containsInteger="1" minValue="0" maxValue="26"/>
    </cacheField>
    <cacheField name="Hours" numFmtId="0">
      <sharedItems containsMixedTypes="1" containsNumber="1" containsInteger="1" minValue="4" maxValue="4"/>
    </cacheField>
    <cacheField name="Total days" numFmtId="0">
      <sharedItems containsSemiMixedTypes="0" containsString="0" containsNumber="1" containsInteger="1" minValue="0" maxValue="180"/>
    </cacheField>
    <cacheField name="LBW" numFmtId="0">
      <sharedItems count="2">
        <s v="NO"/>
        <s v="YES"/>
      </sharedItems>
    </cacheField>
    <cacheField name="Extreme preterm _x000a_(&lt;28 weeks)" numFmtId="0">
      <sharedItems count="2">
        <s v="NO"/>
        <s v="YES"/>
      </sharedItems>
    </cacheField>
    <cacheField name="Early Premature _x000a_(28-31 weeks)" numFmtId="0">
      <sharedItems count="2">
        <s v="NO"/>
        <s v="YES"/>
      </sharedItems>
    </cacheField>
    <cacheField name="Morderate Premature _x000a_(&lt;32-33 weeks)" numFmtId="0">
      <sharedItems count="1">
        <s v="NO"/>
      </sharedItems>
    </cacheField>
    <cacheField name="Late Pre-term _x000a_(34-36 weeks)" numFmtId="0">
      <sharedItems count="2">
        <s v="NO"/>
        <s v="YES"/>
      </sharedItems>
    </cacheField>
    <cacheField name="Aspitartion Pneumonia" numFmtId="0">
      <sharedItems/>
    </cacheField>
    <cacheField name="Broncho Pneumonia" numFmtId="0">
      <sharedItems/>
    </cacheField>
    <cacheField name="Congenitall Pneumonia" numFmtId="0">
      <sharedItems/>
    </cacheField>
    <cacheField name="Cardiac Anomoly" numFmtId="0">
      <sharedItems/>
    </cacheField>
    <cacheField name="CHD" numFmtId="0">
      <sharedItems/>
    </cacheField>
    <cacheField name="Sepsis" numFmtId="0">
      <sharedItems/>
    </cacheField>
    <cacheField name="Respiratory Distress" numFmtId="0">
      <sharedItems/>
    </cacheField>
    <cacheField name="Pulmonary Hypertension" numFmtId="0">
      <sharedItems/>
    </cacheField>
    <cacheField name="Neonatal Asphyxia" numFmtId="0">
      <sharedItems/>
    </cacheField>
    <cacheField name="Meconium Aspiration Syndrome" numFmtId="0">
      <sharedItems/>
    </cacheField>
    <cacheField name="Milk Aspiration" numFmtId="0">
      <sharedItems/>
    </cacheField>
    <cacheField name="SIDS" numFmtId="0">
      <sharedItems/>
    </cacheField>
    <cacheField name="Twins / Multiple etc" numFmtId="0">
      <sharedItems/>
    </cacheField>
    <cacheField name="Others" numFmtId="0">
      <sharedItems/>
    </cacheField>
    <cacheField name="Reason for Others / Others" numFmtId="0">
      <sharedItems/>
    </cacheField>
  </cacheFields>
  <extLst>
    <ext xmlns:x14="http://schemas.microsoft.com/office/spreadsheetml/2009/9/main" uri="{725AE2AE-9491-48be-B2B4-4EB974FC3084}">
      <x14:pivotCacheDefinition pivotCacheId="175072127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38.62309108796" createdVersion="8" refreshedVersion="8" minRefreshableVersion="3" recordCount="31" xr:uid="{980B979C-1DC0-413A-8E09-399D51E3CAFC}">
  <cacheSource type="worksheet">
    <worksheetSource name="Kundapura"/>
  </cacheSource>
  <cacheFields count="50">
    <cacheField name="Taluk" numFmtId="0">
      <sharedItems/>
    </cacheField>
    <cacheField name="PHC" numFmtId="0">
      <sharedItems count="15">
        <s v="Byndoor"/>
        <s v="Korgi"/>
        <s v="Shiroor"/>
        <s v="Kirimanjeshwara"/>
        <s v="Maravanthe"/>
        <s v="Siddapura"/>
        <s v="Kollur"/>
        <s v="Shankaranarayana"/>
        <s v="Gangolli"/>
        <s v="Kodi"/>
        <s v="Hattiangadi"/>
        <s v="Aloor"/>
        <s v="Bikkalkatte"/>
        <s v="Belve"/>
        <s v="hallihole"/>
      </sharedItems>
    </cacheField>
    <cacheField name="Religion" numFmtId="0">
      <sharedItems count="2">
        <s v="Hindu"/>
        <s v="Muslim"/>
      </sharedItems>
    </cacheField>
    <cacheField name="Community" numFmtId="0">
      <sharedItems count="15">
        <s v="Kharvi"/>
        <s v="others"/>
        <s v="Achary"/>
        <s v="Mogaveera"/>
        <s v="Poojary"/>
        <s v="Devadiga"/>
        <s v="Muslim"/>
        <s v="Koraga"/>
        <s v="Gowda"/>
        <s v="Kulal"/>
        <s v="SC"/>
        <s v="Brahmin"/>
        <s v="ST"/>
        <s v="Acharya"/>
        <s v="Madivala"/>
      </sharedItems>
    </cacheField>
    <cacheField name="High Risk (Yes / No)" numFmtId="0">
      <sharedItems count="2">
        <s v="YES"/>
        <s v="NO"/>
      </sharedItems>
    </cacheField>
    <cacheField name="Delivery Type (LSCS / Norma)" numFmtId="0">
      <sharedItems count="2">
        <s v="LSCS"/>
        <s v="Normal"/>
      </sharedItems>
    </cacheField>
    <cacheField name="Gender" numFmtId="0">
      <sharedItems count="2">
        <s v="Female"/>
        <s v="Male"/>
      </sharedItems>
    </cacheField>
    <cacheField name="Death category" numFmtId="0">
      <sharedItems count="2">
        <s v="Neonatal Death"/>
        <s v="Infant Death"/>
      </sharedItems>
    </cacheField>
    <cacheField name="Place of Birth" numFmtId="0">
      <sharedItems/>
    </cacheField>
    <cacheField name="Place of Death" numFmtId="0">
      <sharedItems/>
    </cacheField>
    <cacheField name="Preventable _x000a_(Yes / No)" numFmtId="0">
      <sharedItems count="2">
        <s v="NO"/>
        <s v="YES"/>
      </sharedItems>
    </cacheField>
    <cacheField name="Diabetes mellitus" numFmtId="0">
      <sharedItems/>
    </cacheField>
    <cacheField name="RH '- ve'" numFmtId="0">
      <sharedItems/>
    </cacheField>
    <cacheField name="Elderly Primi" numFmtId="0">
      <sharedItems/>
    </cacheField>
    <cacheField name="Hypertensive Diorders" numFmtId="0">
      <sharedItems count="2">
        <s v="NO"/>
        <s v="YES"/>
      </sharedItems>
    </cacheField>
    <cacheField name="Mild" numFmtId="0">
      <sharedItems/>
    </cacheField>
    <cacheField name="Morderate" numFmtId="0">
      <sharedItems/>
    </cacheField>
    <cacheField name="Sevre Aneamia" numFmtId="0">
      <sharedItems/>
    </cacheField>
    <cacheField name="BMI &lt; 18" numFmtId="0">
      <sharedItems/>
    </cacheField>
    <cacheField name="Previous LSCS" numFmtId="0">
      <sharedItems/>
    </cacheField>
    <cacheField name="Heigh &lt;145 cms" numFmtId="0">
      <sharedItems/>
    </cacheField>
    <cacheField name="Multi Gravida" numFmtId="0">
      <sharedItems/>
    </cacheField>
    <cacheField name="Previous Abortion" numFmtId="0">
      <sharedItems/>
    </cacheField>
    <cacheField name="Tyroid Disease" numFmtId="0">
      <sharedItems/>
    </cacheField>
    <cacheField name="Psychiatric Illness" numFmtId="0">
      <sharedItems/>
    </cacheField>
    <cacheField name="Twins / Triplets etc" numFmtId="0">
      <sharedItems/>
    </cacheField>
    <cacheField name="Months" numFmtId="0">
      <sharedItems containsSemiMixedTypes="0" containsString="0" containsNumber="1" containsInteger="1" minValue="0" maxValue="11"/>
    </cacheField>
    <cacheField name="Days" numFmtId="0">
      <sharedItems containsSemiMixedTypes="0" containsString="0" containsNumber="1" containsInteger="1" minValue="0" maxValue="46"/>
    </cacheField>
    <cacheField name="Hours" numFmtId="0">
      <sharedItems containsMixedTypes="1" containsNumber="1" minValue="1.3" maxValue="13"/>
    </cacheField>
    <cacheField name="Total days" numFmtId="0">
      <sharedItems containsSemiMixedTypes="0" containsString="0" containsNumber="1" containsInteger="1" minValue="0" maxValue="330"/>
    </cacheField>
    <cacheField name="LBW" numFmtId="0">
      <sharedItems count="2">
        <s v="YES"/>
        <s v="NO"/>
      </sharedItems>
    </cacheField>
    <cacheField name="Extreme preterm _x000a_(&lt;28 weeks)" numFmtId="0">
      <sharedItems count="2">
        <s v="NO"/>
        <s v="YES"/>
      </sharedItems>
    </cacheField>
    <cacheField name="Early Premature _x000a_(28-31 weeks)" numFmtId="0">
      <sharedItems count="2">
        <s v="NO"/>
        <s v="YES"/>
      </sharedItems>
    </cacheField>
    <cacheField name="Morderate Premature _x000a_(&lt;32-33 weeks)" numFmtId="0">
      <sharedItems count="2">
        <s v="YES"/>
        <s v="NO"/>
      </sharedItems>
    </cacheField>
    <cacheField name="Late Pre-term _x000a_(34-36 weeks)" numFmtId="0">
      <sharedItems count="2">
        <s v="NO"/>
        <s v="YES"/>
      </sharedItems>
    </cacheField>
    <cacheField name="Aspitartion Pneumonia" numFmtId="0">
      <sharedItems/>
    </cacheField>
    <cacheField name="Broncho Pneumonia" numFmtId="0">
      <sharedItems/>
    </cacheField>
    <cacheField name="Congenitall Pneumonia" numFmtId="0">
      <sharedItems/>
    </cacheField>
    <cacheField name="Cardiac Anomoly" numFmtId="0">
      <sharedItems/>
    </cacheField>
    <cacheField name="CHD" numFmtId="0">
      <sharedItems/>
    </cacheField>
    <cacheField name="Sepsis" numFmtId="0">
      <sharedItems/>
    </cacheField>
    <cacheField name="Respiratory Distress" numFmtId="0">
      <sharedItems/>
    </cacheField>
    <cacheField name="Pulmonary Hypertension" numFmtId="0">
      <sharedItems/>
    </cacheField>
    <cacheField name="Neonatal Asphyxia" numFmtId="0">
      <sharedItems/>
    </cacheField>
    <cacheField name="Meconium Aspiration Syndrome" numFmtId="0">
      <sharedItems/>
    </cacheField>
    <cacheField name="Milk Aspiration" numFmtId="0">
      <sharedItems/>
    </cacheField>
    <cacheField name="SIDS" numFmtId="0">
      <sharedItems/>
    </cacheField>
    <cacheField name="Twins / Multiple etc" numFmtId="0">
      <sharedItems/>
    </cacheField>
    <cacheField name="Others" numFmtId="0">
      <sharedItems/>
    </cacheField>
    <cacheField name="Reason for Others / Others" numFmtId="0">
      <sharedItems/>
    </cacheField>
  </cacheFields>
  <extLst>
    <ext xmlns:x14="http://schemas.microsoft.com/office/spreadsheetml/2009/9/main" uri="{725AE2AE-9491-48be-B2B4-4EB974FC3084}">
      <x14:pivotCacheDefinition pivotCacheId="60151974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38.623092939815" createdVersion="8" refreshedVersion="8" minRefreshableVersion="3" recordCount="19" xr:uid="{3C4F5C34-3248-4681-B7AB-DA5407F7976A}">
  <cacheSource type="worksheet">
    <worksheetSource name="Karkal"/>
  </cacheSource>
  <cacheFields count="50">
    <cacheField name="Taluk" numFmtId="0">
      <sharedItems/>
    </cacheField>
    <cacheField name="PHC" numFmtId="0">
      <sharedItems count="11">
        <s v="Idu"/>
        <s v="Inna"/>
        <s v="G H Karkala"/>
        <s v="Mala"/>
        <s v="Ajekar"/>
        <s v="Nitte"/>
        <s v="Durga"/>
        <s v="Hirgana"/>
        <s v="Donderangadi"/>
        <s v="Palli"/>
        <s v="Kukknduru"/>
      </sharedItems>
    </cacheField>
    <cacheField name="Religion" numFmtId="0">
      <sharedItems count="3">
        <s v="Jain"/>
        <s v="Hindu"/>
        <s v="Muslim"/>
      </sharedItems>
    </cacheField>
    <cacheField name="Community" numFmtId="0">
      <sharedItems count="8">
        <s v="Jain"/>
        <s v="Acharya"/>
        <s v="SC"/>
        <s v="Muslim"/>
        <s v="Poojary"/>
        <s v="Kulal"/>
        <s v="Nayak"/>
        <s v="Hindu"/>
      </sharedItems>
    </cacheField>
    <cacheField name="High Risk (Yes / No)" numFmtId="0">
      <sharedItems count="2">
        <s v="YES"/>
        <s v="NO"/>
      </sharedItems>
    </cacheField>
    <cacheField name="Delivery Type (LSCS / Norma)" numFmtId="0">
      <sharedItems count="2">
        <s v="LSCS"/>
        <s v="Normal"/>
      </sharedItems>
    </cacheField>
    <cacheField name="Gender" numFmtId="0">
      <sharedItems count="2">
        <s v="Male"/>
        <s v="Female"/>
      </sharedItems>
    </cacheField>
    <cacheField name="Death category" numFmtId="0">
      <sharedItems count="2">
        <s v="Neonatal Death"/>
        <s v="Infant Death"/>
      </sharedItems>
    </cacheField>
    <cacheField name="Place of Birth" numFmtId="0">
      <sharedItems/>
    </cacheField>
    <cacheField name="Place of Death" numFmtId="0">
      <sharedItems/>
    </cacheField>
    <cacheField name="Preventable _x000a_(Yes / No)" numFmtId="0">
      <sharedItems count="2">
        <s v="NO"/>
        <s v="YES"/>
      </sharedItems>
    </cacheField>
    <cacheField name="Diabetes mellitus" numFmtId="0">
      <sharedItems/>
    </cacheField>
    <cacheField name="RH '- ve'" numFmtId="0">
      <sharedItems/>
    </cacheField>
    <cacheField name="Elderly Primi" numFmtId="0">
      <sharedItems/>
    </cacheField>
    <cacheField name="Hypertensive Diorders" numFmtId="0">
      <sharedItems count="2">
        <s v="NO"/>
        <s v="YES"/>
      </sharedItems>
    </cacheField>
    <cacheField name="Mild Aneamia" numFmtId="0">
      <sharedItems/>
    </cacheField>
    <cacheField name="Morderate Aneamia" numFmtId="0">
      <sharedItems/>
    </cacheField>
    <cacheField name="Sevre Aneamia" numFmtId="0">
      <sharedItems/>
    </cacheField>
    <cacheField name="BMI &lt; 18" numFmtId="0">
      <sharedItems/>
    </cacheField>
    <cacheField name="Previous LSCS" numFmtId="0">
      <sharedItems/>
    </cacheField>
    <cacheField name="Heigh &lt;145 cms" numFmtId="0">
      <sharedItems/>
    </cacheField>
    <cacheField name="Multi Gravida" numFmtId="0">
      <sharedItems/>
    </cacheField>
    <cacheField name="Previous Abortion" numFmtId="0">
      <sharedItems/>
    </cacheField>
    <cacheField name="Tyroid Disease" numFmtId="0">
      <sharedItems/>
    </cacheField>
    <cacheField name="Psychiatric Illness" numFmtId="0">
      <sharedItems/>
    </cacheField>
    <cacheField name="Twins / Triplets etc" numFmtId="0">
      <sharedItems/>
    </cacheField>
    <cacheField name="Months" numFmtId="0">
      <sharedItems containsSemiMixedTypes="0" containsString="0" containsNumber="1" containsInteger="1" minValue="0" maxValue="4"/>
    </cacheField>
    <cacheField name="Days" numFmtId="0">
      <sharedItems containsSemiMixedTypes="0" containsString="0" containsNumber="1" containsInteger="1" minValue="0" maxValue="28"/>
    </cacheField>
    <cacheField name="Hours" numFmtId="0">
      <sharedItems containsMixedTypes="1" containsNumber="1" containsInteger="1" minValue="15" maxValue="15"/>
    </cacheField>
    <cacheField name="Total days" numFmtId="0">
      <sharedItems containsSemiMixedTypes="0" containsString="0" containsNumber="1" containsInteger="1" minValue="1" maxValue="120"/>
    </cacheField>
    <cacheField name="LBW" numFmtId="0">
      <sharedItems count="2">
        <s v="NO"/>
        <s v="YES"/>
      </sharedItems>
    </cacheField>
    <cacheField name="Extreme preterm _x000a_(&lt;28 weeks)" numFmtId="0">
      <sharedItems count="2">
        <s v="NO"/>
        <s v="YES"/>
      </sharedItems>
    </cacheField>
    <cacheField name="Early Premature _x000a_(28-31 weeks)" numFmtId="0">
      <sharedItems count="2">
        <s v="NO"/>
        <s v="YES"/>
      </sharedItems>
    </cacheField>
    <cacheField name="Morderate Premature _x000a_(&lt;32-33 weeks)" numFmtId="0">
      <sharedItems count="2">
        <s v="NO"/>
        <s v="YES"/>
      </sharedItems>
    </cacheField>
    <cacheField name="Late Pre-term _x000a_(34-36 weeks)" numFmtId="0">
      <sharedItems count="1">
        <s v="NO"/>
      </sharedItems>
    </cacheField>
    <cacheField name="Aspitartion Pneumonia" numFmtId="0">
      <sharedItems/>
    </cacheField>
    <cacheField name="Broncho Pneumonia" numFmtId="0">
      <sharedItems/>
    </cacheField>
    <cacheField name="Congenitall Pneumonia" numFmtId="0">
      <sharedItems/>
    </cacheField>
    <cacheField name="Cardiac Anomoly" numFmtId="0">
      <sharedItems/>
    </cacheField>
    <cacheField name="CHD" numFmtId="0">
      <sharedItems/>
    </cacheField>
    <cacheField name="Sepsis" numFmtId="0">
      <sharedItems/>
    </cacheField>
    <cacheField name="Respiratory Distress" numFmtId="0">
      <sharedItems/>
    </cacheField>
    <cacheField name="Pulmonary Hypertension" numFmtId="0">
      <sharedItems/>
    </cacheField>
    <cacheField name="Neonatal Asphyxia" numFmtId="0">
      <sharedItems/>
    </cacheField>
    <cacheField name="Meconium Aspiration Syndrome" numFmtId="0">
      <sharedItems/>
    </cacheField>
    <cacheField name="Milk Aspiration" numFmtId="0">
      <sharedItems/>
    </cacheField>
    <cacheField name="SIDS" numFmtId="0">
      <sharedItems/>
    </cacheField>
    <cacheField name="Twins / Multiple etc" numFmtId="0">
      <sharedItems/>
    </cacheField>
    <cacheField name="Others" numFmtId="0">
      <sharedItems/>
    </cacheField>
    <cacheField name="Reason for Others / Others" numFmtId="0">
      <sharedItems longText="1"/>
    </cacheField>
  </cacheFields>
  <extLst>
    <ext xmlns:x14="http://schemas.microsoft.com/office/spreadsheetml/2009/9/main" uri="{725AE2AE-9491-48be-B2B4-4EB974FC3084}">
      <x14:pivotCacheDefinition pivotCacheId="1979429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
  <r>
    <x v="0"/>
    <s v="Byndoor"/>
    <s v="Hindu"/>
    <s v="Kharvi"/>
    <x v="0"/>
    <x v="0"/>
    <x v="0"/>
    <x v="0"/>
    <x v="0"/>
    <x v="0"/>
    <s v="NO"/>
    <x v="0"/>
    <s v="NO"/>
    <s v="NO"/>
    <s v="NO"/>
    <s v="NO"/>
    <s v="YES"/>
    <s v="NO"/>
    <s v="NO"/>
    <s v="NO"/>
    <s v="NO"/>
    <s v="NO"/>
    <s v="NO"/>
    <s v="NO"/>
    <s v="NO"/>
    <s v="NO"/>
    <s v="NO"/>
    <s v="NO"/>
    <s v="NO"/>
    <s v="LSCS"/>
    <s v="Female"/>
    <n v="0"/>
    <n v="0"/>
    <n v="13"/>
    <s v="NO"/>
    <n v="13"/>
    <s v="Neonatal Death"/>
    <s v="Pvt. Medical College"/>
    <s v="Pvt. Medical College"/>
    <n v="925"/>
    <x v="0"/>
    <x v="0"/>
    <x v="0"/>
    <x v="0"/>
    <x v="0"/>
    <s v="NO"/>
    <s v="NO"/>
    <s v="NO"/>
    <s v="NO"/>
    <s v="NO"/>
    <s v="NO"/>
    <s v="NO"/>
    <s v="NO"/>
    <s v="NO"/>
    <s v="NO"/>
    <s v="NO"/>
    <s v="NO"/>
    <s v="NO"/>
    <s v="NO"/>
    <s v="NO"/>
    <s v="NO"/>
    <s v="NO"/>
    <s v="NO"/>
    <s v="NO"/>
    <s v="NO"/>
    <s v="NO"/>
    <s v="NO"/>
    <s v="NO"/>
    <x v="0"/>
  </r>
  <r>
    <x v="1"/>
    <s v="Kemmannu"/>
    <s v="Muslim"/>
    <s v="Muslim"/>
    <x v="0"/>
    <x v="0"/>
    <x v="1"/>
    <x v="1"/>
    <x v="0"/>
    <x v="0"/>
    <s v="NO"/>
    <x v="1"/>
    <s v="NO"/>
    <s v="NO"/>
    <s v="NO"/>
    <s v="NO"/>
    <s v="YES"/>
    <s v="NO"/>
    <s v="NO"/>
    <s v="NO"/>
    <s v="NO"/>
    <s v="NO"/>
    <s v="NO"/>
    <s v="NO"/>
    <s v="NO"/>
    <s v="NO"/>
    <s v="NO"/>
    <s v="NO"/>
    <s v="NO"/>
    <s v="LSCS"/>
    <s v="Male"/>
    <n v="2"/>
    <n v="60"/>
    <n v="3"/>
    <s v="NO"/>
    <n v="63"/>
    <s v="Infant Death"/>
    <s v="Pvt. Medical College"/>
    <s v="Pvt. Medical College"/>
    <n v="2075"/>
    <x v="1"/>
    <x v="0"/>
    <x v="0"/>
    <x v="1"/>
    <x v="0"/>
    <s v="NO"/>
    <s v="NO"/>
    <s v="NO"/>
    <s v="NO"/>
    <s v="NO"/>
    <s v="NO"/>
    <s v="NO"/>
    <s v="NO"/>
    <s v="NO"/>
    <s v="NO"/>
    <s v="NO"/>
    <s v="NO"/>
    <s v="NO"/>
    <s v="NO"/>
    <s v="NO"/>
    <s v="NO"/>
    <s v="NO"/>
    <s v="NO"/>
    <s v="NO"/>
    <s v="NO"/>
    <s v="NO"/>
    <s v="YES"/>
    <s v="Trisomy 2YES, VSD, Acute Failure Severe, PAH ASD 7mm"/>
    <x v="0"/>
  </r>
  <r>
    <x v="2"/>
    <s v="Idu"/>
    <s v="Jain"/>
    <s v="Jain"/>
    <x v="0"/>
    <x v="0"/>
    <x v="1"/>
    <x v="0"/>
    <x v="0"/>
    <x v="0"/>
    <s v="NO"/>
    <x v="0"/>
    <s v="NO"/>
    <s v="NO"/>
    <s v="NO"/>
    <s v="NO"/>
    <s v="YES"/>
    <s v="NO"/>
    <s v="NO"/>
    <s v="NO"/>
    <s v="NO"/>
    <s v="NO"/>
    <s v="NO"/>
    <s v="NO"/>
    <s v="NO"/>
    <s v="NO"/>
    <s v="NO"/>
    <s v="NO"/>
    <s v="NO"/>
    <s v="LSCS"/>
    <s v="Male"/>
    <n v="0"/>
    <n v="0"/>
    <n v="3"/>
    <s v="NO"/>
    <n v="3"/>
    <s v="Neonatal Death"/>
    <s v="Govt. Hospital"/>
    <s v="Govt. Hospital"/>
    <n v="2950"/>
    <x v="1"/>
    <x v="0"/>
    <x v="0"/>
    <x v="1"/>
    <x v="0"/>
    <s v="NO"/>
    <s v="NO"/>
    <s v="NO"/>
    <s v="NO"/>
    <s v="NO"/>
    <s v="NO"/>
    <s v="NO"/>
    <s v="NO"/>
    <s v="NO"/>
    <s v="NO"/>
    <s v="NO"/>
    <s v="NO"/>
    <s v="NO"/>
    <s v="NO"/>
    <s v="NO"/>
    <s v="NO"/>
    <s v="NO"/>
    <s v="NO"/>
    <s v="NO"/>
    <s v="NO"/>
    <s v="NO"/>
    <s v="YES"/>
    <s v="Multiple Fetal ANOmalies Absent Cavum Pellucudum With Septo-Optic Dysplasia? Severe Persistent Pulmonary Hypertension"/>
    <x v="0"/>
  </r>
  <r>
    <x v="0"/>
    <s v="Korgi"/>
    <s v="Hindu"/>
    <s v="others"/>
    <x v="0"/>
    <x v="1"/>
    <x v="0"/>
    <x v="1"/>
    <x v="0"/>
    <x v="1"/>
    <s v="NO"/>
    <x v="0"/>
    <s v="NO"/>
    <s v="NO"/>
    <s v="NO"/>
    <s v="NO"/>
    <s v="NO"/>
    <s v="NO"/>
    <s v="NO"/>
    <s v="NO"/>
    <s v="NO"/>
    <s v="NO"/>
    <s v="NO"/>
    <s v="NO"/>
    <s v="NO"/>
    <s v="NO"/>
    <s v="NO"/>
    <s v="NO"/>
    <s v="NO"/>
    <s v="Normal"/>
    <s v="Female"/>
    <n v="2"/>
    <n v="60"/>
    <n v="8"/>
    <s v="NO"/>
    <n v="68"/>
    <s v="Infant Death"/>
    <s v="Govt. Hospital"/>
    <s v="Home"/>
    <n v="2006"/>
    <x v="1"/>
    <x v="0"/>
    <x v="0"/>
    <x v="1"/>
    <x v="0"/>
    <s v="NO"/>
    <s v="NO"/>
    <s v="NO"/>
    <s v="NO"/>
    <s v="NO"/>
    <s v="NO"/>
    <s v="NO"/>
    <s v="NO"/>
    <s v="NO"/>
    <s v="NO"/>
    <s v="NO"/>
    <s v="NO"/>
    <s v="NO"/>
    <s v="NO"/>
    <s v="NO"/>
    <s v="YES"/>
    <s v="NO"/>
    <s v="NO"/>
    <s v="NO"/>
    <s v="NO"/>
    <s v="NO"/>
    <s v="NO"/>
    <s v="NO"/>
    <x v="1"/>
  </r>
  <r>
    <x v="0"/>
    <s v="Byndoor"/>
    <s v="Hindu"/>
    <s v="Kharvi"/>
    <x v="0"/>
    <x v="0"/>
    <x v="1"/>
    <x v="0"/>
    <x v="0"/>
    <x v="0"/>
    <s v="NO"/>
    <x v="0"/>
    <s v="NO"/>
    <s v="NO"/>
    <s v="NO"/>
    <s v="NO"/>
    <s v="NO"/>
    <s v="NO"/>
    <s v="NO"/>
    <s v="NO"/>
    <s v="NO"/>
    <s v="NO"/>
    <s v="NO"/>
    <s v="NO"/>
    <s v="YES"/>
    <s v="NO"/>
    <s v="NO"/>
    <s v="NO"/>
    <s v="NO"/>
    <s v="LSCS"/>
    <s v="Male"/>
    <n v="0"/>
    <n v="0"/>
    <n v="8"/>
    <s v="NO"/>
    <n v="8"/>
    <s v="Neonatal Death"/>
    <s v="Govt. Hospital"/>
    <s v="Govt. Hospital"/>
    <n v="980"/>
    <x v="0"/>
    <x v="1"/>
    <x v="0"/>
    <x v="1"/>
    <x v="0"/>
    <s v="NO"/>
    <s v="NO"/>
    <s v="NO"/>
    <s v="NO"/>
    <s v="NO"/>
    <s v="NO"/>
    <s v="YES"/>
    <s v="NO"/>
    <s v="NO"/>
    <s v="NO"/>
    <s v="NO"/>
    <s v="NO"/>
    <s v="NO"/>
    <s v="NO"/>
    <s v="NO"/>
    <s v="NO"/>
    <s v="NO"/>
    <s v="NO"/>
    <s v="NO"/>
    <s v="NO"/>
    <s v="NO"/>
    <s v="NO"/>
    <s v="NO"/>
    <x v="0"/>
  </r>
  <r>
    <x v="0"/>
    <s v="Shiroor"/>
    <s v="Hindu"/>
    <s v="Kharvi"/>
    <x v="1"/>
    <x v="0"/>
    <x v="1"/>
    <x v="0"/>
    <x v="0"/>
    <x v="0"/>
    <s v="NO"/>
    <x v="0"/>
    <s v="NO"/>
    <s v="NO"/>
    <s v="NO"/>
    <s v="NO"/>
    <s v="NO"/>
    <s v="NO"/>
    <s v="NO"/>
    <s v="NO"/>
    <s v="NO"/>
    <s v="NO"/>
    <s v="NO"/>
    <s v="NO"/>
    <s v="NO"/>
    <s v="NO"/>
    <s v="NO"/>
    <s v="NO"/>
    <s v="NO"/>
    <s v="LSCS"/>
    <s v="Male"/>
    <n v="0"/>
    <n v="0"/>
    <n v="3"/>
    <s v="NO"/>
    <n v="3"/>
    <s v="Neonatal Death"/>
    <s v="Pvt. Medical College"/>
    <s v="Home"/>
    <n v="1990"/>
    <x v="1"/>
    <x v="0"/>
    <x v="0"/>
    <x v="0"/>
    <x v="0"/>
    <s v="NO"/>
    <s v="NO"/>
    <s v="NO"/>
    <s v="NO"/>
    <s v="NO"/>
    <s v="NO"/>
    <s v="NO"/>
    <s v="NO"/>
    <s v="NO"/>
    <s v="NO"/>
    <s v="NO"/>
    <s v="NO"/>
    <s v="NO"/>
    <s v="NO"/>
    <s v="NO"/>
    <s v="NO"/>
    <s v="NO"/>
    <s v="NO"/>
    <s v="NO"/>
    <s v="NO"/>
    <s v="NO"/>
    <s v="NO"/>
    <s v="NO"/>
    <x v="0"/>
  </r>
  <r>
    <x v="1"/>
    <s v="Brahmavara"/>
    <s v="Muslim"/>
    <s v="Muslim"/>
    <x v="1"/>
    <x v="1"/>
    <x v="1"/>
    <x v="1"/>
    <x v="0"/>
    <x v="0"/>
    <s v="NO"/>
    <x v="0"/>
    <s v="NO"/>
    <s v="NO"/>
    <s v="NO"/>
    <s v="NO"/>
    <s v="NO"/>
    <s v="NO"/>
    <s v="NO"/>
    <s v="NO"/>
    <s v="NO"/>
    <s v="NO"/>
    <s v="NO"/>
    <s v="NO"/>
    <s v="NO"/>
    <s v="NO"/>
    <s v="NO"/>
    <s v="NO"/>
    <s v="NO"/>
    <s v="Normal"/>
    <s v="Male"/>
    <n v="2"/>
    <n v="60"/>
    <n v="0"/>
    <s v="NO"/>
    <n v="60"/>
    <s v="Infant Death"/>
    <s v="Pvt. Hospital"/>
    <s v="Pvt. Hospital"/>
    <n v="3200"/>
    <x v="1"/>
    <x v="0"/>
    <x v="0"/>
    <x v="1"/>
    <x v="0"/>
    <s v="NO"/>
    <s v="NO"/>
    <s v="NO"/>
    <s v="NO"/>
    <s v="NO"/>
    <s v="YES"/>
    <s v="NO"/>
    <s v="NO"/>
    <s v="NO"/>
    <s v="NO"/>
    <s v="NO"/>
    <s v="NO"/>
    <s v="NO"/>
    <s v="NO"/>
    <s v="NO"/>
    <s v="NO"/>
    <s v="NO"/>
    <s v="NO"/>
    <s v="NO"/>
    <s v="NO"/>
    <s v="NO"/>
    <s v="NO"/>
    <s v="NO"/>
    <x v="0"/>
  </r>
  <r>
    <x v="2"/>
    <s v="Inna"/>
    <s v="Hindu"/>
    <s v="Acharya"/>
    <x v="0"/>
    <x v="0"/>
    <x v="0"/>
    <x v="0"/>
    <x v="0"/>
    <x v="0"/>
    <s v="NO"/>
    <x v="0"/>
    <s v="NO"/>
    <s v="NO"/>
    <s v="NO"/>
    <s v="NO"/>
    <s v="NO"/>
    <s v="NO"/>
    <s v="NO"/>
    <s v="NO"/>
    <s v="NO"/>
    <s v="NO"/>
    <s v="NO"/>
    <s v="NO"/>
    <s v="NO"/>
    <s v="NO"/>
    <s v="NO"/>
    <s v="YES"/>
    <s v="NO"/>
    <s v="LSCS"/>
    <s v="Female"/>
    <n v="0"/>
    <n v="0"/>
    <n v="16"/>
    <s v="NO"/>
    <n v="16"/>
    <s v="Neonatal Death"/>
    <s v="Pvt. Medical College"/>
    <s v="Pvt. Medical College"/>
    <n v="1590"/>
    <x v="0"/>
    <x v="0"/>
    <x v="0"/>
    <x v="1"/>
    <x v="0"/>
    <s v="NO"/>
    <s v="NO"/>
    <s v="NO"/>
    <s v="NO"/>
    <s v="NO"/>
    <s v="NO"/>
    <s v="NO"/>
    <s v="NO"/>
    <s v="NO"/>
    <s v="NO"/>
    <s v="NO"/>
    <s v="NO"/>
    <s v="NO"/>
    <s v="NO"/>
    <s v="NO"/>
    <s v="NO"/>
    <s v="NO"/>
    <s v="YES"/>
    <s v="NO"/>
    <s v="NO"/>
    <s v="NO"/>
    <s v="YES"/>
    <s v="Multi Organ Dysfuction syndrome septic shock bilateral grade 3 intra ventricular hemorrhage with moderate Hydrocephalus neonatal seizures acute kidney injury stage YES anemia of prematurity moderate respiratory distress syndrome very preterm very low birth weight."/>
    <x v="0"/>
  </r>
  <r>
    <x v="2"/>
    <s v="Inna"/>
    <s v="Hindu"/>
    <s v="Acharya"/>
    <x v="0"/>
    <x v="0"/>
    <x v="0"/>
    <x v="0"/>
    <x v="0"/>
    <x v="0"/>
    <s v="NO"/>
    <x v="0"/>
    <s v="NO"/>
    <s v="NO"/>
    <s v="NO"/>
    <s v="NO"/>
    <s v="NO"/>
    <s v="NO"/>
    <s v="NO"/>
    <s v="NO"/>
    <s v="NO"/>
    <s v="NO"/>
    <s v="NO"/>
    <s v="NO"/>
    <s v="NO"/>
    <s v="NO"/>
    <s v="NO"/>
    <s v="YES"/>
    <s v="NO"/>
    <s v="LSCS"/>
    <s v="Female"/>
    <n v="0"/>
    <n v="0"/>
    <n v="16"/>
    <s v="NO"/>
    <n v="16"/>
    <s v="Neonatal Death"/>
    <s v="Pvt. Medical College"/>
    <s v="Pvt. Medical College"/>
    <n v="1550"/>
    <x v="0"/>
    <x v="0"/>
    <x v="0"/>
    <x v="1"/>
    <x v="0"/>
    <s v="NO"/>
    <s v="NO"/>
    <s v="NO"/>
    <s v="NO"/>
    <s v="NO"/>
    <s v="NO"/>
    <s v="NO"/>
    <s v="NO"/>
    <s v="NO"/>
    <s v="NO"/>
    <s v="NO"/>
    <s v="NO"/>
    <s v="NO"/>
    <s v="NO"/>
    <s v="NO"/>
    <s v="NO"/>
    <s v="NO"/>
    <s v="YES"/>
    <s v="NO"/>
    <s v="NO"/>
    <s v="NO"/>
    <s v="YES"/>
    <s v="Multi Organ Dysfuction syndrome septic shock bilateral grade 3 intra ventricular hemorrhage with moderate Hydrocephalus neonatal seizures acute kidney injury stage YES anemia of prematurity moderate respiratory distress syndrome very preterm very low birth weight."/>
    <x v="0"/>
  </r>
  <r>
    <x v="2"/>
    <s v="Idu"/>
    <s v="Hindu"/>
    <s v="SC"/>
    <x v="1"/>
    <x v="0"/>
    <x v="1"/>
    <x v="1"/>
    <x v="0"/>
    <x v="0"/>
    <s v="NO"/>
    <x v="0"/>
    <s v="NO"/>
    <s v="NO"/>
    <s v="NO"/>
    <s v="NO"/>
    <s v="NO"/>
    <s v="NO"/>
    <s v="NO"/>
    <s v="NO"/>
    <s v="NO"/>
    <s v="NO"/>
    <s v="NO"/>
    <s v="NO"/>
    <s v="NO"/>
    <s v="NO"/>
    <s v="NO"/>
    <s v="NO"/>
    <s v="NO"/>
    <s v="LSCS"/>
    <s v="Male"/>
    <n v="1"/>
    <n v="30"/>
    <n v="15"/>
    <s v="NO"/>
    <n v="45"/>
    <s v="Infant Death"/>
    <s v="Govt. Hospital"/>
    <s v="Pvt. Medical College"/>
    <n v="2580"/>
    <x v="1"/>
    <x v="0"/>
    <x v="0"/>
    <x v="1"/>
    <x v="0"/>
    <s v="NO"/>
    <s v="NO"/>
    <s v="NO"/>
    <s v="NO"/>
    <s v="NO"/>
    <s v="NO"/>
    <s v="NO"/>
    <s v="NO"/>
    <s v="NO"/>
    <s v="NO"/>
    <s v="NO"/>
    <s v="NO"/>
    <s v="NO"/>
    <s v="NO"/>
    <s v="NO"/>
    <s v="NO"/>
    <s v="NO"/>
    <s v="NO"/>
    <s v="NO"/>
    <s v="NO"/>
    <s v="NO"/>
    <s v="YES"/>
    <s v="Refractory Decompensated Shock Biventricular Failure severe PAH"/>
    <x v="0"/>
  </r>
  <r>
    <x v="1"/>
    <s v="Malpe"/>
    <s v="Hindu"/>
    <s v="Poojary"/>
    <x v="1"/>
    <x v="1"/>
    <x v="1"/>
    <x v="0"/>
    <x v="0"/>
    <x v="0"/>
    <s v="NO"/>
    <x v="0"/>
    <s v="NO"/>
    <s v="NO"/>
    <s v="NO"/>
    <s v="NO"/>
    <s v="NO"/>
    <s v="NO"/>
    <s v="NO"/>
    <s v="NO"/>
    <s v="NO"/>
    <s v="NO"/>
    <s v="NO"/>
    <s v="NO"/>
    <s v="NO"/>
    <s v="NO"/>
    <s v="NO"/>
    <s v="NO"/>
    <s v="NO"/>
    <s v="Normal"/>
    <s v="Male"/>
    <n v="0"/>
    <n v="0"/>
    <n v="2"/>
    <s v="NO"/>
    <n v="2"/>
    <s v="Neonatal Death"/>
    <s v="Pvt. Hospital"/>
    <s v="Pvt. Hospital"/>
    <n v="2980"/>
    <x v="1"/>
    <x v="0"/>
    <x v="0"/>
    <x v="1"/>
    <x v="0"/>
    <s v="NO"/>
    <s v="NO"/>
    <s v="NO"/>
    <s v="NO"/>
    <s v="NO"/>
    <s v="NO"/>
    <s v="YES"/>
    <s v="NO"/>
    <s v="NO"/>
    <s v="NO"/>
    <s v="NO"/>
    <s v="NO"/>
    <s v="NO"/>
    <s v="NO"/>
    <s v="NO"/>
    <s v="NO"/>
    <s v="NO"/>
    <s v="NO"/>
    <s v="NO"/>
    <s v="NO"/>
    <s v="NO"/>
    <s v="YES"/>
    <s v="Early Neonatal Sepsis, Septic shock, multiorgan dysfunction Meningitis"/>
    <x v="1"/>
  </r>
  <r>
    <x v="1"/>
    <s v="Malpe"/>
    <s v="Hindu"/>
    <s v="Poojary"/>
    <x v="1"/>
    <x v="1"/>
    <x v="0"/>
    <x v="0"/>
    <x v="0"/>
    <x v="0"/>
    <s v="NO"/>
    <x v="0"/>
    <s v="NO"/>
    <s v="NO"/>
    <s v="NO"/>
    <s v="NO"/>
    <s v="NO"/>
    <s v="NO"/>
    <s v="NO"/>
    <s v="NO"/>
    <s v="NO"/>
    <s v="NO"/>
    <s v="NO"/>
    <s v="NO"/>
    <s v="NO"/>
    <s v="NO"/>
    <s v="NO"/>
    <s v="NO"/>
    <s v="NO"/>
    <s v="Normal"/>
    <s v="Female"/>
    <n v="0"/>
    <n v="0"/>
    <n v="4"/>
    <s v="NO"/>
    <n v="4"/>
    <s v="Neonatal Death"/>
    <s v="Pvt. Medical College"/>
    <s v="Pvt. Medical College"/>
    <n v="780"/>
    <x v="0"/>
    <x v="1"/>
    <x v="0"/>
    <x v="1"/>
    <x v="0"/>
    <s v="NO"/>
    <s v="NO"/>
    <s v="NO"/>
    <s v="NO"/>
    <s v="NO"/>
    <s v="NO"/>
    <s v="NO"/>
    <s v="YES"/>
    <s v="NO"/>
    <s v="NO"/>
    <s v="NO"/>
    <s v="NO"/>
    <s v="NO"/>
    <s v="NO"/>
    <s v="NO"/>
    <s v="NO"/>
    <s v="NO"/>
    <s v="NO"/>
    <s v="NO"/>
    <s v="NO"/>
    <s v="NO"/>
    <s v="YES"/>
    <s v="Birth weight 78NO gms"/>
    <x v="0"/>
  </r>
  <r>
    <x v="1"/>
    <s v="Brahmavara"/>
    <s v="Hindu"/>
    <s v="SC"/>
    <x v="0"/>
    <x v="0"/>
    <x v="0"/>
    <x v="0"/>
    <x v="1"/>
    <x v="0"/>
    <s v="NO"/>
    <x v="0"/>
    <s v="NO"/>
    <s v="NO"/>
    <s v="NO"/>
    <s v="NO"/>
    <s v="NO"/>
    <s v="NO"/>
    <s v="NO"/>
    <s v="NO"/>
    <s v="NO"/>
    <s v="NO"/>
    <s v="NO"/>
    <s v="NO"/>
    <s v="NO"/>
    <s v="NO"/>
    <s v="NO"/>
    <s v="NO"/>
    <s v="NO"/>
    <s v="LSCS"/>
    <s v="Female"/>
    <n v="0"/>
    <n v="0"/>
    <n v="0"/>
    <n v="4"/>
    <n v="0"/>
    <s v="Neonatal Death"/>
    <s v="Pvt. Hospital"/>
    <s v="Pvt. Medical College"/>
    <n v="2750"/>
    <x v="1"/>
    <x v="0"/>
    <x v="0"/>
    <x v="1"/>
    <x v="0"/>
    <s v="NO"/>
    <s v="NO"/>
    <s v="NO"/>
    <s v="NO"/>
    <s v="NO"/>
    <s v="NO"/>
    <s v="NO"/>
    <s v="NO"/>
    <s v="NO"/>
    <s v="YES"/>
    <s v="YES"/>
    <s v="NO"/>
    <s v="NO"/>
    <s v="NO"/>
    <s v="NO"/>
    <s v="NO"/>
    <s v="NO"/>
    <s v="NO"/>
    <s v="NO"/>
    <s v="NO"/>
    <s v="NO"/>
    <s v="YES"/>
    <s v="severe persistant pulmonary hypertension"/>
    <x v="1"/>
  </r>
  <r>
    <x v="0"/>
    <s v="Kirimanjeshwara"/>
    <s v="Hindu"/>
    <s v="Achary"/>
    <x v="0"/>
    <x v="0"/>
    <x v="1"/>
    <x v="0"/>
    <x v="0"/>
    <x v="0"/>
    <s v="NO"/>
    <x v="0"/>
    <s v="NO"/>
    <s v="YES"/>
    <s v="NO"/>
    <s v="NO"/>
    <s v="YES"/>
    <s v="NO"/>
    <s v="NO"/>
    <s v="NO"/>
    <s v="NO"/>
    <s v="NO"/>
    <s v="NO"/>
    <s v="NO"/>
    <s v="NO"/>
    <s v="NO"/>
    <s v="NO"/>
    <s v="NO"/>
    <s v="NO"/>
    <s v="LSCS"/>
    <s v="Male"/>
    <n v="0"/>
    <n v="0"/>
    <n v="9"/>
    <s v="NO"/>
    <n v="9"/>
    <s v="Neonatal Death"/>
    <s v="Pvt. Medical College"/>
    <s v="Pvt. Medical College"/>
    <n v="900"/>
    <x v="0"/>
    <x v="1"/>
    <x v="0"/>
    <x v="1"/>
    <x v="0"/>
    <s v="NO"/>
    <s v="NO"/>
    <s v="NO"/>
    <s v="NO"/>
    <s v="NO"/>
    <s v="NO"/>
    <s v="NO"/>
    <s v="YES"/>
    <s v="NO"/>
    <s v="NO"/>
    <s v="NO"/>
    <s v="NO"/>
    <s v="NO"/>
    <s v="NO"/>
    <s v="NO"/>
    <s v="NO"/>
    <s v="NO"/>
    <s v="NO"/>
    <s v="NO"/>
    <s v="NO"/>
    <s v="NO"/>
    <s v="NO"/>
    <s v="NO"/>
    <x v="0"/>
  </r>
  <r>
    <x v="0"/>
    <s v="Maravanthe"/>
    <s v="Hindu"/>
    <s v="Mogaveera"/>
    <x v="0"/>
    <x v="0"/>
    <x v="0"/>
    <x v="1"/>
    <x v="0"/>
    <x v="0"/>
    <s v="YES"/>
    <x v="0"/>
    <s v="NO"/>
    <s v="NO"/>
    <s v="NO"/>
    <s v="NO"/>
    <s v="NO"/>
    <s v="NO"/>
    <s v="NO"/>
    <s v="NO"/>
    <s v="NO"/>
    <s v="NO"/>
    <s v="NO"/>
    <s v="NO"/>
    <s v="NO"/>
    <s v="NO"/>
    <s v="NO"/>
    <s v="NO"/>
    <s v="NO"/>
    <s v="LSCS"/>
    <s v="Female"/>
    <n v="1"/>
    <n v="30"/>
    <n v="14"/>
    <s v="NO"/>
    <n v="44"/>
    <s v="Infant Death"/>
    <s v="Pvt. Hospital"/>
    <s v="Home"/>
    <n v="2700"/>
    <x v="1"/>
    <x v="0"/>
    <x v="0"/>
    <x v="1"/>
    <x v="0"/>
    <s v="NO"/>
    <s v="NO"/>
    <s v="NO"/>
    <s v="NO"/>
    <s v="NO"/>
    <s v="NO"/>
    <s v="NO"/>
    <s v="NO"/>
    <s v="NO"/>
    <s v="NO"/>
    <s v="NO"/>
    <s v="NO"/>
    <s v="NO"/>
    <s v="NO"/>
    <s v="YES"/>
    <s v="YES"/>
    <s v="NO"/>
    <s v="NO"/>
    <s v="NO"/>
    <s v="NO"/>
    <s v="NO"/>
    <s v="YES"/>
    <s v="PM Reports confirmed"/>
    <x v="1"/>
  </r>
  <r>
    <x v="1"/>
    <s v="Kokkarne"/>
    <s v="Hindu"/>
    <s v="Kudubi"/>
    <x v="1"/>
    <x v="1"/>
    <x v="0"/>
    <x v="0"/>
    <x v="0"/>
    <x v="0"/>
    <s v="NO"/>
    <x v="0"/>
    <s v="NO"/>
    <s v="NO"/>
    <s v="NO"/>
    <s v="NO"/>
    <s v="NO"/>
    <s v="NO"/>
    <s v="NO"/>
    <s v="NO"/>
    <s v="NO"/>
    <s v="NO"/>
    <s v="NO"/>
    <s v="NO"/>
    <s v="NO"/>
    <s v="NO"/>
    <s v="NO"/>
    <s v="NO"/>
    <s v="NO"/>
    <s v="Normal"/>
    <s v="Female"/>
    <n v="0"/>
    <n v="0"/>
    <n v="14"/>
    <s v="NO"/>
    <n v="14"/>
    <s v="Neonatal Death"/>
    <s v="Govt. Hospital"/>
    <s v="Pvt. Medical College"/>
    <n v="2850"/>
    <x v="1"/>
    <x v="0"/>
    <x v="0"/>
    <x v="1"/>
    <x v="0"/>
    <s v="NO"/>
    <s v="NO"/>
    <s v="NO"/>
    <s v="NO"/>
    <s v="NO"/>
    <s v="NO"/>
    <s v="NO"/>
    <s v="NO"/>
    <s v="YES"/>
    <s v="NO"/>
    <s v="NO"/>
    <s v="NO"/>
    <s v="NO"/>
    <s v="NO"/>
    <s v="NO"/>
    <s v="NO"/>
    <s v="NO"/>
    <s v="NO"/>
    <s v="NO"/>
    <s v="NO"/>
    <s v="NO"/>
    <s v="YES"/>
    <s v="Thyosinemia"/>
    <x v="0"/>
  </r>
  <r>
    <x v="2"/>
    <s v="G H Karkala"/>
    <s v="Muslim"/>
    <s v="Muslim"/>
    <x v="0"/>
    <x v="1"/>
    <x v="0"/>
    <x v="0"/>
    <x v="0"/>
    <x v="0"/>
    <s v="NO"/>
    <x v="0"/>
    <s v="NO"/>
    <s v="NO"/>
    <s v="NO"/>
    <s v="NO"/>
    <s v="NO"/>
    <s v="NO"/>
    <s v="NO"/>
    <s v="NO"/>
    <s v="NO"/>
    <s v="YES"/>
    <s v="YES"/>
    <s v="NO"/>
    <s v="NO"/>
    <s v="NO"/>
    <s v="NO"/>
    <s v="NO"/>
    <s v="NO"/>
    <s v="Normal"/>
    <s v="Female"/>
    <n v="0"/>
    <n v="0"/>
    <n v="5"/>
    <n v="15"/>
    <n v="5"/>
    <s v="Neonatal Death"/>
    <s v="pvt Hospital"/>
    <s v="Home"/>
    <n v="3220"/>
    <x v="1"/>
    <x v="0"/>
    <x v="0"/>
    <x v="1"/>
    <x v="0"/>
    <s v="NO"/>
    <s v="NO"/>
    <s v="NO"/>
    <s v="NO"/>
    <s v="NO"/>
    <s v="NO"/>
    <s v="NO"/>
    <s v="NO"/>
    <s v="NO"/>
    <s v="NO"/>
    <s v="NO"/>
    <s v="NO"/>
    <s v="NO"/>
    <s v="NO"/>
    <s v="NO"/>
    <s v="NO"/>
    <s v="NO"/>
    <s v="NO"/>
    <s v="NO"/>
    <s v="NO"/>
    <s v="NO"/>
    <s v="YES"/>
    <s v="Spinal Muscular Atrophy lower respiratory infection"/>
    <x v="0"/>
  </r>
  <r>
    <x v="2"/>
    <s v="Mala"/>
    <s v="Hindu"/>
    <s v="SC"/>
    <x v="0"/>
    <x v="1"/>
    <x v="0"/>
    <x v="0"/>
    <x v="0"/>
    <x v="0"/>
    <s v="NO"/>
    <x v="0"/>
    <s v="NO"/>
    <s v="NO"/>
    <s v="NO"/>
    <s v="NO"/>
    <s v="NO"/>
    <s v="NO"/>
    <s v="NO"/>
    <s v="NO"/>
    <s v="NO"/>
    <s v="NO"/>
    <s v="NO"/>
    <s v="NO"/>
    <s v="NO"/>
    <s v="NO"/>
    <s v="NO"/>
    <s v="YES"/>
    <s v="NO"/>
    <s v="Normal"/>
    <s v="Female"/>
    <n v="0"/>
    <n v="0"/>
    <n v="7"/>
    <s v="NO"/>
    <n v="7"/>
    <s v="Neonatal Death"/>
    <s v="Govt. Hospital"/>
    <s v="Govt. Hospital"/>
    <n v="1560"/>
    <x v="0"/>
    <x v="0"/>
    <x v="0"/>
    <x v="0"/>
    <x v="0"/>
    <s v="NO"/>
    <s v="NO"/>
    <s v="NO"/>
    <s v="NO"/>
    <s v="NO"/>
    <s v="NO"/>
    <s v="NO"/>
    <s v="NO"/>
    <s v="NO"/>
    <s v="NO"/>
    <s v="NO"/>
    <s v="NO"/>
    <s v="NO"/>
    <s v="NO"/>
    <s v="NO"/>
    <s v="NO"/>
    <s v="NO"/>
    <s v="NO"/>
    <s v="NO"/>
    <s v="NO"/>
    <s v="NO"/>
    <s v="NO"/>
    <s v="NO"/>
    <x v="1"/>
  </r>
  <r>
    <x v="2"/>
    <s v="Ajekar"/>
    <s v="Hindu"/>
    <s v="Jain"/>
    <x v="0"/>
    <x v="0"/>
    <x v="0"/>
    <x v="0"/>
    <x v="0"/>
    <x v="0"/>
    <s v="NO"/>
    <x v="0"/>
    <s v="NO"/>
    <s v="YES"/>
    <s v="NO"/>
    <s v="NO"/>
    <s v="NO"/>
    <s v="NO"/>
    <s v="NO"/>
    <s v="NO"/>
    <s v="NO"/>
    <s v="YES"/>
    <s v="YES"/>
    <s v="NO"/>
    <s v="NO"/>
    <s v="YES"/>
    <s v="NO"/>
    <s v="NO"/>
    <s v="NO"/>
    <s v="LSCS"/>
    <s v="Female"/>
    <n v="0"/>
    <n v="0"/>
    <n v="1"/>
    <s v="NO"/>
    <n v="1"/>
    <s v="Neonatal Death"/>
    <s v="Govt. Hospital"/>
    <s v="Govt. Hospital"/>
    <n v="1100"/>
    <x v="0"/>
    <x v="0"/>
    <x v="1"/>
    <x v="1"/>
    <x v="0"/>
    <s v="NO"/>
    <s v="NO"/>
    <s v="NO"/>
    <s v="NO"/>
    <s v="NO"/>
    <s v="NO"/>
    <s v="NO"/>
    <s v="YES"/>
    <s v="NO"/>
    <s v="NO"/>
    <s v="NO"/>
    <s v="NO"/>
    <s v="NO"/>
    <s v="NO"/>
    <s v="NO"/>
    <s v="NO"/>
    <s v="NO"/>
    <s v="NO"/>
    <s v="NO"/>
    <s v="NO"/>
    <s v="NO"/>
    <s v="YES"/>
    <s v="Skeletal Dysplasia"/>
    <x v="0"/>
  </r>
  <r>
    <x v="2"/>
    <s v="Inna"/>
    <s v="Hindu"/>
    <s v="Poojary"/>
    <x v="0"/>
    <x v="0"/>
    <x v="0"/>
    <x v="0"/>
    <x v="0"/>
    <x v="0"/>
    <s v="NO"/>
    <x v="0"/>
    <s v="NO"/>
    <s v="NO"/>
    <s v="NO"/>
    <s v="NO"/>
    <s v="NO"/>
    <s v="NO"/>
    <s v="NO"/>
    <s v="NO"/>
    <s v="NO"/>
    <s v="NO"/>
    <s v="NO"/>
    <s v="NO"/>
    <s v="NO"/>
    <s v="NO"/>
    <s v="NO"/>
    <s v="YES"/>
    <s v="NO"/>
    <s v="LSCS"/>
    <s v="Female"/>
    <n v="0"/>
    <n v="0"/>
    <n v="1"/>
    <s v="NO"/>
    <n v="1"/>
    <s v="Neonatal Death"/>
    <s v="Pvt. Medical College"/>
    <s v="Pvt. Medical College"/>
    <n v="530"/>
    <x v="0"/>
    <x v="1"/>
    <x v="0"/>
    <x v="1"/>
    <x v="0"/>
    <s v="NO"/>
    <s v="NO"/>
    <s v="NO"/>
    <s v="NO"/>
    <s v="NO"/>
    <s v="NO"/>
    <s v="NO"/>
    <s v="YES"/>
    <s v="NO"/>
    <s v="NO"/>
    <s v="NO"/>
    <s v="NO"/>
    <s v="NO"/>
    <s v="NO"/>
    <s v="NO"/>
    <s v="NO"/>
    <s v="NO"/>
    <s v="NO"/>
    <s v="NO"/>
    <s v="NO"/>
    <s v="NO"/>
    <s v="NO"/>
    <s v="NO"/>
    <x v="0"/>
  </r>
  <r>
    <x v="1"/>
    <s v="Manipura"/>
    <s v="Muslim"/>
    <s v="Muslim"/>
    <x v="0"/>
    <x v="1"/>
    <x v="0"/>
    <x v="0"/>
    <x v="0"/>
    <x v="0"/>
    <s v="NO"/>
    <x v="0"/>
    <s v="NO"/>
    <s v="NO"/>
    <s v="NO"/>
    <s v="NO"/>
    <s v="YES"/>
    <s v="NO"/>
    <s v="NO"/>
    <s v="NO"/>
    <s v="NO"/>
    <s v="YES"/>
    <s v="NO"/>
    <s v="NO"/>
    <s v="NO"/>
    <s v="NO"/>
    <s v="NO"/>
    <s v="NO"/>
    <s v="NO"/>
    <s v="Normal"/>
    <s v="Female"/>
    <n v="0"/>
    <n v="0"/>
    <n v="9"/>
    <s v="NO"/>
    <n v="9"/>
    <s v="Neonatal Death"/>
    <s v="Pvt. Hospital"/>
    <s v="Govt. Hospital"/>
    <n v="800"/>
    <x v="0"/>
    <x v="1"/>
    <x v="0"/>
    <x v="1"/>
    <x v="0"/>
    <s v="NO"/>
    <s v="NO"/>
    <s v="NO"/>
    <s v="NO"/>
    <s v="NO"/>
    <s v="NO"/>
    <s v="NO"/>
    <s v="NO"/>
    <s v="NO"/>
    <s v="NO"/>
    <s v="NO"/>
    <s v="NO"/>
    <s v="NO"/>
    <s v="NO"/>
    <s v="NO"/>
    <s v="NO"/>
    <s v="NO"/>
    <s v="NO"/>
    <s v="NO"/>
    <s v="NO"/>
    <s v="NO"/>
    <s v="NO"/>
    <s v="NO"/>
    <x v="0"/>
  </r>
  <r>
    <x v="1"/>
    <s v="Barkur"/>
    <s v="Hindu"/>
    <s v="Devadiga"/>
    <x v="0"/>
    <x v="1"/>
    <x v="1"/>
    <x v="0"/>
    <x v="0"/>
    <x v="0"/>
    <s v="YES"/>
    <x v="0"/>
    <s v="NO"/>
    <s v="NO"/>
    <s v="NO"/>
    <s v="NO"/>
    <s v="NO"/>
    <s v="NO"/>
    <s v="NO"/>
    <s v="NO"/>
    <s v="NO"/>
    <s v="NO"/>
    <s v="NO"/>
    <s v="NO"/>
    <s v="NO"/>
    <s v="NO"/>
    <s v="NO"/>
    <s v="NO"/>
    <s v="NO"/>
    <s v="Normal"/>
    <s v="Male"/>
    <n v="0"/>
    <n v="0"/>
    <n v="3"/>
    <s v="NO"/>
    <n v="3"/>
    <s v="Neonatal Death"/>
    <s v="Govt. Hospital"/>
    <s v="Govt. Hospital"/>
    <n v="1360"/>
    <x v="0"/>
    <x v="0"/>
    <x v="1"/>
    <x v="1"/>
    <x v="0"/>
    <s v="NO"/>
    <s v="NO"/>
    <s v="NO"/>
    <s v="NO"/>
    <s v="NO"/>
    <s v="NO"/>
    <s v="YES"/>
    <s v="NO"/>
    <s v="NO"/>
    <s v="NO"/>
    <s v="NO"/>
    <s v="NO"/>
    <s v="NO"/>
    <s v="NO"/>
    <s v="NO"/>
    <s v="NO"/>
    <s v="NO"/>
    <s v="NO"/>
    <s v="NO"/>
    <s v="NO"/>
    <s v="NO"/>
    <s v="NO"/>
    <s v="NO"/>
    <x v="1"/>
  </r>
  <r>
    <x v="2"/>
    <s v="Nitte"/>
    <s v="Hindu"/>
    <s v="Kulal"/>
    <x v="0"/>
    <x v="1"/>
    <x v="1"/>
    <x v="0"/>
    <x v="0"/>
    <x v="0"/>
    <s v="NO"/>
    <x v="0"/>
    <s v="NO"/>
    <s v="NO"/>
    <s v="NO"/>
    <s v="NO"/>
    <s v="NO"/>
    <s v="NO"/>
    <s v="NO"/>
    <s v="NO"/>
    <s v="NO"/>
    <s v="NO"/>
    <s v="NO"/>
    <s v="NO"/>
    <s v="NO"/>
    <s v="NO"/>
    <s v="NO"/>
    <s v="YES"/>
    <s v="NO"/>
    <s v="Normal"/>
    <s v="Male"/>
    <n v="0"/>
    <n v="0"/>
    <n v="4"/>
    <s v="NO"/>
    <n v="4"/>
    <s v="Neonatal Death"/>
    <s v="Govt. Hospital"/>
    <s v="Govt. Hospital"/>
    <n v="990"/>
    <x v="0"/>
    <x v="1"/>
    <x v="0"/>
    <x v="1"/>
    <x v="0"/>
    <s v="NO"/>
    <s v="NO"/>
    <s v="NO"/>
    <s v="NO"/>
    <s v="NO"/>
    <s v="NO"/>
    <s v="NO"/>
    <s v="NO"/>
    <s v="NO"/>
    <s v="NO"/>
    <s v="NO"/>
    <s v="NO"/>
    <s v="NO"/>
    <s v="NO"/>
    <s v="NO"/>
    <s v="NO"/>
    <s v="NO"/>
    <s v="NO"/>
    <s v="NO"/>
    <s v="NO"/>
    <s v="NO"/>
    <s v="NO"/>
    <s v="NO"/>
    <x v="0"/>
  </r>
  <r>
    <x v="2"/>
    <s v="Durga"/>
    <s v="Hindu"/>
    <s v="SC"/>
    <x v="0"/>
    <x v="1"/>
    <x v="0"/>
    <x v="1"/>
    <x v="0"/>
    <x v="0"/>
    <s v="NO"/>
    <x v="0"/>
    <s v="NO"/>
    <s v="NO"/>
    <s v="NO"/>
    <s v="YES"/>
    <s v="NO"/>
    <s v="NO"/>
    <s v="NO"/>
    <s v="NO"/>
    <s v="NO"/>
    <s v="NO"/>
    <s v="NO"/>
    <s v="NO"/>
    <s v="NO"/>
    <s v="NO"/>
    <s v="NO"/>
    <s v="NO"/>
    <s v="NO"/>
    <s v="Normal"/>
    <s v="Female"/>
    <n v="2"/>
    <n v="60"/>
    <n v="10"/>
    <s v="NO"/>
    <n v="70"/>
    <s v="Infant Death"/>
    <s v="Govt. Hospital"/>
    <s v="Transit"/>
    <n v="2800"/>
    <x v="1"/>
    <x v="0"/>
    <x v="0"/>
    <x v="1"/>
    <x v="0"/>
    <s v="NO"/>
    <s v="NO"/>
    <s v="NO"/>
    <s v="NO"/>
    <s v="NO"/>
    <s v="NO"/>
    <s v="NO"/>
    <s v="NO"/>
    <s v="NO"/>
    <s v="NO"/>
    <s v="NO"/>
    <s v="NO"/>
    <s v="NO"/>
    <s v="NO"/>
    <s v="NO"/>
    <s v="NO"/>
    <s v="NO"/>
    <s v="NO"/>
    <s v="NO"/>
    <s v="NO"/>
    <s v="NO"/>
    <s v="YES"/>
    <s v="Acute Broncholities secondary to Hypotonic Syndrome"/>
    <x v="0"/>
  </r>
  <r>
    <x v="2"/>
    <s v="Hirgana"/>
    <s v="Hindu"/>
    <s v="Nayak"/>
    <x v="1"/>
    <x v="1"/>
    <x v="1"/>
    <x v="1"/>
    <x v="0"/>
    <x v="0"/>
    <s v="NO"/>
    <x v="0"/>
    <s v="NO"/>
    <s v="NO"/>
    <s v="NO"/>
    <s v="NO"/>
    <s v="NO"/>
    <s v="NO"/>
    <s v="NO"/>
    <s v="NO"/>
    <s v="NO"/>
    <s v="NO"/>
    <s v="NO"/>
    <s v="NO"/>
    <s v="NO"/>
    <s v="NO"/>
    <s v="NO"/>
    <s v="NO"/>
    <s v="NO"/>
    <s v="Normal"/>
    <s v="Male"/>
    <n v="1"/>
    <n v="30"/>
    <n v="12"/>
    <s v="NO"/>
    <n v="42"/>
    <s v="Infant Death"/>
    <s v="Pvt. Medical College"/>
    <s v="Pvt. Medical College"/>
    <n v="2500"/>
    <x v="1"/>
    <x v="0"/>
    <x v="0"/>
    <x v="1"/>
    <x v="0"/>
    <s v="NO"/>
    <s v="NO"/>
    <s v="NO"/>
    <s v="NO"/>
    <s v="NO"/>
    <s v="NO"/>
    <s v="YES"/>
    <s v="YES"/>
    <s v="NO"/>
    <s v="NO"/>
    <s v="NO"/>
    <s v="NO"/>
    <s v="NO"/>
    <s v="NO"/>
    <s v="NO"/>
    <s v="NO"/>
    <s v="NO"/>
    <s v="NO"/>
    <s v="NO"/>
    <s v="NO"/>
    <s v="NO"/>
    <s v="YES"/>
    <s v="Duodenal Obstruction status post exploratory Laparotomy with Ladds procedure with DuodeNOstomy downs syndrome"/>
    <x v="0"/>
  </r>
  <r>
    <x v="0"/>
    <s v="Siddapura"/>
    <s v="Hindu"/>
    <s v="Poojary"/>
    <x v="1"/>
    <x v="1"/>
    <x v="0"/>
    <x v="0"/>
    <x v="0"/>
    <x v="0"/>
    <s v="NO"/>
    <x v="0"/>
    <s v="NO"/>
    <s v="NO"/>
    <s v="NO"/>
    <s v="NO"/>
    <s v="NO"/>
    <s v="NO"/>
    <s v="NO"/>
    <s v="NO"/>
    <s v="NO"/>
    <s v="NO"/>
    <s v="NO"/>
    <s v="NO"/>
    <s v="NO"/>
    <s v="NO"/>
    <s v="NO"/>
    <s v="NO"/>
    <s v="NO"/>
    <s v="Normal"/>
    <s v="Female"/>
    <n v="0"/>
    <n v="0"/>
    <n v="2"/>
    <s v="NO"/>
    <n v="2"/>
    <s v="Neonatal Death"/>
    <s v="Govt. Hospital"/>
    <s v="Govt. Hospital"/>
    <n v="720"/>
    <x v="0"/>
    <x v="1"/>
    <x v="0"/>
    <x v="1"/>
    <x v="0"/>
    <s v="NO"/>
    <s v="NO"/>
    <s v="NO"/>
    <s v="NO"/>
    <s v="NO"/>
    <s v="NO"/>
    <s v="NO"/>
    <s v="NO"/>
    <s v="NO"/>
    <s v="NO"/>
    <s v="NO"/>
    <s v="NO"/>
    <s v="NO"/>
    <s v="NO"/>
    <s v="NO"/>
    <s v="NO"/>
    <s v="NO"/>
    <s v="NO"/>
    <s v="NO"/>
    <s v="NO"/>
    <s v="NO"/>
    <s v="NO"/>
    <s v="NO"/>
    <x v="0"/>
  </r>
  <r>
    <x v="0"/>
    <s v="Byndoor"/>
    <s v="Hindu"/>
    <s v="Devadiga"/>
    <x v="1"/>
    <x v="0"/>
    <x v="0"/>
    <x v="1"/>
    <x v="0"/>
    <x v="0"/>
    <s v="NO"/>
    <x v="0"/>
    <s v="NO"/>
    <s v="NO"/>
    <s v="NO"/>
    <s v="NO"/>
    <s v="NO"/>
    <s v="NO"/>
    <s v="NO"/>
    <s v="NO"/>
    <s v="NO"/>
    <s v="NO"/>
    <s v="NO"/>
    <s v="NO"/>
    <s v="NO"/>
    <s v="NO"/>
    <s v="NO"/>
    <s v="NO"/>
    <s v="NO"/>
    <s v="LSCS"/>
    <s v="Female"/>
    <n v="6"/>
    <n v="180"/>
    <n v="0"/>
    <s v="NO"/>
    <n v="180"/>
    <s v="Infant Death"/>
    <s v="Pvt. Hospital"/>
    <s v="Home"/>
    <n v="2350"/>
    <x v="1"/>
    <x v="0"/>
    <x v="0"/>
    <x v="1"/>
    <x v="0"/>
    <s v="NO"/>
    <s v="NO"/>
    <s v="NO"/>
    <s v="NO"/>
    <s v="NO"/>
    <s v="NO"/>
    <s v="NO"/>
    <s v="NO"/>
    <s v="NO"/>
    <s v="NO"/>
    <s v="NO"/>
    <s v="NO"/>
    <s v="NO"/>
    <s v="NO"/>
    <s v="NO"/>
    <s v="NO"/>
    <s v="NO"/>
    <s v="NO"/>
    <s v="NO"/>
    <s v="NO"/>
    <s v="NO"/>
    <s v="YES"/>
    <s v="Aspiration Pnuemonia in Floppy Infant"/>
    <x v="0"/>
  </r>
  <r>
    <x v="0"/>
    <s v="Maravanthe"/>
    <s v="Muslim"/>
    <s v="Muslim"/>
    <x v="0"/>
    <x v="0"/>
    <x v="0"/>
    <x v="0"/>
    <x v="0"/>
    <x v="0"/>
    <s v="NO"/>
    <x v="0"/>
    <s v="NO"/>
    <s v="NO"/>
    <s v="NO"/>
    <s v="NO"/>
    <s v="YES"/>
    <s v="NO"/>
    <s v="NO"/>
    <s v="NO"/>
    <s v="NO"/>
    <s v="NO"/>
    <s v="NO"/>
    <s v="NO"/>
    <s v="NO"/>
    <s v="NO"/>
    <s v="NO"/>
    <s v="NO"/>
    <s v="NO"/>
    <s v="LSCS"/>
    <s v="Female"/>
    <n v="0"/>
    <n v="0"/>
    <n v="25"/>
    <s v="NO"/>
    <n v="25"/>
    <s v="Neonatal Death"/>
    <s v="Pvt. Medical College"/>
    <s v="Pvt. Medical College"/>
    <n v="740"/>
    <x v="0"/>
    <x v="1"/>
    <x v="0"/>
    <x v="1"/>
    <x v="0"/>
    <s v="NO"/>
    <s v="NO"/>
    <s v="NO"/>
    <s v="NO"/>
    <s v="NO"/>
    <s v="NO"/>
    <s v="NO"/>
    <s v="NO"/>
    <s v="NO"/>
    <s v="NO"/>
    <s v="NO"/>
    <s v="NO"/>
    <s v="NO"/>
    <s v="NO"/>
    <s v="NO"/>
    <s v="NO"/>
    <s v="NO"/>
    <s v="NO"/>
    <s v="NO"/>
    <s v="NO"/>
    <s v="NO"/>
    <s v="NO"/>
    <s v="NO"/>
    <x v="0"/>
  </r>
  <r>
    <x v="0"/>
    <s v="Kollur"/>
    <s v="Hindu"/>
    <s v="Koraga"/>
    <x v="0"/>
    <x v="0"/>
    <x v="0"/>
    <x v="0"/>
    <x v="0"/>
    <x v="0"/>
    <s v="NO"/>
    <x v="0"/>
    <s v="NO"/>
    <s v="NO"/>
    <s v="NO"/>
    <s v="NO"/>
    <s v="YES"/>
    <s v="NO"/>
    <s v="NO"/>
    <s v="NO"/>
    <s v="NO"/>
    <s v="NO"/>
    <s v="NO"/>
    <s v="NO"/>
    <s v="YES"/>
    <s v="NO"/>
    <s v="NO"/>
    <s v="NO"/>
    <s v="NO"/>
    <s v="LSCS"/>
    <s v="Female"/>
    <n v="0"/>
    <n v="0"/>
    <n v="12"/>
    <s v="NO"/>
    <n v="12"/>
    <s v="Neonatal Death"/>
    <s v="Govt. Hospital"/>
    <s v="Home"/>
    <n v="2150"/>
    <x v="1"/>
    <x v="0"/>
    <x v="0"/>
    <x v="1"/>
    <x v="0"/>
    <s v="NO"/>
    <s v="NO"/>
    <s v="NO"/>
    <s v="NO"/>
    <s v="NO"/>
    <s v="YES"/>
    <s v="NO"/>
    <s v="NO"/>
    <s v="NO"/>
    <s v="NO"/>
    <s v="NO"/>
    <s v="NO"/>
    <s v="NO"/>
    <s v="NO"/>
    <s v="NO"/>
    <s v="NO"/>
    <s v="NO"/>
    <s v="NO"/>
    <s v="NO"/>
    <s v="NO"/>
    <s v="NO"/>
    <s v="NO"/>
    <s v="NO"/>
    <x v="0"/>
  </r>
  <r>
    <x v="0"/>
    <s v="Kollur"/>
    <s v="Hindu"/>
    <s v="Gowda"/>
    <x v="1"/>
    <x v="1"/>
    <x v="0"/>
    <x v="1"/>
    <x v="0"/>
    <x v="0"/>
    <s v="NO"/>
    <x v="0"/>
    <s v="NO"/>
    <s v="NO"/>
    <s v="NO"/>
    <s v="NO"/>
    <s v="NO"/>
    <s v="NO"/>
    <s v="NO"/>
    <s v="NO"/>
    <s v="NO"/>
    <s v="NO"/>
    <s v="NO"/>
    <s v="NO"/>
    <s v="NO"/>
    <s v="NO"/>
    <s v="NO"/>
    <s v="NO"/>
    <s v="NO"/>
    <s v="Normal"/>
    <s v="Female"/>
    <n v="5"/>
    <n v="150"/>
    <n v="7"/>
    <s v="NO"/>
    <n v="157"/>
    <s v="Infant Death"/>
    <s v="Pvt. Hospital"/>
    <s v="Home"/>
    <n v="1680"/>
    <x v="1"/>
    <x v="0"/>
    <x v="0"/>
    <x v="1"/>
    <x v="0"/>
    <s v="NO"/>
    <s v="NO"/>
    <s v="NO"/>
    <s v="NO"/>
    <s v="NO"/>
    <s v="NO"/>
    <s v="NO"/>
    <s v="NO"/>
    <s v="NO"/>
    <s v="NO"/>
    <s v="NO"/>
    <s v="NO"/>
    <s v="NO"/>
    <s v="NO"/>
    <s v="NO"/>
    <s v="NO"/>
    <s v="NO"/>
    <s v="NO"/>
    <s v="NO"/>
    <s v="NO"/>
    <s v="NO"/>
    <s v="YES"/>
    <s v="Gross Hydrocephalus with Diffuse Puntate Periventricular Calcification"/>
    <x v="0"/>
  </r>
  <r>
    <x v="0"/>
    <s v="Shiroor"/>
    <s v="Muslim"/>
    <s v="Muslim"/>
    <x v="0"/>
    <x v="0"/>
    <x v="1"/>
    <x v="0"/>
    <x v="0"/>
    <x v="0"/>
    <s v="NO"/>
    <x v="0"/>
    <s v="NO"/>
    <s v="NO"/>
    <s v="NO"/>
    <s v="NO"/>
    <s v="NO"/>
    <s v="NO"/>
    <s v="NO"/>
    <s v="NO"/>
    <s v="NO"/>
    <s v="YES"/>
    <s v="NO"/>
    <s v="NO"/>
    <s v="NO"/>
    <s v="NO"/>
    <s v="NO"/>
    <s v="NO"/>
    <s v="NO"/>
    <s v="LSCS"/>
    <s v="Male"/>
    <n v="0"/>
    <n v="0"/>
    <n v="18"/>
    <s v="NO"/>
    <n v="18"/>
    <s v="Neonatal Death"/>
    <s v="Pvt. Medical College"/>
    <s v="Pvt. Medical College"/>
    <n v="800"/>
    <x v="0"/>
    <x v="1"/>
    <x v="0"/>
    <x v="1"/>
    <x v="0"/>
    <s v="NO"/>
    <s v="NO"/>
    <s v="NO"/>
    <s v="NO"/>
    <s v="NO"/>
    <s v="NO"/>
    <s v="NO"/>
    <s v="YES"/>
    <s v="NO"/>
    <s v="NO"/>
    <s v="NO"/>
    <s v="NO"/>
    <s v="NO"/>
    <s v="NO"/>
    <s v="NO"/>
    <s v="NO"/>
    <s v="NO"/>
    <s v="NO"/>
    <s v="NO"/>
    <s v="NO"/>
    <s v="NO"/>
    <s v="NO"/>
    <s v="NO"/>
    <x v="0"/>
  </r>
  <r>
    <x v="2"/>
    <s v="Nitte"/>
    <s v="Hindu"/>
    <s v="Kulal"/>
    <x v="0"/>
    <x v="1"/>
    <x v="1"/>
    <x v="0"/>
    <x v="0"/>
    <x v="0"/>
    <s v="NO"/>
    <x v="0"/>
    <s v="NO"/>
    <s v="YES"/>
    <s v="NO"/>
    <s v="NO"/>
    <s v="NO"/>
    <s v="NO"/>
    <s v="NO"/>
    <s v="NO"/>
    <s v="NO"/>
    <s v="NO"/>
    <s v="NO"/>
    <s v="NO"/>
    <s v="NO"/>
    <s v="NO"/>
    <s v="NO"/>
    <s v="YES"/>
    <s v="NO"/>
    <s v="Normal"/>
    <s v="Male"/>
    <n v="0"/>
    <n v="0"/>
    <n v="11"/>
    <s v="NO"/>
    <n v="11"/>
    <s v="Neonatal Death"/>
    <s v="Govt. Hospital"/>
    <s v="Govt. Hospital"/>
    <n v="900"/>
    <x v="0"/>
    <x v="1"/>
    <x v="0"/>
    <x v="1"/>
    <x v="0"/>
    <s v="NO"/>
    <s v="NO"/>
    <s v="NO"/>
    <s v="NO"/>
    <s v="NO"/>
    <s v="NO"/>
    <s v="NO"/>
    <s v="NO"/>
    <s v="NO"/>
    <s v="NO"/>
    <s v="NO"/>
    <s v="NO"/>
    <s v="NO"/>
    <s v="NO"/>
    <s v="NO"/>
    <s v="NO"/>
    <s v="NO"/>
    <s v="NO"/>
    <s v="NO"/>
    <s v="NO"/>
    <s v="NO"/>
    <s v="NO"/>
    <s v="NO"/>
    <x v="0"/>
  </r>
  <r>
    <x v="2"/>
    <s v="Nitte"/>
    <s v="Hindu"/>
    <s v="SC"/>
    <x v="1"/>
    <x v="0"/>
    <x v="1"/>
    <x v="0"/>
    <x v="0"/>
    <x v="0"/>
    <s v="NO"/>
    <x v="0"/>
    <s v="NO"/>
    <s v="NO"/>
    <s v="NO"/>
    <s v="NO"/>
    <s v="NO"/>
    <s v="NO"/>
    <s v="NO"/>
    <s v="NO"/>
    <s v="NO"/>
    <s v="NO"/>
    <s v="NO"/>
    <s v="NO"/>
    <s v="NO"/>
    <s v="NO"/>
    <s v="NO"/>
    <s v="NO"/>
    <s v="NO"/>
    <s v="LSCS"/>
    <s v="Male"/>
    <n v="0"/>
    <n v="0"/>
    <n v="10"/>
    <s v="NO"/>
    <n v="10"/>
    <s v="Neonatal Death"/>
    <s v="Govt. Hospital"/>
    <s v="Govt. Hospital"/>
    <n v="1480"/>
    <x v="0"/>
    <x v="0"/>
    <x v="0"/>
    <x v="1"/>
    <x v="0"/>
    <s v="NO"/>
    <s v="NO"/>
    <s v="NO"/>
    <s v="NO"/>
    <s v="NO"/>
    <s v="NO"/>
    <s v="YES"/>
    <s v="NO"/>
    <s v="YES"/>
    <s v="NO"/>
    <s v="NO"/>
    <s v="NO"/>
    <s v="NO"/>
    <s v="NO"/>
    <s v="NO"/>
    <s v="NO"/>
    <s v="NO"/>
    <s v="NO"/>
    <s v="NO"/>
    <s v="NO"/>
    <s v="NO"/>
    <s v="NO"/>
    <s v="NO"/>
    <x v="1"/>
  </r>
  <r>
    <x v="0"/>
    <s v="Shankaranarayana"/>
    <s v="Hindu"/>
    <s v="Devadiga"/>
    <x v="0"/>
    <x v="1"/>
    <x v="1"/>
    <x v="0"/>
    <x v="0"/>
    <x v="0"/>
    <s v="NO"/>
    <x v="0"/>
    <s v="NO"/>
    <s v="NO"/>
    <s v="NO"/>
    <s v="YES"/>
    <s v="NO"/>
    <s v="NO"/>
    <s v="NO"/>
    <s v="NO"/>
    <s v="NO"/>
    <s v="NO"/>
    <s v="NO"/>
    <s v="NO"/>
    <s v="NO"/>
    <s v="NO"/>
    <s v="NO"/>
    <s v="NO"/>
    <s v="NO"/>
    <s v="Normal"/>
    <s v="Male"/>
    <n v="0"/>
    <n v="0"/>
    <n v="3"/>
    <s v="NO"/>
    <n v="3"/>
    <s v="Neonatal Death"/>
    <s v="Govt. Hospital"/>
    <s v="Govt. Hospital"/>
    <n v="800"/>
    <x v="0"/>
    <x v="1"/>
    <x v="0"/>
    <x v="1"/>
    <x v="0"/>
    <s v="NO"/>
    <s v="NO"/>
    <s v="NO"/>
    <s v="NO"/>
    <s v="NO"/>
    <s v="NO"/>
    <s v="YES"/>
    <s v="NO"/>
    <s v="NO"/>
    <s v="NO"/>
    <s v="NO"/>
    <s v="NO"/>
    <s v="NO"/>
    <s v="NO"/>
    <s v="NO"/>
    <s v="NO"/>
    <s v="NO"/>
    <s v="NO"/>
    <s v="NO"/>
    <s v="NO"/>
    <s v="NO"/>
    <s v="NO"/>
    <s v="NO"/>
    <x v="0"/>
  </r>
  <r>
    <x v="0"/>
    <s v="Kirimanjeshwara"/>
    <s v="Hindu"/>
    <s v="Kulal"/>
    <x v="1"/>
    <x v="0"/>
    <x v="1"/>
    <x v="0"/>
    <x v="0"/>
    <x v="0"/>
    <s v="NO"/>
    <x v="0"/>
    <s v="NO"/>
    <s v="NO"/>
    <s v="NO"/>
    <s v="NO"/>
    <s v="NO"/>
    <s v="NO"/>
    <s v="NO"/>
    <s v="NO"/>
    <s v="NO"/>
    <s v="NO"/>
    <s v="NO"/>
    <s v="NO"/>
    <s v="NO"/>
    <s v="NO"/>
    <s v="NO"/>
    <s v="NO"/>
    <s v="NO"/>
    <s v="LSCS"/>
    <s v="Male"/>
    <n v="0"/>
    <n v="0"/>
    <n v="25"/>
    <s v="NO"/>
    <n v="25"/>
    <s v="Neonatal Death"/>
    <s v="Pvt. Medical College"/>
    <s v="Home"/>
    <n v="3730"/>
    <x v="1"/>
    <x v="0"/>
    <x v="0"/>
    <x v="1"/>
    <x v="0"/>
    <s v="NO"/>
    <s v="NO"/>
    <s v="NO"/>
    <s v="NO"/>
    <s v="NO"/>
    <s v="NO"/>
    <s v="NO"/>
    <s v="NO"/>
    <s v="NO"/>
    <s v="NO"/>
    <s v="NO"/>
    <s v="NO"/>
    <s v="NO"/>
    <s v="NO"/>
    <s v="NO"/>
    <s v="NO"/>
    <s v="NO"/>
    <s v="NO"/>
    <s v="NO"/>
    <s v="NO"/>
    <s v="NO"/>
    <s v="YES"/>
    <s v="Open Neural tube defect, Obstructive Hydrocephalus, CraniosyNOstosis with Macrocephaly"/>
    <x v="0"/>
  </r>
  <r>
    <x v="1"/>
    <s v="Kukkehalli"/>
    <s v="Hindu"/>
    <s v="Kulal"/>
    <x v="1"/>
    <x v="1"/>
    <x v="0"/>
    <x v="1"/>
    <x v="0"/>
    <x v="0"/>
    <s v="NO"/>
    <x v="0"/>
    <s v="NO"/>
    <s v="NO"/>
    <s v="NO"/>
    <s v="NO"/>
    <s v="NO"/>
    <s v="NO"/>
    <s v="NO"/>
    <s v="NO"/>
    <s v="NO"/>
    <s v="NO"/>
    <s v="NO"/>
    <s v="NO"/>
    <s v="NO"/>
    <s v="NO"/>
    <s v="NO"/>
    <s v="NO"/>
    <s v="NO"/>
    <s v="Normal"/>
    <s v="Female"/>
    <n v="2"/>
    <n v="60"/>
    <n v="8"/>
    <s v="NO"/>
    <n v="68"/>
    <s v="Infant Death"/>
    <s v="Govt. Hospital"/>
    <s v="Pvt. Hospital"/>
    <n v="3685"/>
    <x v="1"/>
    <x v="0"/>
    <x v="0"/>
    <x v="1"/>
    <x v="0"/>
    <s v="YES"/>
    <s v="NO"/>
    <s v="NO"/>
    <s v="NO"/>
    <s v="NO"/>
    <s v="NO"/>
    <s v="NO"/>
    <s v="NO"/>
    <s v="NO"/>
    <s v="NO"/>
    <s v="NO"/>
    <s v="NO"/>
    <s v="NO"/>
    <s v="NO"/>
    <s v="NO"/>
    <s v="NO"/>
    <s v="NO"/>
    <s v="NO"/>
    <s v="NO"/>
    <s v="NO"/>
    <s v="NO"/>
    <s v="NO"/>
    <s v="NO"/>
    <x v="1"/>
  </r>
  <r>
    <x v="1"/>
    <s v="Malpe"/>
    <s v="Hindu"/>
    <s v="Nepalian"/>
    <x v="1"/>
    <x v="0"/>
    <x v="1"/>
    <x v="0"/>
    <x v="0"/>
    <x v="0"/>
    <s v="NO"/>
    <x v="0"/>
    <s v="NO"/>
    <s v="NO"/>
    <s v="NO"/>
    <s v="NO"/>
    <s v="NO"/>
    <s v="NO"/>
    <s v="NO"/>
    <s v="NO"/>
    <s v="NO"/>
    <s v="NO"/>
    <s v="NO"/>
    <s v="NO"/>
    <s v="NO"/>
    <s v="NO"/>
    <s v="NO"/>
    <s v="NO"/>
    <s v="NO"/>
    <s v="LSCS"/>
    <s v="Male"/>
    <n v="0"/>
    <n v="0"/>
    <n v="2"/>
    <s v="NO"/>
    <n v="2"/>
    <s v="Neonatal Death"/>
    <s v="Pvt. Hospital"/>
    <s v="Pvt. Hospital"/>
    <n v="2300"/>
    <x v="1"/>
    <x v="0"/>
    <x v="0"/>
    <x v="1"/>
    <x v="0"/>
    <s v="NO"/>
    <s v="NO"/>
    <s v="YES"/>
    <s v="NO"/>
    <s v="NO"/>
    <s v="NO"/>
    <s v="NO"/>
    <s v="NO"/>
    <s v="NO"/>
    <s v="NO"/>
    <s v="NO"/>
    <s v="NO"/>
    <s v="NO"/>
    <s v="NO"/>
    <s v="NO"/>
    <s v="NO"/>
    <s v="NO"/>
    <s v="NO"/>
    <s v="NO"/>
    <s v="NO"/>
    <s v="NO"/>
    <s v="NO"/>
    <s v="NO"/>
    <x v="1"/>
  </r>
  <r>
    <x v="0"/>
    <s v="Gangolli"/>
    <s v="Hindu"/>
    <s v="SC"/>
    <x v="0"/>
    <x v="0"/>
    <x v="0"/>
    <x v="0"/>
    <x v="0"/>
    <x v="0"/>
    <s v="NO"/>
    <x v="0"/>
    <s v="NO"/>
    <s v="NO"/>
    <s v="NO"/>
    <s v="NO"/>
    <s v="YES"/>
    <s v="NO"/>
    <s v="NO"/>
    <s v="NO"/>
    <s v="NO"/>
    <s v="NO"/>
    <s v="NO"/>
    <s v="NO"/>
    <s v="NO"/>
    <s v="NO"/>
    <s v="NO"/>
    <s v="NO"/>
    <s v="NO"/>
    <s v="LSCS"/>
    <s v="Female"/>
    <n v="0"/>
    <n v="0"/>
    <n v="14"/>
    <s v="NO"/>
    <n v="14"/>
    <s v="Neonatal Death"/>
    <s v="Govt. Hospital"/>
    <s v="Govt. Hospital"/>
    <n v="600"/>
    <x v="0"/>
    <x v="1"/>
    <x v="0"/>
    <x v="1"/>
    <x v="0"/>
    <s v="NO"/>
    <s v="NO"/>
    <s v="NO"/>
    <s v="NO"/>
    <s v="NO"/>
    <s v="NO"/>
    <s v="NO"/>
    <s v="NO"/>
    <s v="NO"/>
    <s v="NO"/>
    <s v="NO"/>
    <s v="NO"/>
    <s v="NO"/>
    <s v="NO"/>
    <s v="NO"/>
    <s v="NO"/>
    <s v="NO"/>
    <s v="NO"/>
    <s v="NO"/>
    <s v="NO"/>
    <s v="NO"/>
    <s v="NO"/>
    <s v="NO"/>
    <x v="0"/>
  </r>
  <r>
    <x v="0"/>
    <s v="Shankaranarayana"/>
    <s v="Hindu"/>
    <s v="Brahmin"/>
    <x v="0"/>
    <x v="0"/>
    <x v="1"/>
    <x v="0"/>
    <x v="0"/>
    <x v="1"/>
    <s v="NO"/>
    <x v="0"/>
    <s v="NO"/>
    <s v="NO"/>
    <s v="NO"/>
    <s v="NO"/>
    <s v="YES"/>
    <s v="NO"/>
    <s v="NO"/>
    <s v="NO"/>
    <s v="NO"/>
    <s v="NO"/>
    <s v="NO"/>
    <s v="NO"/>
    <s v="NO"/>
    <s v="NO"/>
    <s v="NO"/>
    <s v="NO"/>
    <s v="NO"/>
    <s v="LSCS"/>
    <s v="Male"/>
    <n v="0"/>
    <n v="0"/>
    <n v="1"/>
    <s v="NO"/>
    <n v="1"/>
    <s v="Neonatal Death"/>
    <s v="Govt Medical College"/>
    <s v="Govt Medical College"/>
    <n v="2480"/>
    <x v="1"/>
    <x v="0"/>
    <x v="0"/>
    <x v="1"/>
    <x v="0"/>
    <s v="NO"/>
    <s v="NO"/>
    <s v="NO"/>
    <s v="NO"/>
    <s v="NO"/>
    <s v="NO"/>
    <s v="YES"/>
    <s v="NO"/>
    <s v="NO"/>
    <s v="NO"/>
    <s v="NO"/>
    <s v="NO"/>
    <s v="NO"/>
    <s v="NO"/>
    <s v="NO"/>
    <s v="NO"/>
    <s v="NO"/>
    <s v="NO"/>
    <s v="NO"/>
    <s v="NO"/>
    <s v="NO"/>
    <s v="NO"/>
    <s v="NO"/>
    <x v="1"/>
  </r>
  <r>
    <x v="0"/>
    <s v="Siddapura"/>
    <s v="Hindu"/>
    <s v="Mogaveera"/>
    <x v="0"/>
    <x v="0"/>
    <x v="0"/>
    <x v="1"/>
    <x v="0"/>
    <x v="0"/>
    <s v="NO"/>
    <x v="0"/>
    <s v="NO"/>
    <s v="NO"/>
    <s v="NO"/>
    <s v="NO"/>
    <s v="YES"/>
    <s v="NO"/>
    <s v="NO"/>
    <s v="NO"/>
    <s v="NO"/>
    <s v="NO"/>
    <s v="NO"/>
    <s v="NO"/>
    <s v="NO"/>
    <s v="NO"/>
    <s v="NO"/>
    <s v="NO"/>
    <s v="NO"/>
    <s v="LSCS"/>
    <s v="Female"/>
    <n v="1"/>
    <n v="30"/>
    <n v="19"/>
    <s v="NO"/>
    <n v="49"/>
    <s v="Infant Death"/>
    <s v="Govt. Hospital"/>
    <s v="Pvt. Medical College"/>
    <n v="2600"/>
    <x v="1"/>
    <x v="0"/>
    <x v="0"/>
    <x v="1"/>
    <x v="0"/>
    <s v="NO"/>
    <s v="YES"/>
    <s v="NO"/>
    <s v="NO"/>
    <s v="NO"/>
    <s v="NO"/>
    <s v="NO"/>
    <s v="NO"/>
    <s v="YES"/>
    <s v="NO"/>
    <s v="NO"/>
    <s v="NO"/>
    <s v="NO"/>
    <s v="NO"/>
    <s v="NO"/>
    <s v="NO"/>
    <s v="NO"/>
    <s v="NO"/>
    <s v="NO"/>
    <s v="NO"/>
    <s v="NO"/>
    <s v="NO"/>
    <s v="NO"/>
    <x v="1"/>
  </r>
  <r>
    <x v="0"/>
    <s v="Kirimanjeshwara"/>
    <s v="Muslim"/>
    <s v="Muslim"/>
    <x v="0"/>
    <x v="0"/>
    <x v="1"/>
    <x v="0"/>
    <x v="0"/>
    <x v="0"/>
    <s v="NO"/>
    <x v="0"/>
    <s v="NO"/>
    <s v="NO"/>
    <s v="NO"/>
    <s v="NO"/>
    <s v="YES"/>
    <s v="NO"/>
    <s v="NO"/>
    <s v="NO"/>
    <s v="NO"/>
    <s v="NO"/>
    <s v="NO"/>
    <s v="NO"/>
    <s v="NO"/>
    <s v="NO"/>
    <s v="NO"/>
    <s v="NO"/>
    <s v="NO"/>
    <s v="LSCS"/>
    <s v="Male"/>
    <n v="0"/>
    <n v="0"/>
    <n v="22"/>
    <s v="NO"/>
    <n v="22"/>
    <s v="Neonatal Death"/>
    <s v="Pvt. Medical College"/>
    <s v="Pvt. Medical College"/>
    <n v="1300"/>
    <x v="1"/>
    <x v="0"/>
    <x v="0"/>
    <x v="1"/>
    <x v="0"/>
    <s v="NO"/>
    <s v="NO"/>
    <s v="NO"/>
    <s v="NO"/>
    <s v="NO"/>
    <s v="NO"/>
    <s v="NO"/>
    <s v="NO"/>
    <s v="NO"/>
    <s v="NO"/>
    <s v="NO"/>
    <s v="NO"/>
    <s v="NO"/>
    <s v="NO"/>
    <s v="NO"/>
    <s v="NO"/>
    <s v="NO"/>
    <s v="NO"/>
    <s v="NO"/>
    <s v="NO"/>
    <s v="NO"/>
    <s v="YES"/>
    <s v="Open Neural tube defect, Obstructive Hydrocephalus, CraniosyNOstosis with Macrocephaly"/>
    <x v="0"/>
  </r>
  <r>
    <x v="1"/>
    <s v="Hiriadka"/>
    <s v="Hindu"/>
    <s v="ST(Marati)"/>
    <x v="0"/>
    <x v="0"/>
    <x v="0"/>
    <x v="1"/>
    <x v="0"/>
    <x v="0"/>
    <s v="NO"/>
    <x v="0"/>
    <s v="NO"/>
    <s v="NO"/>
    <s v="NO"/>
    <s v="NO"/>
    <s v="NO"/>
    <s v="NO"/>
    <s v="NO"/>
    <s v="NO"/>
    <s v="NO"/>
    <s v="NO"/>
    <s v="NO"/>
    <s v="NO"/>
    <s v="NO"/>
    <s v="NO"/>
    <s v="NO"/>
    <s v="YES"/>
    <s v="NO"/>
    <s v="LSCS"/>
    <s v="Female"/>
    <n v="6"/>
    <n v="180"/>
    <n v="0"/>
    <s v="NO"/>
    <n v="180"/>
    <s v="Infant Death"/>
    <s v="Pvt. Medical College"/>
    <s v="Pvt. Medical College"/>
    <n v="1100"/>
    <x v="1"/>
    <x v="0"/>
    <x v="0"/>
    <x v="1"/>
    <x v="0"/>
    <s v="NO"/>
    <s v="NO"/>
    <s v="NO"/>
    <s v="NO"/>
    <s v="NO"/>
    <s v="NO"/>
    <s v="NO"/>
    <s v="NO"/>
    <s v="NO"/>
    <s v="NO"/>
    <s v="NO"/>
    <s v="NO"/>
    <s v="NO"/>
    <s v="NO"/>
    <s v="NO"/>
    <s v="NO"/>
    <s v="NO"/>
    <s v="NO"/>
    <s v="NO"/>
    <s v="NO"/>
    <s v="NO"/>
    <s v="YES"/>
    <s v="Resistant Hypoglycemia, respiratory failure pulmonary Haemorrhage Bronchopneumonia with respiratory failure, sepsis Large VSD with Hyperkinetic PAH &amp;PDA in congestive cardiac."/>
    <x v="0"/>
  </r>
  <r>
    <x v="1"/>
    <s v="Sastana"/>
    <s v="Hindu"/>
    <s v="Poojary"/>
    <x v="1"/>
    <x v="1"/>
    <x v="1"/>
    <x v="1"/>
    <x v="0"/>
    <x v="0"/>
    <s v="NO"/>
    <x v="0"/>
    <s v="NO"/>
    <s v="NO"/>
    <s v="NO"/>
    <s v="NO"/>
    <s v="NO"/>
    <s v="NO"/>
    <s v="NO"/>
    <s v="NO"/>
    <s v="NO"/>
    <s v="NO"/>
    <s v="NO"/>
    <s v="NO"/>
    <s v="NO"/>
    <s v="NO"/>
    <s v="NO"/>
    <s v="NO"/>
    <s v="NO"/>
    <s v="Normal"/>
    <s v="Male"/>
    <n v="3"/>
    <n v="90"/>
    <n v="10"/>
    <s v="NO"/>
    <n v="100"/>
    <s v="Infant Death"/>
    <s v="Pvt. Medical College"/>
    <s v="Pvt. Medical College"/>
    <n v="2998"/>
    <x v="1"/>
    <x v="0"/>
    <x v="0"/>
    <x v="1"/>
    <x v="0"/>
    <s v="NO"/>
    <s v="YES"/>
    <s v="NO"/>
    <s v="NO"/>
    <s v="NO"/>
    <s v="NO"/>
    <s v="YES"/>
    <s v="YES"/>
    <s v="NO"/>
    <s v="NO"/>
    <s v="NO"/>
    <s v="NO"/>
    <s v="NO"/>
    <s v="NO"/>
    <s v="NO"/>
    <s v="NO"/>
    <s v="NO"/>
    <s v="NO"/>
    <s v="NO"/>
    <s v="NO"/>
    <s v="NO"/>
    <s v="NO"/>
    <s v="NO"/>
    <x v="1"/>
  </r>
  <r>
    <x v="1"/>
    <s v="Mudarangadi"/>
    <s v="Hindu"/>
    <s v="Poojary"/>
    <x v="1"/>
    <x v="0"/>
    <x v="0"/>
    <x v="0"/>
    <x v="0"/>
    <x v="0"/>
    <s v="NO"/>
    <x v="0"/>
    <s v="NO"/>
    <s v="NO"/>
    <s v="NO"/>
    <s v="NO"/>
    <s v="NO"/>
    <s v="NO"/>
    <s v="NO"/>
    <s v="NO"/>
    <s v="NO"/>
    <s v="NO"/>
    <s v="NO"/>
    <s v="NO"/>
    <s v="NO"/>
    <s v="NO"/>
    <s v="NO"/>
    <s v="NO"/>
    <s v="NO"/>
    <s v="LSCS"/>
    <s v="Female"/>
    <n v="0"/>
    <n v="0"/>
    <n v="3"/>
    <s v="NO"/>
    <n v="3"/>
    <s v="Neonatal Death"/>
    <s v="Govt. Hospital"/>
    <s v="Govt. Hospital"/>
    <n v="650"/>
    <x v="0"/>
    <x v="1"/>
    <x v="0"/>
    <x v="1"/>
    <x v="0"/>
    <s v="NO"/>
    <s v="NO"/>
    <s v="NO"/>
    <s v="NO"/>
    <s v="NO"/>
    <s v="NO"/>
    <s v="NO"/>
    <s v="NO"/>
    <s v="NO"/>
    <s v="NO"/>
    <s v="NO"/>
    <s v="NO"/>
    <s v="NO"/>
    <s v="NO"/>
    <s v="NO"/>
    <s v="NO"/>
    <s v="NO"/>
    <s v="NO"/>
    <s v="NO"/>
    <s v="NO"/>
    <s v="NO"/>
    <s v="NO"/>
    <s v="NO"/>
    <x v="0"/>
  </r>
  <r>
    <x v="2"/>
    <s v="Donderangadi"/>
    <s v="Hindu"/>
    <s v="Acharya"/>
    <x v="1"/>
    <x v="0"/>
    <x v="0"/>
    <x v="0"/>
    <x v="0"/>
    <x v="0"/>
    <s v="NO"/>
    <x v="0"/>
    <s v="NO"/>
    <s v="NO"/>
    <s v="NO"/>
    <s v="NO"/>
    <s v="NO"/>
    <s v="NO"/>
    <s v="NO"/>
    <s v="NO"/>
    <s v="NO"/>
    <s v="NO"/>
    <s v="NO"/>
    <s v="NO"/>
    <s v="NO"/>
    <s v="NO"/>
    <s v="NO"/>
    <s v="NO"/>
    <s v="NO"/>
    <s v="LSCS"/>
    <s v="Female"/>
    <n v="0"/>
    <n v="0"/>
    <n v="4"/>
    <s v="NO"/>
    <n v="4"/>
    <s v="Neonatal Death"/>
    <s v="Govt. Hospital"/>
    <s v="Govt. Hospital"/>
    <n v="960"/>
    <x v="0"/>
    <x v="1"/>
    <x v="0"/>
    <x v="1"/>
    <x v="0"/>
    <s v="NO"/>
    <s v="NO"/>
    <s v="NO"/>
    <s v="NO"/>
    <s v="NO"/>
    <s v="NO"/>
    <s v="NO"/>
    <s v="NO"/>
    <s v="NO"/>
    <s v="NO"/>
    <s v="NO"/>
    <s v="NO"/>
    <s v="NO"/>
    <s v="NO"/>
    <s v="NO"/>
    <s v="NO"/>
    <s v="NO"/>
    <s v="NO"/>
    <s v="NO"/>
    <s v="NO"/>
    <s v="NO"/>
    <s v="NO"/>
    <s v="NO"/>
    <x v="0"/>
  </r>
  <r>
    <x v="2"/>
    <s v="Inna"/>
    <s v="Hindu"/>
    <s v="Poojary"/>
    <x v="0"/>
    <x v="0"/>
    <x v="0"/>
    <x v="1"/>
    <x v="0"/>
    <x v="0"/>
    <s v="NO"/>
    <x v="0"/>
    <s v="NO"/>
    <s v="NO"/>
    <s v="NO"/>
    <s v="NO"/>
    <s v="NO"/>
    <s v="NO"/>
    <s v="NO"/>
    <s v="NO"/>
    <s v="NO"/>
    <s v="NO"/>
    <s v="NO"/>
    <s v="NO"/>
    <s v="NO"/>
    <s v="NO"/>
    <s v="NO"/>
    <s v="YES"/>
    <s v="NO"/>
    <s v="LSCS"/>
    <s v="Female"/>
    <n v="4"/>
    <n v="120"/>
    <n v="0"/>
    <s v="NO"/>
    <n v="120"/>
    <s v="Infant Death"/>
    <s v="Pvt. Medical College"/>
    <s v="Pvt. Medical College"/>
    <n v="640"/>
    <x v="0"/>
    <x v="1"/>
    <x v="0"/>
    <x v="1"/>
    <x v="0"/>
    <s v="NO"/>
    <s v="NO"/>
    <s v="NO"/>
    <s v="NO"/>
    <s v="NO"/>
    <s v="NO"/>
    <s v="NO"/>
    <s v="NO"/>
    <s v="NO"/>
    <s v="NO"/>
    <s v="NO"/>
    <s v="NO"/>
    <s v="NO"/>
    <s v="NO"/>
    <s v="NO"/>
    <s v="NO"/>
    <s v="NO"/>
    <s v="NO"/>
    <s v="NO"/>
    <s v="NO"/>
    <s v="NO"/>
    <s v="NO"/>
    <s v="NO"/>
    <x v="0"/>
  </r>
  <r>
    <x v="2"/>
    <s v="Palli"/>
    <s v="Hindu"/>
    <s v="SC"/>
    <x v="1"/>
    <x v="0"/>
    <x v="0"/>
    <x v="0"/>
    <x v="0"/>
    <x v="0"/>
    <s v="NO"/>
    <x v="0"/>
    <s v="NO"/>
    <s v="NO"/>
    <s v="NO"/>
    <s v="NO"/>
    <s v="NO"/>
    <s v="NO"/>
    <s v="NO"/>
    <s v="NO"/>
    <s v="NO"/>
    <s v="NO"/>
    <s v="NO"/>
    <s v="NO"/>
    <s v="NO"/>
    <s v="NO"/>
    <s v="NO"/>
    <s v="NO"/>
    <s v="NO"/>
    <s v="LSCS"/>
    <s v="Female"/>
    <n v="0"/>
    <n v="0"/>
    <n v="4"/>
    <s v="NO"/>
    <n v="4"/>
    <s v="Neonatal Death"/>
    <s v="Govt. Hospital"/>
    <s v="Govt. Hospital"/>
    <n v="1004"/>
    <x v="0"/>
    <x v="0"/>
    <x v="0"/>
    <x v="0"/>
    <x v="0"/>
    <s v="NO"/>
    <s v="NO"/>
    <s v="NO"/>
    <s v="NO"/>
    <s v="NO"/>
    <s v="NO"/>
    <s v="NO"/>
    <s v="NO"/>
    <s v="NO"/>
    <s v="NO"/>
    <s v="NO"/>
    <s v="NO"/>
    <s v="NO"/>
    <s v="NO"/>
    <s v="NO"/>
    <s v="NO"/>
    <s v="NO"/>
    <s v="NO"/>
    <s v="NO"/>
    <s v="NO"/>
    <s v="NO"/>
    <s v="NO"/>
    <s v="NO"/>
    <x v="0"/>
  </r>
  <r>
    <x v="0"/>
    <s v="Kodi"/>
    <s v="Muslim"/>
    <s v="Muslim"/>
    <x v="0"/>
    <x v="0"/>
    <x v="0"/>
    <x v="0"/>
    <x v="0"/>
    <x v="0"/>
    <s v="NO"/>
    <x v="0"/>
    <s v="NO"/>
    <s v="YES"/>
    <s v="NO"/>
    <s v="NO"/>
    <s v="NO"/>
    <s v="NO"/>
    <s v="NO"/>
    <s v="NO"/>
    <s v="NO"/>
    <s v="NO"/>
    <s v="NO"/>
    <s v="NO"/>
    <s v="NO"/>
    <s v="NO"/>
    <s v="NO"/>
    <s v="NO"/>
    <s v="NO"/>
    <s v="LSCS"/>
    <s v="Female"/>
    <n v="0"/>
    <n v="0"/>
    <n v="5"/>
    <s v="NO"/>
    <n v="5"/>
    <s v="Neonatal Death"/>
    <s v="Govt. Hospital"/>
    <s v="Govt. Hospital"/>
    <n v="1220"/>
    <x v="0"/>
    <x v="0"/>
    <x v="0"/>
    <x v="0"/>
    <x v="0"/>
    <s v="NO"/>
    <s v="NO"/>
    <s v="NO"/>
    <s v="NO"/>
    <s v="NO"/>
    <s v="NO"/>
    <s v="YES"/>
    <s v="NO"/>
    <s v="NO"/>
    <s v="NO"/>
    <s v="NO"/>
    <s v="NO"/>
    <s v="NO"/>
    <s v="NO"/>
    <s v="NO"/>
    <s v="NO"/>
    <s v="NO"/>
    <s v="NO"/>
    <s v="NO"/>
    <s v="NO"/>
    <s v="NO"/>
    <s v="NO"/>
    <s v="NO"/>
    <x v="0"/>
  </r>
  <r>
    <x v="0"/>
    <s v="Hattiangadi"/>
    <s v="Hindu"/>
    <s v="SC"/>
    <x v="0"/>
    <x v="0"/>
    <x v="1"/>
    <x v="1"/>
    <x v="0"/>
    <x v="0"/>
    <s v="NO"/>
    <x v="0"/>
    <s v="NO"/>
    <s v="NO"/>
    <s v="NO"/>
    <s v="YES"/>
    <s v="NO"/>
    <s v="NO"/>
    <s v="NO"/>
    <s v="NO"/>
    <s v="NO"/>
    <s v="NO"/>
    <s v="NO"/>
    <s v="NO"/>
    <s v="NO"/>
    <s v="NO"/>
    <s v="NO"/>
    <s v="NO"/>
    <s v="NO"/>
    <s v="LSCS"/>
    <s v="Male"/>
    <n v="11"/>
    <n v="330"/>
    <n v="0"/>
    <s v="NO"/>
    <n v="330"/>
    <s v="Infant Death"/>
    <s v="Govt. Hospital"/>
    <s v="Govt. Hospital"/>
    <n v="3400"/>
    <x v="1"/>
    <x v="0"/>
    <x v="0"/>
    <x v="1"/>
    <x v="0"/>
    <s v="NO"/>
    <s v="NO"/>
    <s v="NO"/>
    <s v="NO"/>
    <s v="NO"/>
    <s v="NO"/>
    <s v="NO"/>
    <s v="NO"/>
    <s v="NO"/>
    <s v="NO"/>
    <s v="NO"/>
    <s v="NO"/>
    <s v="NO"/>
    <s v="NO"/>
    <s v="NO"/>
    <s v="NO"/>
    <s v="NO"/>
    <s v="NO"/>
    <s v="NO"/>
    <s v="NO"/>
    <s v="NO"/>
    <s v="YES"/>
    <s v="Acute on Chronic Liver Disease(Bileary Atresia) Sepsis"/>
    <x v="0"/>
  </r>
  <r>
    <x v="0"/>
    <s v="Byndoor"/>
    <s v="Hindu"/>
    <s v="ST"/>
    <x v="0"/>
    <x v="1"/>
    <x v="1"/>
    <x v="1"/>
    <x v="0"/>
    <x v="0"/>
    <s v="YES"/>
    <x v="0"/>
    <s v="NO"/>
    <s v="NO"/>
    <s v="YES"/>
    <s v="NO"/>
    <s v="NO"/>
    <s v="NO"/>
    <s v="NO"/>
    <s v="NO"/>
    <s v="NO"/>
    <s v="NO"/>
    <s v="NO"/>
    <s v="NO"/>
    <s v="NO"/>
    <s v="NO"/>
    <s v="NO"/>
    <s v="NO"/>
    <s v="NO"/>
    <s v="Normal"/>
    <s v="Male"/>
    <n v="4"/>
    <n v="120"/>
    <n v="2"/>
    <s v="NO"/>
    <n v="122"/>
    <s v="Infant Death"/>
    <s v="Govt. Hospital"/>
    <s v="Home"/>
    <n v="2780"/>
    <x v="1"/>
    <x v="0"/>
    <x v="0"/>
    <x v="0"/>
    <x v="0"/>
    <s v="NO"/>
    <s v="NO"/>
    <s v="NO"/>
    <s v="NO"/>
    <s v="NO"/>
    <s v="NO"/>
    <s v="NO"/>
    <s v="NO"/>
    <s v="NO"/>
    <s v="NO"/>
    <s v="NO"/>
    <s v="NO"/>
    <s v="NO"/>
    <s v="NO"/>
    <s v="NO"/>
    <s v="NO"/>
    <s v="NO"/>
    <s v="NO"/>
    <s v="NO"/>
    <s v="NO"/>
    <s v="NO"/>
    <s v="YES"/>
    <s v="Primary Immunio Deficiency"/>
    <x v="0"/>
  </r>
  <r>
    <x v="0"/>
    <s v="Shiroor"/>
    <s v="Muslim"/>
    <s v="Muslim"/>
    <x v="0"/>
    <x v="1"/>
    <x v="1"/>
    <x v="1"/>
    <x v="0"/>
    <x v="0"/>
    <s v="NO"/>
    <x v="0"/>
    <s v="NO"/>
    <s v="YES"/>
    <s v="NO"/>
    <s v="NO"/>
    <s v="NO"/>
    <s v="NO"/>
    <s v="NO"/>
    <s v="NO"/>
    <s v="NO"/>
    <s v="NO"/>
    <s v="NO"/>
    <s v="NO"/>
    <s v="NO"/>
    <s v="NO"/>
    <s v="NO"/>
    <s v="NO"/>
    <s v="NO"/>
    <s v="Normal"/>
    <s v="Male"/>
    <n v="3"/>
    <n v="90"/>
    <n v="16"/>
    <s v="NO"/>
    <n v="106"/>
    <s v="Infant Death"/>
    <s v="Pvt. Hospital"/>
    <s v="Home"/>
    <n v="3500"/>
    <x v="1"/>
    <x v="0"/>
    <x v="0"/>
    <x v="1"/>
    <x v="0"/>
    <s v="NO"/>
    <s v="NO"/>
    <s v="NO"/>
    <s v="NO"/>
    <s v="NO"/>
    <s v="NO"/>
    <s v="NO"/>
    <s v="NO"/>
    <s v="NO"/>
    <s v="NO"/>
    <s v="NO"/>
    <s v="NO"/>
    <s v="NO"/>
    <s v="NO"/>
    <s v="NO"/>
    <s v="YES"/>
    <s v="NO"/>
    <s v="NO"/>
    <s v="NO"/>
    <s v="NO"/>
    <s v="NO"/>
    <s v="YES"/>
    <s v="Sudden Infant death known case of status post congenital hypertrophic pyloric steosis"/>
    <x v="0"/>
  </r>
  <r>
    <x v="1"/>
    <s v="Brahmavara"/>
    <s v="Muslim"/>
    <s v="Muslim"/>
    <x v="1"/>
    <x v="1"/>
    <x v="1"/>
    <x v="1"/>
    <x v="0"/>
    <x v="0"/>
    <s v="NO"/>
    <x v="0"/>
    <s v="NO"/>
    <s v="NO"/>
    <s v="NO"/>
    <s v="NO"/>
    <s v="NO"/>
    <s v="NO"/>
    <s v="NO"/>
    <s v="NO"/>
    <s v="NO"/>
    <s v="NO"/>
    <s v="NO"/>
    <s v="NO"/>
    <s v="NO"/>
    <s v="NO"/>
    <s v="NO"/>
    <s v="NO"/>
    <s v="NO"/>
    <s v="Normal"/>
    <s v="Male"/>
    <n v="2"/>
    <n v="60"/>
    <n v="15"/>
    <s v="NO"/>
    <n v="75"/>
    <s v="Infant Death"/>
    <s v="Pvt. Medical College"/>
    <s v="Pvt. Medical College"/>
    <n v="3850"/>
    <x v="1"/>
    <x v="0"/>
    <x v="0"/>
    <x v="1"/>
    <x v="0"/>
    <s v="NO"/>
    <s v="YES"/>
    <s v="NO"/>
    <s v="NO"/>
    <s v="NO"/>
    <s v="YES"/>
    <s v="NO"/>
    <s v="YES"/>
    <s v="NO"/>
    <s v="NO"/>
    <s v="NO"/>
    <s v="NO"/>
    <s v="NO"/>
    <s v="NO"/>
    <s v="NO"/>
    <s v="NO"/>
    <s v="NO"/>
    <s v="NO"/>
    <s v="NO"/>
    <s v="NO"/>
    <s v="NO"/>
    <s v="NO"/>
    <s v="NO"/>
    <x v="0"/>
  </r>
  <r>
    <x v="1"/>
    <s v="Kaup"/>
    <s v="Muslim"/>
    <s v="Muslim"/>
    <x v="0"/>
    <x v="0"/>
    <x v="1"/>
    <x v="1"/>
    <x v="0"/>
    <x v="0"/>
    <s v="NO"/>
    <x v="0"/>
    <s v="NO"/>
    <s v="NO"/>
    <s v="NO"/>
    <s v="NO"/>
    <s v="NO"/>
    <s v="NO"/>
    <s v="NO"/>
    <s v="NO"/>
    <s v="NO"/>
    <s v="NO"/>
    <s v="NO"/>
    <s v="NO"/>
    <s v="NO"/>
    <s v="NO"/>
    <s v="NO"/>
    <s v="YES"/>
    <s v="NO"/>
    <s v="LSCS"/>
    <s v="Male"/>
    <n v="1"/>
    <n v="30"/>
    <n v="19"/>
    <s v="NO"/>
    <n v="49"/>
    <s v="Infant Death"/>
    <s v="Pvt. Medical College"/>
    <s v="Transit"/>
    <n v="2350"/>
    <x v="1"/>
    <x v="0"/>
    <x v="0"/>
    <x v="1"/>
    <x v="1"/>
    <s v="NO"/>
    <s v="NO"/>
    <s v="NO"/>
    <s v="NO"/>
    <s v="NO"/>
    <s v="NO"/>
    <s v="NO"/>
    <s v="NO"/>
    <s v="NO"/>
    <s v="NO"/>
    <s v="NO"/>
    <s v="NO"/>
    <s v="NO"/>
    <s v="NO"/>
    <s v="YES"/>
    <s v="YES"/>
    <s v="NO"/>
    <s v="NO"/>
    <s v="NO"/>
    <s v="NO"/>
    <s v="NO"/>
    <s v="NO"/>
    <s v="NO"/>
    <x v="1"/>
  </r>
  <r>
    <x v="1"/>
    <s v="Shirva"/>
    <s v="Hindu"/>
    <s v="Acharya"/>
    <x v="0"/>
    <x v="1"/>
    <x v="1"/>
    <x v="1"/>
    <x v="0"/>
    <x v="0"/>
    <s v="NO"/>
    <x v="0"/>
    <s v="NO"/>
    <s v="NO"/>
    <s v="NO"/>
    <s v="NO"/>
    <s v="NO"/>
    <s v="NO"/>
    <s v="NO"/>
    <s v="NO"/>
    <s v="NO"/>
    <s v="NO"/>
    <s v="YES"/>
    <s v="NO"/>
    <s v="NO"/>
    <s v="NO"/>
    <s v="NO"/>
    <s v="NO"/>
    <s v="NO"/>
    <s v="Normal"/>
    <s v="Male"/>
    <n v="5"/>
    <n v="150"/>
    <n v="15"/>
    <s v="NO"/>
    <n v="165"/>
    <s v="Infant Death"/>
    <s v="Pvt. Medical College"/>
    <s v="Pvt. Medical College"/>
    <n v="3580"/>
    <x v="1"/>
    <x v="0"/>
    <x v="0"/>
    <x v="1"/>
    <x v="0"/>
    <s v="NO"/>
    <s v="NO"/>
    <s v="NO"/>
    <s v="NO"/>
    <s v="NO"/>
    <s v="NO"/>
    <s v="YES"/>
    <s v="NO"/>
    <s v="NO"/>
    <s v="NO"/>
    <s v="NO"/>
    <s v="NO"/>
    <s v="NO"/>
    <s v="NO"/>
    <s v="NO"/>
    <s v="NO"/>
    <s v="NO"/>
    <s v="NO"/>
    <s v="NO"/>
    <s v="NO"/>
    <s v="NO"/>
    <s v="YES"/>
    <s v="Hepatic  Encepalopathy with acute Liver Failure with severe, metabolic acidosis Klebsiella pnuemonia postive sepsis with multi  organ dysfunction failure to thrive with sescepted Glycogen storage disorder"/>
    <x v="0"/>
  </r>
  <r>
    <x v="0"/>
    <s v="Aloor"/>
    <s v="Hindu"/>
    <s v="SC"/>
    <x v="0"/>
    <x v="0"/>
    <x v="0"/>
    <x v="0"/>
    <x v="0"/>
    <x v="0"/>
    <s v="NO"/>
    <x v="1"/>
    <s v="YES"/>
    <s v="NO"/>
    <s v="NO"/>
    <s v="NO"/>
    <s v="NO"/>
    <s v="NO"/>
    <s v="NO"/>
    <s v="NO"/>
    <s v="NO"/>
    <s v="NO"/>
    <s v="NO"/>
    <s v="NO"/>
    <s v="NO"/>
    <s v="NO"/>
    <s v="NO"/>
    <s v="NO"/>
    <s v="NO"/>
    <s v="LSCS"/>
    <s v="Female"/>
    <n v="0"/>
    <n v="0"/>
    <n v="15"/>
    <s v="NO"/>
    <n v="15"/>
    <s v="Neonatal Death"/>
    <s v="Govt Hopital"/>
    <s v="Govt Hopital"/>
    <n v="1240"/>
    <x v="0"/>
    <x v="0"/>
    <x v="1"/>
    <x v="1"/>
    <x v="0"/>
    <s v="NO"/>
    <s v="NO"/>
    <s v="NO"/>
    <s v="NO"/>
    <s v="NO"/>
    <s v="NO"/>
    <s v="YES"/>
    <s v="NO"/>
    <s v="NO"/>
    <s v="NO"/>
    <s v="NO"/>
    <s v="NO"/>
    <s v="NO"/>
    <s v="NO"/>
    <s v="NO"/>
    <s v="NO"/>
    <s v="NO"/>
    <s v="NO"/>
    <s v="NO"/>
    <s v="NO"/>
    <s v="NO"/>
    <s v="YES"/>
    <s v="Acute Kidney infection"/>
    <x v="0"/>
  </r>
  <r>
    <x v="0"/>
    <s v="Maravanthe"/>
    <s v="Hindu"/>
    <s v="Kharvi"/>
    <x v="1"/>
    <x v="0"/>
    <x v="1"/>
    <x v="1"/>
    <x v="0"/>
    <x v="0"/>
    <s v="NO"/>
    <x v="0"/>
    <s v="NO"/>
    <s v="NO"/>
    <s v="NO"/>
    <s v="NO"/>
    <s v="NO"/>
    <s v="NO"/>
    <s v="NO"/>
    <s v="NO"/>
    <s v="NO"/>
    <s v="NO"/>
    <s v="NO"/>
    <s v="NO"/>
    <s v="NO"/>
    <s v="NO"/>
    <s v="NO"/>
    <s v="NO"/>
    <s v="NO"/>
    <s v="LSCS"/>
    <s v="Male"/>
    <n v="7"/>
    <n v="210"/>
    <n v="19"/>
    <s v="NO"/>
    <n v="229"/>
    <s v="Infant Death"/>
    <s v="Pvt. Hospital"/>
    <s v="Transit"/>
    <n v="3200"/>
    <x v="1"/>
    <x v="0"/>
    <x v="0"/>
    <x v="1"/>
    <x v="0"/>
    <s v="NO"/>
    <s v="NO"/>
    <s v="NO"/>
    <s v="NO"/>
    <s v="NO"/>
    <s v="NO"/>
    <s v="NO"/>
    <s v="YES"/>
    <s v="NO"/>
    <s v="NO"/>
    <s v="NO"/>
    <s v="NO"/>
    <s v="NO"/>
    <s v="NO"/>
    <s v="NO"/>
    <s v="NO"/>
    <s v="NO"/>
    <s v="NO"/>
    <s v="NO"/>
    <s v="NO"/>
    <s v="NO"/>
    <s v="YES"/>
    <s v="Broncholites"/>
    <x v="1"/>
  </r>
  <r>
    <x v="1"/>
    <s v="Padubidri"/>
    <s v="Muslim"/>
    <s v="Muslim"/>
    <x v="0"/>
    <x v="1"/>
    <x v="0"/>
    <x v="1"/>
    <x v="0"/>
    <x v="0"/>
    <s v="NO"/>
    <x v="0"/>
    <s v="NO"/>
    <s v="NO"/>
    <s v="NO"/>
    <s v="NO"/>
    <s v="NO"/>
    <s v="NO"/>
    <s v="NO"/>
    <s v="NO"/>
    <s v="NO"/>
    <s v="YES"/>
    <s v="NO"/>
    <s v="NO"/>
    <s v="NO"/>
    <s v="NO"/>
    <s v="NO"/>
    <s v="NO"/>
    <s v="NO"/>
    <s v="Normal"/>
    <s v="Female"/>
    <n v="3"/>
    <n v="90"/>
    <n v="21"/>
    <s v="NO"/>
    <n v="111"/>
    <s v="Infant Death"/>
    <s v="Pvt. Medical College"/>
    <s v="Home"/>
    <n v="3280"/>
    <x v="1"/>
    <x v="0"/>
    <x v="0"/>
    <x v="1"/>
    <x v="0"/>
    <s v="NO"/>
    <s v="NO"/>
    <s v="NO"/>
    <s v="NO"/>
    <s v="NO"/>
    <s v="NO"/>
    <s v="NO"/>
    <s v="NO"/>
    <s v="NO"/>
    <s v="NO"/>
    <s v="NO"/>
    <s v="NO"/>
    <s v="NO"/>
    <s v="NO"/>
    <s v="YES"/>
    <s v="YES"/>
    <s v="NO"/>
    <s v="NO"/>
    <s v="NO"/>
    <s v="NO"/>
    <s v="NO"/>
    <s v="NO"/>
    <s v="NO"/>
    <x v="1"/>
  </r>
  <r>
    <x v="1"/>
    <s v="Saligrama"/>
    <s v="Hindu"/>
    <s v="Nayak"/>
    <x v="1"/>
    <x v="1"/>
    <x v="1"/>
    <x v="0"/>
    <x v="0"/>
    <x v="0"/>
    <s v="NO"/>
    <x v="0"/>
    <s v="NO"/>
    <s v="NO"/>
    <s v="NO"/>
    <s v="NO"/>
    <s v="NO"/>
    <s v="NO"/>
    <s v="NO"/>
    <s v="NO"/>
    <s v="NO"/>
    <s v="NO"/>
    <s v="NO"/>
    <s v="NO"/>
    <s v="NO"/>
    <s v="NO"/>
    <s v="NO"/>
    <s v="NO"/>
    <s v="NO"/>
    <s v="Normal"/>
    <s v="Male"/>
    <n v="0"/>
    <n v="0"/>
    <n v="13"/>
    <s v="NO"/>
    <n v="13"/>
    <s v="Neonatal Death"/>
    <s v="Govt Hopital"/>
    <s v="Govt Hopital"/>
    <n v="2140"/>
    <x v="0"/>
    <x v="0"/>
    <x v="0"/>
    <x v="1"/>
    <x v="0"/>
    <s v="NO"/>
    <s v="NO"/>
    <s v="NO"/>
    <s v="NO"/>
    <s v="NO"/>
    <s v="NO"/>
    <s v="YES"/>
    <s v="NO"/>
    <s v="YES"/>
    <s v="NO"/>
    <s v="NO"/>
    <s v="NO"/>
    <s v="NO"/>
    <s v="NO"/>
    <s v="NO"/>
    <s v="NO"/>
    <s v="NO"/>
    <s v="NO"/>
    <s v="NO"/>
    <s v="NO"/>
    <s v="NO"/>
    <s v="NO"/>
    <s v="NO"/>
    <x v="1"/>
  </r>
  <r>
    <x v="1"/>
    <s v="UPHC-Manipal"/>
    <s v="Hindu"/>
    <s v="NULL"/>
    <x v="0"/>
    <x v="0"/>
    <x v="1"/>
    <x v="0"/>
    <x v="0"/>
    <x v="0"/>
    <s v="NO"/>
    <x v="0"/>
    <s v="NO"/>
    <s v="NO"/>
    <s v="NO"/>
    <s v="NO"/>
    <s v="NO"/>
    <s v="NO"/>
    <s v="NO"/>
    <s v="NO"/>
    <s v="YES"/>
    <s v="YES"/>
    <s v="NO"/>
    <s v="NO"/>
    <s v="NO"/>
    <s v="NO"/>
    <s v="NO"/>
    <s v="NO"/>
    <s v="NO"/>
    <s v="LSCS"/>
    <s v="Male"/>
    <n v="0"/>
    <n v="0"/>
    <n v="26"/>
    <s v="NO"/>
    <n v="26"/>
    <s v="Neonatal Death"/>
    <s v="KMC manipal"/>
    <s v="venlock"/>
    <n v="775"/>
    <x v="0"/>
    <x v="1"/>
    <x v="0"/>
    <x v="1"/>
    <x v="0"/>
    <s v="NO"/>
    <s v="NO"/>
    <s v="NO"/>
    <s v="NO"/>
    <s v="NO"/>
    <s v="NO"/>
    <s v="NO"/>
    <s v="NO"/>
    <s v="NO"/>
    <s v="NO"/>
    <s v="NO"/>
    <s v="NO"/>
    <s v="NO"/>
    <s v="NO"/>
    <s v="NO"/>
    <s v="NO"/>
    <s v="NO"/>
    <s v="NO"/>
    <s v="NO"/>
    <s v="NO"/>
    <s v="NO"/>
    <s v="NO"/>
    <s v="NO"/>
    <x v="1"/>
  </r>
  <r>
    <x v="1"/>
    <s v="Mudarangadi"/>
    <s v="Muslim"/>
    <s v="Muslim"/>
    <x v="1"/>
    <x v="0"/>
    <x v="1"/>
    <x v="0"/>
    <x v="0"/>
    <x v="0"/>
    <s v="NO"/>
    <x v="0"/>
    <s v="NO"/>
    <s v="NO"/>
    <s v="NO"/>
    <s v="NO"/>
    <s v="NO"/>
    <s v="NO"/>
    <s v="NO"/>
    <s v="NO"/>
    <s v="NO"/>
    <s v="NO"/>
    <s v="NO"/>
    <s v="NO"/>
    <s v="NO"/>
    <s v="NO"/>
    <s v="NO"/>
    <s v="NO"/>
    <s v="NO"/>
    <s v="LSCS"/>
    <s v="Male"/>
    <n v="0"/>
    <n v="0"/>
    <n v="2"/>
    <s v="NO"/>
    <n v="2"/>
    <s v="Neonatal Death"/>
    <s v="Kolacko Hospital,Mangalore"/>
    <s v="SCS Hospital Mangalore"/>
    <n v="1300"/>
    <x v="0"/>
    <x v="1"/>
    <x v="0"/>
    <x v="1"/>
    <x v="0"/>
    <s v="NO"/>
    <s v="NO"/>
    <s v="NO"/>
    <s v="NO"/>
    <s v="NO"/>
    <s v="NO"/>
    <s v="NO"/>
    <s v="YES"/>
    <s v="NO"/>
    <s v="NO"/>
    <s v="NO"/>
    <s v="NO"/>
    <s v="NO"/>
    <s v="NO"/>
    <s v="NO"/>
    <s v="NO"/>
    <s v="NO"/>
    <s v="NO"/>
    <s v="NO"/>
    <s v="NO"/>
    <s v="NO"/>
    <s v="NO"/>
    <s v="NO"/>
    <x v="0"/>
  </r>
  <r>
    <x v="1"/>
    <s v="Moodubettu"/>
    <s v="Hindu"/>
    <s v="NULL"/>
    <x v="1"/>
    <x v="1"/>
    <x v="0"/>
    <x v="0"/>
    <x v="0"/>
    <x v="0"/>
    <s v="NO"/>
    <x v="0"/>
    <s v="NO"/>
    <s v="NO"/>
    <s v="NO"/>
    <s v="NO"/>
    <s v="NO"/>
    <s v="NO"/>
    <s v="NO"/>
    <s v="NO"/>
    <s v="NO"/>
    <s v="NO"/>
    <s v="NO"/>
    <s v="NO"/>
    <s v="NO"/>
    <s v="NO"/>
    <s v="NO"/>
    <s v="NO"/>
    <s v="NO"/>
    <s v="Normal"/>
    <s v="Female"/>
    <n v="0"/>
    <n v="0"/>
    <n v="5"/>
    <s v="NO"/>
    <n v="5"/>
    <s v="Neonatal Death"/>
    <s v="LGH Mangalore"/>
    <s v="LGH Mangalore"/>
    <n v="920"/>
    <x v="0"/>
    <x v="1"/>
    <x v="0"/>
    <x v="1"/>
    <x v="0"/>
    <s v="NO"/>
    <s v="NO"/>
    <s v="NO"/>
    <s v="NO"/>
    <s v="NO"/>
    <s v="NO"/>
    <s v="NO"/>
    <s v="NO"/>
    <s v="NO"/>
    <s v="NO"/>
    <s v="NO"/>
    <s v="NO"/>
    <s v="NO"/>
    <s v="NO"/>
    <s v="NO"/>
    <s v="NO"/>
    <s v="NO"/>
    <s v="NO"/>
    <s v="NO"/>
    <s v="NO"/>
    <s v="NO"/>
    <s v="NO"/>
    <s v="NO"/>
    <x v="0"/>
  </r>
  <r>
    <x v="0"/>
    <s v="Bikkalkatte"/>
    <s v="Hindu"/>
    <s v="Kulal"/>
    <x v="1"/>
    <x v="0"/>
    <x v="1"/>
    <x v="1"/>
    <x v="0"/>
    <x v="0"/>
    <s v="NO"/>
    <x v="0"/>
    <s v="NO"/>
    <s v="NO"/>
    <s v="NO"/>
    <s v="NO"/>
    <s v="NO"/>
    <s v="NO"/>
    <s v="NO"/>
    <s v="NO"/>
    <s v="NO"/>
    <s v="NO"/>
    <s v="NO"/>
    <s v="NO"/>
    <s v="NO"/>
    <s v="NO"/>
    <s v="NO"/>
    <s v="NO"/>
    <s v="NO"/>
    <s v="LSCS"/>
    <s v="Male"/>
    <n v="2"/>
    <n v="60"/>
    <n v="17"/>
    <s v="NO"/>
    <n v="77"/>
    <s v="Infant Death"/>
    <s v="KMC manipal"/>
    <s v="Transit"/>
    <n v="3140"/>
    <x v="1"/>
    <x v="0"/>
    <x v="0"/>
    <x v="1"/>
    <x v="0"/>
    <s v="NO"/>
    <s v="NO"/>
    <s v="NO"/>
    <s v="NO"/>
    <s v="NO"/>
    <s v="NO"/>
    <s v="NO"/>
    <s v="NO"/>
    <s v="NO"/>
    <s v="NO"/>
    <s v="NO"/>
    <s v="NO"/>
    <s v="NO"/>
    <s v="NO"/>
    <s v="YES"/>
    <s v="NO"/>
    <s v="NO"/>
    <s v="NO"/>
    <s v="NO"/>
    <s v="NO"/>
    <s v="NO"/>
    <s v="NO"/>
    <s v="NO"/>
    <x v="1"/>
  </r>
  <r>
    <x v="0"/>
    <s v="Belve"/>
    <s v="Hindu"/>
    <s v="SC"/>
    <x v="0"/>
    <x v="1"/>
    <x v="0"/>
    <x v="0"/>
    <x v="0"/>
    <x v="0"/>
    <s v="NO"/>
    <x v="0"/>
    <s v="NO"/>
    <s v="YES"/>
    <s v="NO"/>
    <s v="NO"/>
    <s v="NO"/>
    <s v="NO"/>
    <s v="NO"/>
    <s v="NO"/>
    <s v="NO"/>
    <s v="NO"/>
    <s v="NO"/>
    <s v="NO"/>
    <s v="NO"/>
    <s v="NO"/>
    <s v="NO"/>
    <s v="NO"/>
    <s v="NO"/>
    <s v="Normal"/>
    <s v="Female"/>
    <n v="0"/>
    <n v="0"/>
    <n v="0"/>
    <n v="1.3"/>
    <n v="0"/>
    <s v="Neonatal Death"/>
    <s v="LGH Mangalore"/>
    <s v="LGH Mangalore"/>
    <n v="900"/>
    <x v="0"/>
    <x v="0"/>
    <x v="0"/>
    <x v="1"/>
    <x v="1"/>
    <s v="NO"/>
    <s v="NO"/>
    <s v="NO"/>
    <s v="NO"/>
    <s v="NO"/>
    <s v="NO"/>
    <s v="NO"/>
    <s v="NO"/>
    <s v="NO"/>
    <s v="NO"/>
    <s v="NO"/>
    <s v="NO"/>
    <s v="NO"/>
    <s v="NO"/>
    <s v="NO"/>
    <s v="NO"/>
    <s v="NO"/>
    <s v="NO"/>
    <s v="NO"/>
    <s v="NO"/>
    <s v="NO"/>
    <s v="NO"/>
    <s v="NO"/>
    <x v="0"/>
  </r>
  <r>
    <x v="0"/>
    <s v="Byndoor"/>
    <s v="Hindu"/>
    <s v="SC"/>
    <x v="1"/>
    <x v="1"/>
    <x v="1"/>
    <x v="1"/>
    <x v="0"/>
    <x v="0"/>
    <s v="NO"/>
    <x v="0"/>
    <s v="NO"/>
    <s v="NO"/>
    <s v="NO"/>
    <s v="NO"/>
    <s v="NO"/>
    <s v="NO"/>
    <s v="NO"/>
    <s v="NO"/>
    <s v="NO"/>
    <s v="NO"/>
    <s v="NO"/>
    <s v="NO"/>
    <s v="NO"/>
    <s v="NO"/>
    <s v="NO"/>
    <s v="NO"/>
    <s v="NO"/>
    <s v="Normal"/>
    <s v="Male"/>
    <n v="0"/>
    <n v="0"/>
    <n v="46"/>
    <s v="NO"/>
    <n v="46"/>
    <s v="Infant Death"/>
    <s v="GH Kundapura"/>
    <s v="Sridevi Nursing Home, Kumdapura"/>
    <n v="2780"/>
    <x v="1"/>
    <x v="0"/>
    <x v="0"/>
    <x v="1"/>
    <x v="0"/>
    <s v="NO"/>
    <s v="NO"/>
    <s v="NO"/>
    <s v="NO"/>
    <s v="NO"/>
    <s v="NO"/>
    <s v="NO"/>
    <s v="NO"/>
    <s v="NO"/>
    <s v="NO"/>
    <s v="NO"/>
    <s v="NO"/>
    <s v="NO"/>
    <s v="NO"/>
    <s v="YES"/>
    <s v="NO"/>
    <s v="NO"/>
    <s v="NO"/>
    <s v="NO"/>
    <s v="NO"/>
    <s v="NO"/>
    <s v="NO"/>
    <s v="NO"/>
    <x v="1"/>
  </r>
  <r>
    <x v="1"/>
    <s v="Saibrakatte"/>
    <s v="Muslim"/>
    <s v="NULL"/>
    <x v="1"/>
    <x v="0"/>
    <x v="1"/>
    <x v="0"/>
    <x v="0"/>
    <x v="0"/>
    <s v="NO"/>
    <x v="0"/>
    <s v="NO"/>
    <s v="NO"/>
    <s v="NO"/>
    <s v="NO"/>
    <s v="NO"/>
    <s v="NO"/>
    <s v="NO"/>
    <s v="NO"/>
    <s v="NO"/>
    <s v="NO"/>
    <s v="NO"/>
    <s v="NO"/>
    <s v="NO"/>
    <s v="NO"/>
    <s v="NO"/>
    <s v="NO"/>
    <s v="NO"/>
    <s v="LSCS"/>
    <s v="Male"/>
    <n v="0"/>
    <n v="0"/>
    <n v="7"/>
    <s v="NO"/>
    <n v="7"/>
    <s v="Neonatal Death"/>
    <s v="LGH Mangalore"/>
    <s v="LGH Mangalore"/>
    <n v="990"/>
    <x v="0"/>
    <x v="1"/>
    <x v="0"/>
    <x v="1"/>
    <x v="0"/>
    <s v="NO"/>
    <s v="NO"/>
    <s v="NO"/>
    <s v="NO"/>
    <s v="YES"/>
    <s v="NO"/>
    <s v="NO"/>
    <s v="NO"/>
    <s v="NO"/>
    <s v="NO"/>
    <s v="NO"/>
    <s v="NO"/>
    <s v="NO"/>
    <s v="NO"/>
    <s v="NO"/>
    <s v="NO"/>
    <s v="NO"/>
    <s v="NO"/>
    <s v="NO"/>
    <s v="NO"/>
    <s v="NO"/>
    <s v="NO"/>
    <s v="NO"/>
    <x v="0"/>
  </r>
  <r>
    <x v="0"/>
    <s v="Aloor"/>
    <s v="Hindu"/>
    <s v="Acharya"/>
    <x v="0"/>
    <x v="0"/>
    <x v="1"/>
    <x v="0"/>
    <x v="0"/>
    <x v="0"/>
    <s v="NO"/>
    <x v="0"/>
    <s v="NO"/>
    <s v="NO"/>
    <s v="NO"/>
    <s v="NO"/>
    <s v="NO"/>
    <s v="NO"/>
    <s v="NO"/>
    <s v="NO"/>
    <s v="NO"/>
    <s v="NO"/>
    <s v="NO"/>
    <s v="NO"/>
    <s v="NO"/>
    <s v="NO"/>
    <s v="NO"/>
    <s v="YES"/>
    <s v="NO"/>
    <s v="LSCS"/>
    <s v="Male"/>
    <n v="0"/>
    <n v="0"/>
    <n v="3"/>
    <s v="NO"/>
    <n v="3"/>
    <s v="Neonatal Death"/>
    <s v="LGH Mangalore"/>
    <s v="LGH Mangalore"/>
    <n v="840"/>
    <x v="0"/>
    <x v="0"/>
    <x v="1"/>
    <x v="1"/>
    <x v="0"/>
    <s v="NO"/>
    <s v="NO"/>
    <s v="NO"/>
    <s v="NO"/>
    <s v="NO"/>
    <s v="NO"/>
    <s v="NO"/>
    <s v="NO"/>
    <s v="NO"/>
    <s v="NO"/>
    <s v="NO"/>
    <s v="NO"/>
    <s v="NO"/>
    <s v="NO"/>
    <s v="NO"/>
    <s v="NO"/>
    <s v="NO"/>
    <s v="NO"/>
    <s v="NO"/>
    <s v="NO"/>
    <s v="NO"/>
    <s v="NO"/>
    <s v="NO"/>
    <x v="0"/>
  </r>
  <r>
    <x v="0"/>
    <s v="Aloor"/>
    <s v="Hindu"/>
    <s v="Acharya"/>
    <x v="0"/>
    <x v="0"/>
    <x v="1"/>
    <x v="0"/>
    <x v="0"/>
    <x v="0"/>
    <s v="NO"/>
    <x v="0"/>
    <s v="NO"/>
    <s v="NO"/>
    <s v="NO"/>
    <s v="YES"/>
    <s v="NO"/>
    <s v="NO"/>
    <s v="NO"/>
    <s v="NO"/>
    <s v="NO"/>
    <s v="NO"/>
    <s v="NO"/>
    <s v="NO"/>
    <s v="NO"/>
    <s v="NO"/>
    <s v="NO"/>
    <s v="NO"/>
    <s v="NO"/>
    <s v="LSCS"/>
    <s v="Male"/>
    <n v="0"/>
    <n v="0"/>
    <n v="5"/>
    <s v="NO"/>
    <n v="5"/>
    <s v="Neonatal Death"/>
    <s v="LGH Mangalore"/>
    <s v="LGH Mangalore"/>
    <n v="820"/>
    <x v="0"/>
    <x v="0"/>
    <x v="1"/>
    <x v="1"/>
    <x v="0"/>
    <s v="NO"/>
    <s v="NO"/>
    <s v="NO"/>
    <s v="NO"/>
    <s v="NO"/>
    <s v="NO"/>
    <s v="NO"/>
    <s v="NO"/>
    <s v="NO"/>
    <s v="NO"/>
    <s v="NO"/>
    <s v="NO"/>
    <s v="NO"/>
    <s v="NO"/>
    <s v="NO"/>
    <s v="NO"/>
    <s v="NO"/>
    <s v="NO"/>
    <s v="NO"/>
    <s v="NO"/>
    <s v="NO"/>
    <s v="NO"/>
    <s v="NO"/>
    <x v="0"/>
  </r>
  <r>
    <x v="0"/>
    <s v="Siddapura"/>
    <s v="Hindu"/>
    <s v="SC"/>
    <x v="1"/>
    <x v="0"/>
    <x v="0"/>
    <x v="0"/>
    <x v="0"/>
    <x v="0"/>
    <s v="NO"/>
    <x v="0"/>
    <s v="NO"/>
    <s v="NO"/>
    <s v="NO"/>
    <s v="YES"/>
    <s v="NO"/>
    <s v="NO"/>
    <s v="NO"/>
    <s v="NO"/>
    <s v="NO"/>
    <s v="NO"/>
    <s v="NO"/>
    <s v="NO"/>
    <s v="NO"/>
    <s v="NO"/>
    <s v="NO"/>
    <s v="NO"/>
    <s v="NO"/>
    <s v="LSCS"/>
    <s v="Female"/>
    <n v="0"/>
    <n v="0"/>
    <n v="0"/>
    <n v="13"/>
    <n v="0"/>
    <s v="Neonatal Death"/>
    <s v="LGH Mangalore"/>
    <s v="LGH Mangalore"/>
    <n v="1100"/>
    <x v="0"/>
    <x v="0"/>
    <x v="1"/>
    <x v="1"/>
    <x v="0"/>
    <s v="NO"/>
    <s v="NO"/>
    <s v="NO"/>
    <s v="NO"/>
    <s v="NO"/>
    <s v="NO"/>
    <s v="NO"/>
    <s v="NO"/>
    <s v="NO"/>
    <s v="NO"/>
    <s v="NO"/>
    <s v="NO"/>
    <s v="NO"/>
    <s v="NO"/>
    <s v="NO"/>
    <s v="NO"/>
    <s v="NO"/>
    <s v="NO"/>
    <s v="NO"/>
    <s v="NO"/>
    <s v="NO"/>
    <s v="YES"/>
    <s v="Potters Sequence"/>
    <x v="0"/>
  </r>
  <r>
    <x v="0"/>
    <s v="hallihole"/>
    <s v="Hindu"/>
    <s v="Madivala"/>
    <x v="0"/>
    <x v="0"/>
    <x v="1"/>
    <x v="1"/>
    <x v="0"/>
    <x v="0"/>
    <s v="NO"/>
    <x v="0"/>
    <s v="NO"/>
    <s v="NO"/>
    <s v="NO"/>
    <s v="NO"/>
    <s v="YES"/>
    <s v="YES"/>
    <s v="NO"/>
    <s v="NO"/>
    <s v="NO"/>
    <s v="NO"/>
    <s v="NO"/>
    <s v="NO"/>
    <s v="NO"/>
    <s v="NO"/>
    <s v="NO"/>
    <s v="NO"/>
    <s v="NO"/>
    <s v="LSCS"/>
    <s v="Male"/>
    <n v="3"/>
    <n v="90"/>
    <n v="1"/>
    <s v="NO"/>
    <n v="91"/>
    <s v="Infant Death"/>
    <s v="GH Kundapura"/>
    <s v="Transit"/>
    <n v="2760"/>
    <x v="1"/>
    <x v="0"/>
    <x v="0"/>
    <x v="1"/>
    <x v="0"/>
    <s v="NO"/>
    <s v="NO"/>
    <s v="NO"/>
    <s v="NO"/>
    <s v="NO"/>
    <s v="NO"/>
    <s v="NO"/>
    <s v="NO"/>
    <s v="NO"/>
    <s v="NO"/>
    <s v="NO"/>
    <s v="NO"/>
    <s v="NO"/>
    <s v="NO"/>
    <s v="NO"/>
    <s v="YES"/>
    <s v="NO"/>
    <s v="NO"/>
    <s v="NO"/>
    <s v="NO"/>
    <s v="NO"/>
    <s v="NO"/>
    <s v="NO"/>
    <x v="1"/>
  </r>
  <r>
    <x v="2"/>
    <s v="Palli"/>
    <s v="Hindu"/>
    <s v="Hindu"/>
    <x v="1"/>
    <x v="0"/>
    <x v="1"/>
    <x v="1"/>
    <x v="0"/>
    <x v="0"/>
    <s v="NO"/>
    <x v="1"/>
    <s v="NO"/>
    <s v="NO"/>
    <s v="NO"/>
    <s v="NO"/>
    <s v="NO"/>
    <s v="NO"/>
    <s v="NO"/>
    <s v="NO"/>
    <s v="NO"/>
    <s v="NO"/>
    <s v="NO"/>
    <s v="NO"/>
    <s v="NO"/>
    <s v="NO"/>
    <s v="NO"/>
    <s v="NO"/>
    <s v="NO"/>
    <s v="LSCS"/>
    <s v="Male"/>
    <n v="2"/>
    <n v="60"/>
    <n v="28"/>
    <s v="NO"/>
    <n v="88"/>
    <s v="Infant Death"/>
    <s v="MCH Udupi"/>
    <s v="Transit"/>
    <n v="3400"/>
    <x v="1"/>
    <x v="0"/>
    <x v="0"/>
    <x v="1"/>
    <x v="0"/>
    <s v="NO"/>
    <s v="NO"/>
    <s v="NO"/>
    <s v="NO"/>
    <s v="NO"/>
    <s v="NO"/>
    <s v="NO"/>
    <s v="NO"/>
    <s v="NO"/>
    <s v="NO"/>
    <s v="NO"/>
    <s v="NO"/>
    <s v="NO"/>
    <s v="NO"/>
    <s v="YES"/>
    <s v="NO"/>
    <s v="NO"/>
    <s v="NO"/>
    <s v="NO"/>
    <s v="NO"/>
    <s v="NO"/>
    <s v="NO"/>
    <s v="NO"/>
    <x v="1"/>
  </r>
  <r>
    <x v="1"/>
    <s v="Sachar"/>
    <s v="Muslim"/>
    <s v="Muslim"/>
    <x v="0"/>
    <x v="0"/>
    <x v="1"/>
    <x v="0"/>
    <x v="0"/>
    <x v="0"/>
    <s v="NO"/>
    <x v="0"/>
    <s v="NO"/>
    <s v="NO"/>
    <s v="NO"/>
    <s v="NO"/>
    <s v="NO"/>
    <s v="NO"/>
    <s v="NO"/>
    <s v="NO"/>
    <s v="NO"/>
    <s v="NO"/>
    <s v="NO"/>
    <s v="NO"/>
    <s v="NO"/>
    <s v="NO"/>
    <s v="NO"/>
    <s v="NO"/>
    <s v="NO"/>
    <s v="LSCS"/>
    <s v="Male"/>
    <n v="0"/>
    <n v="0"/>
    <n v="1"/>
    <s v="NO"/>
    <n v="1"/>
    <s v="Neonatal Death"/>
    <s v="Unity Hospital, Mangalore"/>
    <s v="Unity Hospital, Mangalore"/>
    <n v="2360"/>
    <x v="1"/>
    <x v="0"/>
    <x v="0"/>
    <x v="1"/>
    <x v="0"/>
    <s v="NO"/>
    <s v="NO"/>
    <s v="NO"/>
    <s v="NO"/>
    <s v="NO"/>
    <s v="NO"/>
    <s v="NO"/>
    <s v="NO"/>
    <s v="NO"/>
    <s v="NO"/>
    <s v="NO"/>
    <s v="NO"/>
    <s v="NO"/>
    <s v="NO"/>
    <s v="NO"/>
    <s v="NO"/>
    <s v="NO"/>
    <s v="NO"/>
    <s v="NO"/>
    <s v="NO"/>
    <s v="NO"/>
    <s v="YES"/>
    <s v="congenital diaphragmatic Hernia with pulmonary hypoplasia"/>
    <x v="0"/>
  </r>
  <r>
    <x v="2"/>
    <s v="Kukknduru"/>
    <s v="Hindu"/>
    <s v="SC"/>
    <x v="1"/>
    <x v="0"/>
    <x v="0"/>
    <x v="1"/>
    <x v="1"/>
    <x v="0"/>
    <s v="NO"/>
    <x v="0"/>
    <s v="NO"/>
    <s v="NO"/>
    <s v="NO"/>
    <s v="NO"/>
    <s v="NO"/>
    <s v="NO"/>
    <s v="NO"/>
    <s v="NO"/>
    <s v="NO"/>
    <s v="NO"/>
    <s v="NO"/>
    <s v="NO"/>
    <s v="YES"/>
    <s v="NO"/>
    <s v="NO"/>
    <s v="NO"/>
    <s v="NO"/>
    <s v="LSCS"/>
    <s v="Female"/>
    <n v="2"/>
    <n v="60"/>
    <n v="23"/>
    <s v="NO"/>
    <n v="83"/>
    <s v="Infant Death"/>
    <s v="GH Karkala"/>
    <s v="Home"/>
    <n v="1950"/>
    <x v="1"/>
    <x v="0"/>
    <x v="0"/>
    <x v="1"/>
    <x v="0"/>
    <s v="NO"/>
    <s v="YES"/>
    <s v="NO"/>
    <s v="NO"/>
    <s v="NO"/>
    <s v="NO"/>
    <s v="NO"/>
    <s v="NO"/>
    <s v="NO"/>
    <s v="NO"/>
    <s v="NO"/>
    <s v="NO"/>
    <s v="NO"/>
    <s v="NO"/>
    <s v="NO"/>
    <s v="NO"/>
    <s v="NO"/>
    <s v="NO"/>
    <s v="NO"/>
    <s v="NO"/>
    <s v="NO"/>
    <s v="NO"/>
    <s v="NO"/>
    <x v="1"/>
  </r>
  <r>
    <x v="2"/>
    <s v="Mala"/>
    <s v="Hindu"/>
    <s v="Hindu"/>
    <x v="1"/>
    <x v="1"/>
    <x v="1"/>
    <x v="0"/>
    <x v="0"/>
    <x v="0"/>
    <s v="NO"/>
    <x v="0"/>
    <s v="NO"/>
    <s v="YES"/>
    <s v="NO"/>
    <s v="NO"/>
    <s v="NO"/>
    <s v="NO"/>
    <s v="NO"/>
    <s v="NO"/>
    <s v="NO"/>
    <s v="NO"/>
    <s v="NO"/>
    <s v="NO"/>
    <s v="NO"/>
    <s v="NO"/>
    <s v="NO"/>
    <s v="NO"/>
    <s v="NO"/>
    <s v="Normal"/>
    <s v="Male"/>
    <n v="0"/>
    <n v="0"/>
    <n v="2"/>
    <s v="NO"/>
    <n v="2"/>
    <s v="Neonatal Death"/>
    <s v="Puttur, City Hospital"/>
    <s v="FMH Mangalore"/>
    <n v="1060"/>
    <x v="0"/>
    <x v="1"/>
    <x v="0"/>
    <x v="1"/>
    <x v="0"/>
    <s v="NO"/>
    <s v="NO"/>
    <s v="NO"/>
    <s v="NO"/>
    <s v="NO"/>
    <s v="NO"/>
    <s v="NO"/>
    <s v="NO"/>
    <s v="NO"/>
    <s v="NO"/>
    <s v="NO"/>
    <s v="NO"/>
    <s v="NO"/>
    <s v="NO"/>
    <s v="NO"/>
    <s v="NO"/>
    <s v="NO"/>
    <s v="NO"/>
    <s v="NO"/>
    <s v="NO"/>
    <s v="NO"/>
    <s v="NO"/>
    <s v="NO"/>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s v="Udupi"/>
    <x v="0"/>
    <x v="0"/>
    <x v="0"/>
    <x v="0"/>
    <x v="0"/>
    <x v="0"/>
    <x v="0"/>
    <s v="Pvt. Medical College"/>
    <s v="Pvt. Medical College"/>
    <x v="0"/>
    <s v="NO"/>
    <s v="NO"/>
    <s v="NO"/>
    <x v="0"/>
    <s v="NO"/>
    <s v="NO"/>
    <s v="NO"/>
    <s v="NO"/>
    <s v="YES"/>
    <s v="NO"/>
    <s v="NO"/>
    <s v="NO"/>
    <s v="NO"/>
    <s v="NO"/>
    <s v="NO"/>
    <n v="2"/>
    <n v="3"/>
    <s v="NO"/>
    <n v="63"/>
    <x v="0"/>
    <x v="0"/>
    <x v="0"/>
    <x v="0"/>
    <x v="0"/>
    <s v="NO"/>
    <s v="NO"/>
    <s v="NO"/>
    <s v="NO"/>
    <s v="NO"/>
    <s v="NO"/>
    <s v="NO"/>
    <s v="NO"/>
    <s v="NO"/>
    <s v="NO"/>
    <s v="NO"/>
    <s v="NO"/>
    <s v="NO"/>
    <s v="YES"/>
    <s v="Trisomy 2YES, VSD, Acute Failure Severe, PAH ASD 7mm"/>
  </r>
  <r>
    <s v="Udupi"/>
    <x v="1"/>
    <x v="0"/>
    <x v="0"/>
    <x v="1"/>
    <x v="1"/>
    <x v="0"/>
    <x v="0"/>
    <s v="Pvt. Hospital"/>
    <s v="Pvt. Hospital"/>
    <x v="0"/>
    <s v="NO"/>
    <s v="NO"/>
    <s v="NO"/>
    <x v="1"/>
    <s v="NO"/>
    <s v="NO"/>
    <s v="NO"/>
    <s v="NO"/>
    <s v="NO"/>
    <s v="NO"/>
    <s v="NO"/>
    <s v="NO"/>
    <s v="NO"/>
    <s v="NO"/>
    <s v="NO"/>
    <n v="2"/>
    <n v="0"/>
    <s v="NO"/>
    <n v="60"/>
    <x v="0"/>
    <x v="0"/>
    <x v="0"/>
    <x v="0"/>
    <x v="0"/>
    <s v="NO"/>
    <s v="NO"/>
    <s v="NO"/>
    <s v="NO"/>
    <s v="YES"/>
    <s v="NO"/>
    <s v="NO"/>
    <s v="NO"/>
    <s v="NO"/>
    <s v="NO"/>
    <s v="NO"/>
    <s v="NO"/>
    <s v="NO"/>
    <s v="NO"/>
    <s v="NO"/>
  </r>
  <r>
    <s v="Udupi"/>
    <x v="2"/>
    <x v="1"/>
    <x v="1"/>
    <x v="1"/>
    <x v="1"/>
    <x v="0"/>
    <x v="1"/>
    <s v="Pvt. Hospital"/>
    <s v="Pvt. Hospital"/>
    <x v="1"/>
    <s v="NO"/>
    <s v="NO"/>
    <s v="NO"/>
    <x v="1"/>
    <s v="NO"/>
    <s v="NO"/>
    <s v="NO"/>
    <s v="NO"/>
    <s v="NO"/>
    <s v="NO"/>
    <s v="NO"/>
    <s v="NO"/>
    <s v="NO"/>
    <s v="NO"/>
    <s v="NO"/>
    <n v="0"/>
    <n v="2"/>
    <s v="NO"/>
    <n v="2"/>
    <x v="0"/>
    <x v="0"/>
    <x v="0"/>
    <x v="0"/>
    <x v="0"/>
    <s v="NO"/>
    <s v="NO"/>
    <s v="NO"/>
    <s v="NO"/>
    <s v="NO"/>
    <s v="YES"/>
    <s v="NO"/>
    <s v="NO"/>
    <s v="NO"/>
    <s v="NO"/>
    <s v="NO"/>
    <s v="NO"/>
    <s v="NO"/>
    <s v="YES"/>
    <s v="Early Neonatal Sepsis, Septic shock, multiorgan dysfunction Meningitis"/>
  </r>
  <r>
    <s v="Udupi"/>
    <x v="2"/>
    <x v="1"/>
    <x v="1"/>
    <x v="1"/>
    <x v="1"/>
    <x v="1"/>
    <x v="1"/>
    <s v="Pvt. Medical College"/>
    <s v="Pvt. Medical College"/>
    <x v="0"/>
    <s v="NO"/>
    <s v="NO"/>
    <s v="NO"/>
    <x v="1"/>
    <s v="NO"/>
    <s v="NO"/>
    <s v="NO"/>
    <s v="NO"/>
    <s v="NO"/>
    <s v="NO"/>
    <s v="NO"/>
    <s v="NO"/>
    <s v="NO"/>
    <s v="NO"/>
    <s v="NO"/>
    <n v="0"/>
    <n v="4"/>
    <s v="NO"/>
    <n v="4"/>
    <x v="1"/>
    <x v="1"/>
    <x v="0"/>
    <x v="0"/>
    <x v="0"/>
    <s v="NO"/>
    <s v="NO"/>
    <s v="NO"/>
    <s v="NO"/>
    <s v="NO"/>
    <s v="NO"/>
    <s v="YES"/>
    <s v="NO"/>
    <s v="NO"/>
    <s v="NO"/>
    <s v="NO"/>
    <s v="NO"/>
    <s v="NO"/>
    <s v="YES"/>
    <s v="Birth weight 78NO gms"/>
  </r>
  <r>
    <s v="Udupi"/>
    <x v="1"/>
    <x v="1"/>
    <x v="2"/>
    <x v="0"/>
    <x v="0"/>
    <x v="1"/>
    <x v="1"/>
    <s v="Pvt. Hospital"/>
    <s v="Pvt. Medical College"/>
    <x v="1"/>
    <s v="YES"/>
    <s v="NO"/>
    <s v="NO"/>
    <x v="1"/>
    <s v="NO"/>
    <s v="NO"/>
    <s v="NO"/>
    <s v="NO"/>
    <s v="NO"/>
    <s v="NO"/>
    <s v="NO"/>
    <s v="NO"/>
    <s v="NO"/>
    <s v="NO"/>
    <s v="NO"/>
    <n v="0"/>
    <n v="0"/>
    <n v="4"/>
    <n v="0"/>
    <x v="0"/>
    <x v="0"/>
    <x v="0"/>
    <x v="0"/>
    <x v="0"/>
    <s v="NO"/>
    <s v="NO"/>
    <s v="NO"/>
    <s v="NO"/>
    <s v="NO"/>
    <s v="NO"/>
    <s v="NO"/>
    <s v="NO"/>
    <s v="YES"/>
    <s v="YES"/>
    <s v="NO"/>
    <s v="NO"/>
    <s v="NO"/>
    <s v="YES"/>
    <s v="severe persistant pulmonary hypertension"/>
  </r>
  <r>
    <s v="Udupi"/>
    <x v="3"/>
    <x v="1"/>
    <x v="3"/>
    <x v="1"/>
    <x v="1"/>
    <x v="1"/>
    <x v="1"/>
    <s v="Govt. Hospital"/>
    <s v="Pvt. Medical College"/>
    <x v="0"/>
    <s v="NO"/>
    <s v="NO"/>
    <s v="NO"/>
    <x v="1"/>
    <s v="NO"/>
    <s v="NO"/>
    <s v="NO"/>
    <s v="NO"/>
    <s v="NO"/>
    <s v="NO"/>
    <s v="NO"/>
    <s v="NO"/>
    <s v="NO"/>
    <s v="NO"/>
    <s v="NO"/>
    <n v="0"/>
    <n v="14"/>
    <s v="NO"/>
    <n v="14"/>
    <x v="0"/>
    <x v="0"/>
    <x v="0"/>
    <x v="0"/>
    <x v="0"/>
    <s v="NO"/>
    <s v="NO"/>
    <s v="NO"/>
    <s v="NO"/>
    <s v="NO"/>
    <s v="NO"/>
    <s v="NO"/>
    <s v="YES"/>
    <s v="NO"/>
    <s v="NO"/>
    <s v="NO"/>
    <s v="NO"/>
    <s v="NO"/>
    <s v="YES"/>
    <s v="Thyosinemia"/>
  </r>
  <r>
    <s v="Udupi"/>
    <x v="4"/>
    <x v="0"/>
    <x v="0"/>
    <x v="0"/>
    <x v="1"/>
    <x v="1"/>
    <x v="1"/>
    <s v="Pvt. Hospital"/>
    <s v="Govt. Hospital"/>
    <x v="0"/>
    <s v="NO"/>
    <s v="NO"/>
    <s v="NO"/>
    <x v="1"/>
    <s v="NO"/>
    <s v="NO"/>
    <s v="NO"/>
    <s v="NO"/>
    <s v="YES"/>
    <s v="NO"/>
    <s v="YES"/>
    <s v="NO"/>
    <s v="NO"/>
    <s v="NO"/>
    <s v="NO"/>
    <n v="0"/>
    <n v="9"/>
    <s v="NO"/>
    <n v="9"/>
    <x v="1"/>
    <x v="1"/>
    <x v="0"/>
    <x v="0"/>
    <x v="0"/>
    <s v="NO"/>
    <s v="NO"/>
    <s v="NO"/>
    <s v="NO"/>
    <s v="NO"/>
    <s v="NO"/>
    <s v="NO"/>
    <s v="NO"/>
    <s v="NO"/>
    <s v="NO"/>
    <s v="NO"/>
    <s v="NO"/>
    <s v="NO"/>
    <s v="NO"/>
    <s v="NO"/>
  </r>
  <r>
    <s v="Udupi"/>
    <x v="5"/>
    <x v="1"/>
    <x v="4"/>
    <x v="0"/>
    <x v="1"/>
    <x v="0"/>
    <x v="1"/>
    <s v="Govt. Hospital"/>
    <s v="Govt. Hospital"/>
    <x v="1"/>
    <s v="NO"/>
    <s v="NO"/>
    <s v="YES"/>
    <x v="1"/>
    <s v="NO"/>
    <s v="NO"/>
    <s v="NO"/>
    <s v="NO"/>
    <s v="NO"/>
    <s v="NO"/>
    <s v="NO"/>
    <s v="NO"/>
    <s v="NO"/>
    <s v="NO"/>
    <s v="NO"/>
    <n v="0"/>
    <n v="3"/>
    <s v="NO"/>
    <n v="3"/>
    <x v="1"/>
    <x v="0"/>
    <x v="1"/>
    <x v="0"/>
    <x v="0"/>
    <s v="NO"/>
    <s v="NO"/>
    <s v="NO"/>
    <s v="NO"/>
    <s v="NO"/>
    <s v="YES"/>
    <s v="NO"/>
    <s v="NO"/>
    <s v="NO"/>
    <s v="NO"/>
    <s v="NO"/>
    <s v="NO"/>
    <s v="NO"/>
    <s v="NO"/>
    <s v="NO"/>
  </r>
  <r>
    <s v="Udupi"/>
    <x v="6"/>
    <x v="1"/>
    <x v="5"/>
    <x v="1"/>
    <x v="1"/>
    <x v="1"/>
    <x v="0"/>
    <s v="Govt. Hospital"/>
    <s v="Pvt. Hospital"/>
    <x v="1"/>
    <s v="NO"/>
    <s v="NO"/>
    <s v="NO"/>
    <x v="1"/>
    <s v="NO"/>
    <s v="NO"/>
    <s v="NO"/>
    <s v="NO"/>
    <s v="NO"/>
    <s v="NO"/>
    <s v="NO"/>
    <s v="NO"/>
    <s v="NO"/>
    <s v="NO"/>
    <s v="NO"/>
    <n v="2"/>
    <n v="8"/>
    <s v="NO"/>
    <n v="68"/>
    <x v="0"/>
    <x v="0"/>
    <x v="0"/>
    <x v="0"/>
    <x v="0"/>
    <s v="YES"/>
    <s v="NO"/>
    <s v="NO"/>
    <s v="NO"/>
    <s v="NO"/>
    <s v="NO"/>
    <s v="NO"/>
    <s v="NO"/>
    <s v="NO"/>
    <s v="NO"/>
    <s v="NO"/>
    <s v="NO"/>
    <s v="NO"/>
    <s v="NO"/>
    <s v="NO"/>
  </r>
  <r>
    <s v="Udupi"/>
    <x v="2"/>
    <x v="1"/>
    <x v="6"/>
    <x v="1"/>
    <x v="0"/>
    <x v="0"/>
    <x v="1"/>
    <s v="Pvt. Hospital"/>
    <s v="Pvt. Hospital"/>
    <x v="1"/>
    <s v="NO"/>
    <s v="NO"/>
    <s v="NO"/>
    <x v="1"/>
    <s v="NO"/>
    <s v="NO"/>
    <s v="NO"/>
    <s v="NO"/>
    <s v="NO"/>
    <s v="NO"/>
    <s v="NO"/>
    <s v="NO"/>
    <s v="NO"/>
    <s v="NO"/>
    <s v="NO"/>
    <n v="0"/>
    <n v="2"/>
    <s v="NO"/>
    <n v="2"/>
    <x v="0"/>
    <x v="0"/>
    <x v="0"/>
    <x v="0"/>
    <x v="0"/>
    <s v="NO"/>
    <s v="NO"/>
    <s v="YES"/>
    <s v="NO"/>
    <s v="NO"/>
    <s v="NO"/>
    <s v="NO"/>
    <s v="NO"/>
    <s v="NO"/>
    <s v="NO"/>
    <s v="NO"/>
    <s v="NO"/>
    <s v="NO"/>
    <s v="NO"/>
    <s v="NO"/>
  </r>
  <r>
    <s v="Udupi"/>
    <x v="7"/>
    <x v="1"/>
    <x v="7"/>
    <x v="0"/>
    <x v="0"/>
    <x v="1"/>
    <x v="0"/>
    <s v="Pvt. Medical College"/>
    <s v="Pvt. Medical College"/>
    <x v="0"/>
    <s v="NO"/>
    <s v="NO"/>
    <s v="NO"/>
    <x v="1"/>
    <s v="NO"/>
    <s v="NO"/>
    <s v="NO"/>
    <s v="NO"/>
    <s v="NO"/>
    <s v="NO"/>
    <s v="NO"/>
    <s v="NO"/>
    <s v="NO"/>
    <s v="NO"/>
    <s v="YES"/>
    <n v="6"/>
    <n v="0"/>
    <s v="NO"/>
    <n v="180"/>
    <x v="0"/>
    <x v="0"/>
    <x v="0"/>
    <x v="0"/>
    <x v="0"/>
    <s v="NO"/>
    <s v="NO"/>
    <s v="NO"/>
    <s v="NO"/>
    <s v="NO"/>
    <s v="NO"/>
    <s v="NO"/>
    <s v="NO"/>
    <s v="NO"/>
    <s v="NO"/>
    <s v="NO"/>
    <s v="NO"/>
    <s v="NO"/>
    <s v="YES"/>
    <s v="Resistant Hypoglycemia, respiratory failure pulmonary Haemorrhage Bronchopneumonia with respiratory failure, sepsis Large VSD with Hyperkinetic PAH &amp;PDA in congestive cardiac."/>
  </r>
  <r>
    <s v="Udupi"/>
    <x v="8"/>
    <x v="1"/>
    <x v="1"/>
    <x v="1"/>
    <x v="1"/>
    <x v="0"/>
    <x v="0"/>
    <s v="Pvt. Medical College"/>
    <s v="Pvt. Medical College"/>
    <x v="1"/>
    <s v="NO"/>
    <s v="NO"/>
    <s v="NO"/>
    <x v="1"/>
    <s v="NO"/>
    <s v="NO"/>
    <s v="NO"/>
    <s v="NO"/>
    <s v="NO"/>
    <s v="NO"/>
    <s v="NO"/>
    <s v="NO"/>
    <s v="NO"/>
    <s v="NO"/>
    <s v="NO"/>
    <n v="3"/>
    <n v="10"/>
    <s v="NO"/>
    <n v="100"/>
    <x v="0"/>
    <x v="0"/>
    <x v="0"/>
    <x v="0"/>
    <x v="0"/>
    <s v="NO"/>
    <s v="YES"/>
    <s v="NO"/>
    <s v="NO"/>
    <s v="NO"/>
    <s v="YES"/>
    <s v="YES"/>
    <s v="NO"/>
    <s v="NO"/>
    <s v="NO"/>
    <s v="NO"/>
    <s v="NO"/>
    <s v="NO"/>
    <s v="NO"/>
    <s v="NO"/>
  </r>
  <r>
    <s v="Udupi"/>
    <x v="9"/>
    <x v="1"/>
    <x v="1"/>
    <x v="1"/>
    <x v="0"/>
    <x v="1"/>
    <x v="1"/>
    <s v="Govt. Hospital"/>
    <s v="Govt. Hospital"/>
    <x v="0"/>
    <s v="NO"/>
    <s v="NO"/>
    <s v="NO"/>
    <x v="1"/>
    <s v="NO"/>
    <s v="NO"/>
    <s v="NO"/>
    <s v="NO"/>
    <s v="NO"/>
    <s v="NO"/>
    <s v="NO"/>
    <s v="NO"/>
    <s v="NO"/>
    <s v="NO"/>
    <s v="NO"/>
    <n v="0"/>
    <n v="3"/>
    <s v="NO"/>
    <n v="3"/>
    <x v="1"/>
    <x v="1"/>
    <x v="0"/>
    <x v="0"/>
    <x v="0"/>
    <s v="NO"/>
    <s v="NO"/>
    <s v="NO"/>
    <s v="NO"/>
    <s v="NO"/>
    <s v="NO"/>
    <s v="NO"/>
    <s v="NO"/>
    <s v="NO"/>
    <s v="NO"/>
    <s v="NO"/>
    <s v="NO"/>
    <s v="NO"/>
    <s v="NO"/>
    <s v="NO"/>
  </r>
  <r>
    <s v="Udupi"/>
    <x v="1"/>
    <x v="0"/>
    <x v="0"/>
    <x v="1"/>
    <x v="1"/>
    <x v="0"/>
    <x v="0"/>
    <s v="Pvt. Medical College"/>
    <s v="Pvt. Medical College"/>
    <x v="0"/>
    <s v="NO"/>
    <s v="NO"/>
    <s v="NO"/>
    <x v="1"/>
    <s v="NO"/>
    <s v="NO"/>
    <s v="NO"/>
    <s v="NO"/>
    <s v="NO"/>
    <s v="NO"/>
    <s v="NO"/>
    <s v="NO"/>
    <s v="NO"/>
    <s v="NO"/>
    <s v="NO"/>
    <n v="2"/>
    <n v="15"/>
    <s v="NO"/>
    <n v="75"/>
    <x v="0"/>
    <x v="0"/>
    <x v="0"/>
    <x v="0"/>
    <x v="0"/>
    <s v="NO"/>
    <s v="YES"/>
    <s v="NO"/>
    <s v="NO"/>
    <s v="YES"/>
    <s v="NO"/>
    <s v="YES"/>
    <s v="NO"/>
    <s v="NO"/>
    <s v="NO"/>
    <s v="NO"/>
    <s v="NO"/>
    <s v="NO"/>
    <s v="NO"/>
    <s v="NO"/>
  </r>
  <r>
    <s v="Udupi"/>
    <x v="10"/>
    <x v="0"/>
    <x v="0"/>
    <x v="0"/>
    <x v="0"/>
    <x v="0"/>
    <x v="0"/>
    <s v="Pvt. Medical College"/>
    <s v="Transit"/>
    <x v="1"/>
    <s v="NO"/>
    <s v="NO"/>
    <s v="NO"/>
    <x v="1"/>
    <s v="NO"/>
    <s v="NO"/>
    <s v="NO"/>
    <s v="NO"/>
    <s v="NO"/>
    <s v="NO"/>
    <s v="NO"/>
    <s v="NO"/>
    <s v="NO"/>
    <s v="NO"/>
    <s v="YES"/>
    <n v="1"/>
    <n v="19"/>
    <s v="NO"/>
    <n v="49"/>
    <x v="0"/>
    <x v="0"/>
    <x v="0"/>
    <x v="0"/>
    <x v="1"/>
    <s v="NO"/>
    <s v="NO"/>
    <s v="NO"/>
    <s v="NO"/>
    <s v="NO"/>
    <s v="NO"/>
    <s v="NO"/>
    <s v="NO"/>
    <s v="NO"/>
    <s v="NO"/>
    <s v="YES"/>
    <s v="YES"/>
    <s v="NO"/>
    <s v="NO"/>
    <s v="NO"/>
  </r>
  <r>
    <s v="Udupi"/>
    <x v="11"/>
    <x v="1"/>
    <x v="8"/>
    <x v="0"/>
    <x v="1"/>
    <x v="0"/>
    <x v="0"/>
    <s v="Pvt. Medical College"/>
    <s v="Pvt. Medical College"/>
    <x v="0"/>
    <s v="NO"/>
    <s v="NO"/>
    <s v="NO"/>
    <x v="1"/>
    <s v="NO"/>
    <s v="NO"/>
    <s v="NO"/>
    <s v="NO"/>
    <s v="NO"/>
    <s v="NO"/>
    <s v="NO"/>
    <s v="YES"/>
    <s v="NO"/>
    <s v="NO"/>
    <s v="NO"/>
    <n v="5"/>
    <n v="15"/>
    <s v="NO"/>
    <n v="165"/>
    <x v="0"/>
    <x v="0"/>
    <x v="0"/>
    <x v="0"/>
    <x v="0"/>
    <s v="NO"/>
    <s v="NO"/>
    <s v="NO"/>
    <s v="NO"/>
    <s v="NO"/>
    <s v="YES"/>
    <s v="NO"/>
    <s v="NO"/>
    <s v="NO"/>
    <s v="NO"/>
    <s v="NO"/>
    <s v="NO"/>
    <s v="NO"/>
    <s v="YES"/>
    <s v="Hepatic  Encepalopathy with acute Liver Failure with severe, metabolic acidosis Klebsiella pnuemonia postive sepsis with multi  organ dysfunction failure to thrive with sescepted Glycogen storage disorder"/>
  </r>
  <r>
    <s v="Udupi"/>
    <x v="12"/>
    <x v="0"/>
    <x v="0"/>
    <x v="0"/>
    <x v="1"/>
    <x v="1"/>
    <x v="0"/>
    <s v="Pvt. Medical College"/>
    <s v="Home"/>
    <x v="1"/>
    <s v="NO"/>
    <s v="NO"/>
    <s v="NO"/>
    <x v="1"/>
    <s v="NO"/>
    <s v="NO"/>
    <s v="NO"/>
    <s v="NO"/>
    <s v="NO"/>
    <s v="NO"/>
    <s v="YES"/>
    <s v="NO"/>
    <s v="NO"/>
    <s v="NO"/>
    <s v="NO"/>
    <n v="3"/>
    <n v="21"/>
    <s v="NO"/>
    <n v="111"/>
    <x v="0"/>
    <x v="0"/>
    <x v="0"/>
    <x v="0"/>
    <x v="0"/>
    <s v="NO"/>
    <s v="NO"/>
    <s v="NO"/>
    <s v="NO"/>
    <s v="NO"/>
    <s v="NO"/>
    <s v="NO"/>
    <s v="NO"/>
    <s v="NO"/>
    <s v="NO"/>
    <s v="YES"/>
    <s v="YES"/>
    <s v="NO"/>
    <s v="NO"/>
    <s v="NO"/>
  </r>
  <r>
    <s v="Udupi"/>
    <x v="13"/>
    <x v="1"/>
    <x v="9"/>
    <x v="1"/>
    <x v="1"/>
    <x v="0"/>
    <x v="1"/>
    <s v="Govt Hopital"/>
    <s v="Govt Hopital"/>
    <x v="1"/>
    <s v="NO"/>
    <s v="NO"/>
    <s v="NO"/>
    <x v="1"/>
    <s v="NO"/>
    <s v="NO"/>
    <s v="NO"/>
    <s v="NO"/>
    <s v="NO"/>
    <s v="NO"/>
    <s v="NO"/>
    <s v="NO"/>
    <s v="NO"/>
    <s v="NO"/>
    <s v="NO"/>
    <n v="0"/>
    <n v="13"/>
    <s v="NO"/>
    <n v="13"/>
    <x v="1"/>
    <x v="0"/>
    <x v="0"/>
    <x v="0"/>
    <x v="0"/>
    <s v="NO"/>
    <s v="NO"/>
    <s v="NO"/>
    <s v="NO"/>
    <s v="NO"/>
    <s v="YES"/>
    <s v="NO"/>
    <s v="YES"/>
    <s v="NO"/>
    <s v="NO"/>
    <s v="NO"/>
    <s v="NO"/>
    <s v="NO"/>
    <s v="NO"/>
    <s v="NO"/>
  </r>
  <r>
    <s v="Udupi"/>
    <x v="14"/>
    <x v="1"/>
    <x v="10"/>
    <x v="0"/>
    <x v="0"/>
    <x v="0"/>
    <x v="1"/>
    <s v="KMC manipal"/>
    <s v="venlock"/>
    <x v="1"/>
    <s v="NO"/>
    <s v="NO"/>
    <s v="NO"/>
    <x v="1"/>
    <s v="NO"/>
    <s v="NO"/>
    <s v="NO"/>
    <s v="NO"/>
    <s v="NO"/>
    <s v="NO"/>
    <s v="YES"/>
    <s v="NO"/>
    <s v="NO"/>
    <s v="NO"/>
    <s v="NO"/>
    <n v="0"/>
    <n v="26"/>
    <s v="NO"/>
    <n v="26"/>
    <x v="1"/>
    <x v="1"/>
    <x v="0"/>
    <x v="0"/>
    <x v="0"/>
    <s v="NO"/>
    <s v="NO"/>
    <s v="NO"/>
    <s v="NO"/>
    <s v="NO"/>
    <s v="NO"/>
    <s v="NO"/>
    <s v="NO"/>
    <s v="NO"/>
    <s v="NO"/>
    <s v="NO"/>
    <s v="NO"/>
    <s v="NO"/>
    <s v="NO"/>
    <s v="NO"/>
  </r>
  <r>
    <s v="Udupi"/>
    <x v="9"/>
    <x v="0"/>
    <x v="0"/>
    <x v="1"/>
    <x v="0"/>
    <x v="0"/>
    <x v="1"/>
    <s v="Kolacko Hospital,Mangalore"/>
    <s v="SCS Hospital Mangalore"/>
    <x v="0"/>
    <s v="NO"/>
    <s v="NO"/>
    <s v="NO"/>
    <x v="1"/>
    <s v="NO"/>
    <s v="NO"/>
    <s v="NO"/>
    <s v="NO"/>
    <s v="NO"/>
    <s v="NO"/>
    <s v="NO"/>
    <s v="NO"/>
    <s v="NO"/>
    <s v="NO"/>
    <s v="NO"/>
    <n v="0"/>
    <n v="2"/>
    <s v="NO"/>
    <n v="2"/>
    <x v="1"/>
    <x v="1"/>
    <x v="0"/>
    <x v="0"/>
    <x v="0"/>
    <s v="NO"/>
    <s v="NO"/>
    <s v="NO"/>
    <s v="NO"/>
    <s v="NO"/>
    <s v="NO"/>
    <s v="YES"/>
    <s v="NO"/>
    <s v="NO"/>
    <s v="NO"/>
    <s v="NO"/>
    <s v="NO"/>
    <s v="NO"/>
    <s v="NO"/>
    <s v="NO"/>
  </r>
  <r>
    <s v="Udupi"/>
    <x v="15"/>
    <x v="1"/>
    <x v="10"/>
    <x v="1"/>
    <x v="1"/>
    <x v="1"/>
    <x v="1"/>
    <s v="LGH Mangalore"/>
    <s v="LGH Mangalore"/>
    <x v="0"/>
    <s v="NO"/>
    <s v="NO"/>
    <s v="NO"/>
    <x v="1"/>
    <s v="NO"/>
    <s v="NO"/>
    <s v="NO"/>
    <s v="NO"/>
    <s v="NO"/>
    <s v="NO"/>
    <s v="NO"/>
    <s v="NO"/>
    <s v="NO"/>
    <s v="NO"/>
    <s v="NO"/>
    <n v="0"/>
    <n v="5"/>
    <s v="NO"/>
    <n v="5"/>
    <x v="1"/>
    <x v="1"/>
    <x v="0"/>
    <x v="0"/>
    <x v="0"/>
    <s v="NO"/>
    <s v="NO"/>
    <s v="NO"/>
    <s v="NO"/>
    <s v="NO"/>
    <s v="NO"/>
    <s v="NO"/>
    <s v="NO"/>
    <s v="NO"/>
    <s v="NO"/>
    <s v="NO"/>
    <s v="NO"/>
    <s v="NO"/>
    <s v="NO"/>
    <s v="NO"/>
  </r>
  <r>
    <s v="Udupi"/>
    <x v="16"/>
    <x v="0"/>
    <x v="10"/>
    <x v="1"/>
    <x v="0"/>
    <x v="0"/>
    <x v="1"/>
    <s v="LGH Mangalore"/>
    <s v="LGH Mangalore"/>
    <x v="0"/>
    <s v="NO"/>
    <s v="NO"/>
    <s v="NO"/>
    <x v="1"/>
    <s v="NO"/>
    <s v="NO"/>
    <s v="NO"/>
    <s v="NO"/>
    <s v="NO"/>
    <s v="NO"/>
    <s v="NO"/>
    <s v="NO"/>
    <s v="NO"/>
    <s v="NO"/>
    <s v="NO"/>
    <n v="0"/>
    <n v="7"/>
    <s v="NO"/>
    <n v="7"/>
    <x v="1"/>
    <x v="1"/>
    <x v="0"/>
    <x v="0"/>
    <x v="0"/>
    <s v="NO"/>
    <s v="NO"/>
    <s v="NO"/>
    <s v="YES"/>
    <s v="NO"/>
    <s v="NO"/>
    <s v="NO"/>
    <s v="NO"/>
    <s v="NO"/>
    <s v="NO"/>
    <s v="NO"/>
    <s v="NO"/>
    <s v="NO"/>
    <s v="NO"/>
    <s v="NO"/>
  </r>
  <r>
    <s v="Udupi"/>
    <x v="17"/>
    <x v="0"/>
    <x v="0"/>
    <x v="0"/>
    <x v="0"/>
    <x v="0"/>
    <x v="1"/>
    <s v="Unity Hospital, Mangalore"/>
    <s v="Unity Hospital, Mangalore"/>
    <x v="0"/>
    <s v="NO"/>
    <s v="NO"/>
    <s v="NO"/>
    <x v="1"/>
    <s v="NO"/>
    <s v="NO"/>
    <s v="NO"/>
    <s v="NO"/>
    <s v="NO"/>
    <s v="NO"/>
    <s v="NO"/>
    <s v="NO"/>
    <s v="NO"/>
    <s v="NO"/>
    <s v="NO"/>
    <n v="0"/>
    <n v="1"/>
    <s v="NO"/>
    <n v="1"/>
    <x v="0"/>
    <x v="0"/>
    <x v="0"/>
    <x v="0"/>
    <x v="0"/>
    <s v="NO"/>
    <s v="NO"/>
    <s v="NO"/>
    <s v="NO"/>
    <s v="NO"/>
    <s v="NO"/>
    <s v="NO"/>
    <s v="NO"/>
    <s v="NO"/>
    <s v="NO"/>
    <s v="NO"/>
    <s v="NO"/>
    <s v="NO"/>
    <s v="YES"/>
    <s v="congenital diaphragmatic Hernia with pulmonary hypoplasi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Kundapura"/>
    <x v="0"/>
    <x v="0"/>
    <x v="0"/>
    <x v="0"/>
    <x v="0"/>
    <x v="0"/>
    <x v="0"/>
    <s v="Pvt. Medical College"/>
    <s v="Pvt. Medical College"/>
    <x v="0"/>
    <s v="NO"/>
    <s v="NO"/>
    <s v="NO"/>
    <x v="0"/>
    <s v="NO"/>
    <s v="NO"/>
    <s v="NO"/>
    <s v="NO"/>
    <s v="YES"/>
    <s v="NO"/>
    <s v="NO"/>
    <s v="NO"/>
    <s v="NO"/>
    <s v="NO"/>
    <s v="NO"/>
    <n v="0"/>
    <n v="13"/>
    <s v="NO"/>
    <n v="13"/>
    <x v="0"/>
    <x v="0"/>
    <x v="0"/>
    <x v="0"/>
    <x v="0"/>
    <s v="NO"/>
    <s v="NO"/>
    <s v="NO"/>
    <s v="NO"/>
    <s v="NO"/>
    <s v="NO"/>
    <s v="NO"/>
    <s v="NO"/>
    <s v="NO"/>
    <s v="NO"/>
    <s v="NO"/>
    <s v="NO"/>
    <s v="NO"/>
    <s v="NO"/>
    <s v="NO"/>
  </r>
  <r>
    <s v="Kundapura"/>
    <x v="1"/>
    <x v="0"/>
    <x v="1"/>
    <x v="0"/>
    <x v="1"/>
    <x v="0"/>
    <x v="1"/>
    <s v="Govt. Hospital"/>
    <s v="Home"/>
    <x v="1"/>
    <s v="NO"/>
    <s v="YES"/>
    <s v="NO"/>
    <x v="0"/>
    <s v="NO"/>
    <s v="NO"/>
    <s v="NO"/>
    <s v="NO"/>
    <s v="NO"/>
    <s v="NO"/>
    <s v="NO"/>
    <s v="NO"/>
    <s v="NO"/>
    <s v="NO"/>
    <s v="NO"/>
    <n v="2"/>
    <n v="8"/>
    <s v="NO"/>
    <n v="68"/>
    <x v="1"/>
    <x v="0"/>
    <x v="0"/>
    <x v="1"/>
    <x v="0"/>
    <s v="NO"/>
    <s v="NO"/>
    <s v="NO"/>
    <s v="NO"/>
    <s v="NO"/>
    <s v="NO"/>
    <s v="NO"/>
    <s v="NO"/>
    <s v="NO"/>
    <s v="NO"/>
    <s v="NO"/>
    <s v="YES"/>
    <s v="NO"/>
    <s v="NO"/>
    <s v="NO"/>
  </r>
  <r>
    <s v="Kundapura"/>
    <x v="0"/>
    <x v="0"/>
    <x v="0"/>
    <x v="0"/>
    <x v="0"/>
    <x v="1"/>
    <x v="0"/>
    <s v="Govt. Hospital"/>
    <s v="Govt. Hospital"/>
    <x v="0"/>
    <s v="NO"/>
    <s v="NO"/>
    <s v="NO"/>
    <x v="0"/>
    <s v="NO"/>
    <s v="NO"/>
    <s v="NO"/>
    <s v="NO"/>
    <s v="NO"/>
    <s v="NO"/>
    <s v="NO"/>
    <s v="NO"/>
    <s v="YES"/>
    <s v="NO"/>
    <s v="NO"/>
    <n v="0"/>
    <n v="8"/>
    <s v="NO"/>
    <n v="8"/>
    <x v="0"/>
    <x v="1"/>
    <x v="0"/>
    <x v="1"/>
    <x v="0"/>
    <s v="NO"/>
    <s v="NO"/>
    <s v="NO"/>
    <s v="NO"/>
    <s v="NO"/>
    <s v="YES"/>
    <s v="NO"/>
    <s v="NO"/>
    <s v="NO"/>
    <s v="NO"/>
    <s v="NO"/>
    <s v="NO"/>
    <s v="NO"/>
    <s v="NO"/>
    <s v="NO"/>
  </r>
  <r>
    <s v="Kundapura"/>
    <x v="2"/>
    <x v="0"/>
    <x v="0"/>
    <x v="1"/>
    <x v="0"/>
    <x v="1"/>
    <x v="0"/>
    <s v="Pvt. Medical College"/>
    <s v="Home"/>
    <x v="0"/>
    <s v="NO"/>
    <s v="NO"/>
    <s v="NO"/>
    <x v="0"/>
    <s v="NO"/>
    <s v="NO"/>
    <s v="NO"/>
    <s v="NO"/>
    <s v="NO"/>
    <s v="NO"/>
    <s v="NO"/>
    <s v="NO"/>
    <s v="NO"/>
    <s v="NO"/>
    <s v="NO"/>
    <n v="0"/>
    <n v="3"/>
    <s v="NO"/>
    <n v="3"/>
    <x v="1"/>
    <x v="0"/>
    <x v="0"/>
    <x v="0"/>
    <x v="0"/>
    <s v="NO"/>
    <s v="NO"/>
    <s v="NO"/>
    <s v="NO"/>
    <s v="NO"/>
    <s v="NO"/>
    <s v="NO"/>
    <s v="NO"/>
    <s v="NO"/>
    <s v="NO"/>
    <s v="NO"/>
    <s v="NO"/>
    <s v="NO"/>
    <s v="NO"/>
    <s v="NO"/>
  </r>
  <r>
    <s v="Kundapura"/>
    <x v="3"/>
    <x v="0"/>
    <x v="2"/>
    <x v="0"/>
    <x v="0"/>
    <x v="1"/>
    <x v="0"/>
    <s v="Pvt. Medical College"/>
    <s v="Pvt. Medical College"/>
    <x v="0"/>
    <s v="NO"/>
    <s v="NO"/>
    <s v="NO"/>
    <x v="0"/>
    <s v="NO"/>
    <s v="YES"/>
    <s v="NO"/>
    <s v="NO"/>
    <s v="YES"/>
    <s v="NO"/>
    <s v="NO"/>
    <s v="NO"/>
    <s v="NO"/>
    <s v="NO"/>
    <s v="NO"/>
    <n v="0"/>
    <n v="9"/>
    <s v="NO"/>
    <n v="9"/>
    <x v="0"/>
    <x v="1"/>
    <x v="0"/>
    <x v="1"/>
    <x v="0"/>
    <s v="NO"/>
    <s v="NO"/>
    <s v="NO"/>
    <s v="NO"/>
    <s v="NO"/>
    <s v="NO"/>
    <s v="YES"/>
    <s v="NO"/>
    <s v="NO"/>
    <s v="NO"/>
    <s v="NO"/>
    <s v="NO"/>
    <s v="NO"/>
    <s v="NO"/>
    <s v="NO"/>
  </r>
  <r>
    <s v="Kundapura"/>
    <x v="4"/>
    <x v="0"/>
    <x v="3"/>
    <x v="0"/>
    <x v="0"/>
    <x v="0"/>
    <x v="1"/>
    <s v="Pvt. Hospital"/>
    <s v="Home"/>
    <x v="1"/>
    <s v="NO"/>
    <s v="NO"/>
    <s v="YES"/>
    <x v="0"/>
    <s v="NO"/>
    <s v="NO"/>
    <s v="NO"/>
    <s v="NO"/>
    <s v="NO"/>
    <s v="NO"/>
    <s v="NO"/>
    <s v="NO"/>
    <s v="NO"/>
    <s v="NO"/>
    <s v="NO"/>
    <n v="1"/>
    <n v="14"/>
    <s v="NO"/>
    <n v="44"/>
    <x v="1"/>
    <x v="0"/>
    <x v="0"/>
    <x v="1"/>
    <x v="0"/>
    <s v="NO"/>
    <s v="NO"/>
    <s v="NO"/>
    <s v="NO"/>
    <s v="NO"/>
    <s v="NO"/>
    <s v="NO"/>
    <s v="NO"/>
    <s v="NO"/>
    <s v="NO"/>
    <s v="YES"/>
    <s v="YES"/>
    <s v="NO"/>
    <s v="YES"/>
    <s v="PM Reports confirmed"/>
  </r>
  <r>
    <s v="Kundapura"/>
    <x v="5"/>
    <x v="0"/>
    <x v="4"/>
    <x v="1"/>
    <x v="1"/>
    <x v="0"/>
    <x v="0"/>
    <s v="Govt. Hospital"/>
    <s v="Govt. Hospital"/>
    <x v="0"/>
    <s v="NO"/>
    <s v="NO"/>
    <s v="NO"/>
    <x v="0"/>
    <s v="NO"/>
    <s v="NO"/>
    <s v="NO"/>
    <s v="NO"/>
    <s v="NO"/>
    <s v="NO"/>
    <s v="NO"/>
    <s v="NO"/>
    <s v="NO"/>
    <s v="NO"/>
    <s v="NO"/>
    <n v="0"/>
    <n v="2"/>
    <s v="NO"/>
    <n v="2"/>
    <x v="0"/>
    <x v="1"/>
    <x v="0"/>
    <x v="1"/>
    <x v="0"/>
    <s v="NO"/>
    <s v="NO"/>
    <s v="NO"/>
    <s v="NO"/>
    <s v="NO"/>
    <s v="NO"/>
    <s v="NO"/>
    <s v="NO"/>
    <s v="NO"/>
    <s v="NO"/>
    <s v="NO"/>
    <s v="NO"/>
    <s v="NO"/>
    <s v="NO"/>
    <s v="NO"/>
  </r>
  <r>
    <s v="Kundapura"/>
    <x v="0"/>
    <x v="0"/>
    <x v="5"/>
    <x v="1"/>
    <x v="0"/>
    <x v="0"/>
    <x v="1"/>
    <s v="Pvt. Hospital"/>
    <s v="Home"/>
    <x v="0"/>
    <s v="NO"/>
    <s v="NO"/>
    <s v="NO"/>
    <x v="0"/>
    <s v="NO"/>
    <s v="NO"/>
    <s v="NO"/>
    <s v="NO"/>
    <s v="NO"/>
    <s v="NO"/>
    <s v="NO"/>
    <s v="NO"/>
    <s v="NO"/>
    <s v="NO"/>
    <s v="NO"/>
    <n v="6"/>
    <n v="0"/>
    <s v="NO"/>
    <n v="180"/>
    <x v="1"/>
    <x v="0"/>
    <x v="0"/>
    <x v="1"/>
    <x v="0"/>
    <s v="NO"/>
    <s v="NO"/>
    <s v="NO"/>
    <s v="NO"/>
    <s v="NO"/>
    <s v="NO"/>
    <s v="NO"/>
    <s v="NO"/>
    <s v="NO"/>
    <s v="NO"/>
    <s v="NO"/>
    <s v="NO"/>
    <s v="NO"/>
    <s v="YES"/>
    <s v="Aspiration Pnuemonia in Floppy Infant"/>
  </r>
  <r>
    <s v="Kundapura"/>
    <x v="4"/>
    <x v="1"/>
    <x v="6"/>
    <x v="0"/>
    <x v="0"/>
    <x v="0"/>
    <x v="0"/>
    <s v="Pvt. Medical College"/>
    <s v="Pvt. Medical College"/>
    <x v="0"/>
    <s v="NO"/>
    <s v="NO"/>
    <s v="NO"/>
    <x v="0"/>
    <s v="NO"/>
    <s v="NO"/>
    <s v="NO"/>
    <s v="NO"/>
    <s v="YES"/>
    <s v="NO"/>
    <s v="NO"/>
    <s v="NO"/>
    <s v="NO"/>
    <s v="NO"/>
    <s v="NO"/>
    <n v="0"/>
    <n v="25"/>
    <s v="NO"/>
    <n v="25"/>
    <x v="0"/>
    <x v="1"/>
    <x v="0"/>
    <x v="1"/>
    <x v="0"/>
    <s v="NO"/>
    <s v="NO"/>
    <s v="NO"/>
    <s v="NO"/>
    <s v="NO"/>
    <s v="NO"/>
    <s v="NO"/>
    <s v="NO"/>
    <s v="NO"/>
    <s v="NO"/>
    <s v="NO"/>
    <s v="NO"/>
    <s v="NO"/>
    <s v="NO"/>
    <s v="NO"/>
  </r>
  <r>
    <s v="Kundapura"/>
    <x v="6"/>
    <x v="0"/>
    <x v="7"/>
    <x v="0"/>
    <x v="0"/>
    <x v="0"/>
    <x v="0"/>
    <s v="Govt. Hospital"/>
    <s v="Home"/>
    <x v="0"/>
    <s v="NO"/>
    <s v="NO"/>
    <s v="NO"/>
    <x v="0"/>
    <s v="NO"/>
    <s v="NO"/>
    <s v="NO"/>
    <s v="NO"/>
    <s v="YES"/>
    <s v="NO"/>
    <s v="NO"/>
    <s v="NO"/>
    <s v="YES"/>
    <s v="NO"/>
    <s v="NO"/>
    <n v="0"/>
    <n v="12"/>
    <s v="NO"/>
    <n v="12"/>
    <x v="1"/>
    <x v="0"/>
    <x v="0"/>
    <x v="1"/>
    <x v="0"/>
    <s v="NO"/>
    <s v="NO"/>
    <s v="NO"/>
    <s v="NO"/>
    <s v="YES"/>
    <s v="NO"/>
    <s v="NO"/>
    <s v="NO"/>
    <s v="NO"/>
    <s v="NO"/>
    <s v="NO"/>
    <s v="NO"/>
    <s v="NO"/>
    <s v="NO"/>
    <s v="NO"/>
  </r>
  <r>
    <s v="Kundapura"/>
    <x v="6"/>
    <x v="0"/>
    <x v="8"/>
    <x v="1"/>
    <x v="1"/>
    <x v="0"/>
    <x v="1"/>
    <s v="Pvt. Hospital"/>
    <s v="Home"/>
    <x v="0"/>
    <s v="NO"/>
    <s v="NO"/>
    <s v="NO"/>
    <x v="0"/>
    <s v="NO"/>
    <s v="NO"/>
    <s v="NO"/>
    <s v="NO"/>
    <s v="NO"/>
    <s v="NO"/>
    <s v="NO"/>
    <s v="NO"/>
    <s v="NO"/>
    <s v="NO"/>
    <s v="NO"/>
    <n v="5"/>
    <n v="7"/>
    <s v="NO"/>
    <n v="157"/>
    <x v="1"/>
    <x v="0"/>
    <x v="0"/>
    <x v="1"/>
    <x v="0"/>
    <s v="NO"/>
    <s v="NO"/>
    <s v="NO"/>
    <s v="NO"/>
    <s v="NO"/>
    <s v="NO"/>
    <s v="NO"/>
    <s v="NO"/>
    <s v="NO"/>
    <s v="NO"/>
    <s v="NO"/>
    <s v="NO"/>
    <s v="NO"/>
    <s v="YES"/>
    <s v="Gross Hydrocephalus with Diffuse Puntate Periventricular Calcification"/>
  </r>
  <r>
    <s v="Kundapura"/>
    <x v="2"/>
    <x v="1"/>
    <x v="6"/>
    <x v="0"/>
    <x v="0"/>
    <x v="1"/>
    <x v="0"/>
    <s v="Pvt. Medical College"/>
    <s v="Pvt. Medical College"/>
    <x v="0"/>
    <s v="NO"/>
    <s v="NO"/>
    <s v="NO"/>
    <x v="0"/>
    <s v="NO"/>
    <s v="NO"/>
    <s v="NO"/>
    <s v="NO"/>
    <s v="NO"/>
    <s v="NO"/>
    <s v="YES"/>
    <s v="NO"/>
    <s v="NO"/>
    <s v="NO"/>
    <s v="NO"/>
    <n v="0"/>
    <n v="18"/>
    <s v="NO"/>
    <n v="18"/>
    <x v="0"/>
    <x v="1"/>
    <x v="0"/>
    <x v="1"/>
    <x v="0"/>
    <s v="NO"/>
    <s v="NO"/>
    <s v="NO"/>
    <s v="NO"/>
    <s v="NO"/>
    <s v="NO"/>
    <s v="YES"/>
    <s v="NO"/>
    <s v="NO"/>
    <s v="NO"/>
    <s v="NO"/>
    <s v="NO"/>
    <s v="NO"/>
    <s v="NO"/>
    <s v="NO"/>
  </r>
  <r>
    <s v="Kundapura"/>
    <x v="7"/>
    <x v="0"/>
    <x v="5"/>
    <x v="0"/>
    <x v="1"/>
    <x v="1"/>
    <x v="0"/>
    <s v="Govt. Hospital"/>
    <s v="Govt. Hospital"/>
    <x v="0"/>
    <s v="NO"/>
    <s v="NO"/>
    <s v="NO"/>
    <x v="0"/>
    <s v="NO"/>
    <s v="NO"/>
    <s v="NO"/>
    <s v="YES"/>
    <s v="NO"/>
    <s v="NO"/>
    <s v="NO"/>
    <s v="NO"/>
    <s v="NO"/>
    <s v="NO"/>
    <s v="NO"/>
    <n v="0"/>
    <n v="3"/>
    <s v="NO"/>
    <n v="3"/>
    <x v="0"/>
    <x v="1"/>
    <x v="0"/>
    <x v="1"/>
    <x v="0"/>
    <s v="NO"/>
    <s v="NO"/>
    <s v="NO"/>
    <s v="NO"/>
    <s v="NO"/>
    <s v="YES"/>
    <s v="NO"/>
    <s v="NO"/>
    <s v="NO"/>
    <s v="NO"/>
    <s v="NO"/>
    <s v="NO"/>
    <s v="NO"/>
    <s v="NO"/>
    <s v="NO"/>
  </r>
  <r>
    <s v="Kundapura"/>
    <x v="3"/>
    <x v="0"/>
    <x v="9"/>
    <x v="1"/>
    <x v="0"/>
    <x v="1"/>
    <x v="0"/>
    <s v="Pvt. Medical College"/>
    <s v="Home"/>
    <x v="0"/>
    <s v="NO"/>
    <s v="NO"/>
    <s v="NO"/>
    <x v="0"/>
    <s v="NO"/>
    <s v="NO"/>
    <s v="NO"/>
    <s v="NO"/>
    <s v="NO"/>
    <s v="NO"/>
    <s v="NO"/>
    <s v="NO"/>
    <s v="NO"/>
    <s v="NO"/>
    <s v="NO"/>
    <n v="0"/>
    <n v="25"/>
    <s v="NO"/>
    <n v="25"/>
    <x v="1"/>
    <x v="0"/>
    <x v="0"/>
    <x v="1"/>
    <x v="0"/>
    <s v="NO"/>
    <s v="NO"/>
    <s v="NO"/>
    <s v="NO"/>
    <s v="NO"/>
    <s v="NO"/>
    <s v="NO"/>
    <s v="NO"/>
    <s v="NO"/>
    <s v="NO"/>
    <s v="NO"/>
    <s v="NO"/>
    <s v="NO"/>
    <s v="YES"/>
    <s v="Open Neural tube defect, Obstructive Hydrocephalus, CraniosyNOstosis with Macrocephaly"/>
  </r>
  <r>
    <s v="Kundapura"/>
    <x v="8"/>
    <x v="0"/>
    <x v="10"/>
    <x v="0"/>
    <x v="0"/>
    <x v="0"/>
    <x v="0"/>
    <s v="Govt. Hospital"/>
    <s v="Govt. Hospital"/>
    <x v="0"/>
    <s v="NO"/>
    <s v="NO"/>
    <s v="NO"/>
    <x v="0"/>
    <s v="NO"/>
    <s v="NO"/>
    <s v="NO"/>
    <s v="NO"/>
    <s v="YES"/>
    <s v="NO"/>
    <s v="NO"/>
    <s v="NO"/>
    <s v="NO"/>
    <s v="NO"/>
    <s v="NO"/>
    <n v="0"/>
    <n v="14"/>
    <s v="NO"/>
    <n v="14"/>
    <x v="0"/>
    <x v="1"/>
    <x v="0"/>
    <x v="1"/>
    <x v="0"/>
    <s v="NO"/>
    <s v="NO"/>
    <s v="NO"/>
    <s v="NO"/>
    <s v="NO"/>
    <s v="NO"/>
    <s v="NO"/>
    <s v="NO"/>
    <s v="NO"/>
    <s v="NO"/>
    <s v="NO"/>
    <s v="NO"/>
    <s v="NO"/>
    <s v="NO"/>
    <s v="NO"/>
  </r>
  <r>
    <s v="Kundapura"/>
    <x v="7"/>
    <x v="0"/>
    <x v="11"/>
    <x v="0"/>
    <x v="0"/>
    <x v="1"/>
    <x v="0"/>
    <s v="Govt Medical College"/>
    <s v="Govt Medical College"/>
    <x v="1"/>
    <s v="NO"/>
    <s v="YES"/>
    <s v="NO"/>
    <x v="0"/>
    <s v="NO"/>
    <s v="NO"/>
    <s v="NO"/>
    <s v="NO"/>
    <s v="YES"/>
    <s v="NO"/>
    <s v="NO"/>
    <s v="NO"/>
    <s v="NO"/>
    <s v="NO"/>
    <s v="NO"/>
    <n v="0"/>
    <n v="1"/>
    <s v="NO"/>
    <n v="1"/>
    <x v="1"/>
    <x v="0"/>
    <x v="0"/>
    <x v="1"/>
    <x v="0"/>
    <s v="NO"/>
    <s v="NO"/>
    <s v="NO"/>
    <s v="NO"/>
    <s v="NO"/>
    <s v="YES"/>
    <s v="NO"/>
    <s v="NO"/>
    <s v="NO"/>
    <s v="NO"/>
    <s v="NO"/>
    <s v="NO"/>
    <s v="NO"/>
    <s v="NO"/>
    <s v="NO"/>
  </r>
  <r>
    <s v="Kundapura"/>
    <x v="5"/>
    <x v="0"/>
    <x v="3"/>
    <x v="0"/>
    <x v="0"/>
    <x v="0"/>
    <x v="1"/>
    <s v="Govt. Hospital"/>
    <s v="Pvt. Medical College"/>
    <x v="1"/>
    <s v="NO"/>
    <s v="NO"/>
    <s v="NO"/>
    <x v="0"/>
    <s v="NO"/>
    <s v="NO"/>
    <s v="NO"/>
    <s v="NO"/>
    <s v="YES"/>
    <s v="NO"/>
    <s v="NO"/>
    <s v="NO"/>
    <s v="NO"/>
    <s v="NO"/>
    <s v="NO"/>
    <n v="1"/>
    <n v="19"/>
    <s v="NO"/>
    <n v="49"/>
    <x v="1"/>
    <x v="0"/>
    <x v="0"/>
    <x v="1"/>
    <x v="0"/>
    <s v="NO"/>
    <s v="YES"/>
    <s v="NO"/>
    <s v="NO"/>
    <s v="NO"/>
    <s v="NO"/>
    <s v="NO"/>
    <s v="YES"/>
    <s v="NO"/>
    <s v="NO"/>
    <s v="NO"/>
    <s v="NO"/>
    <s v="NO"/>
    <s v="NO"/>
    <s v="NO"/>
  </r>
  <r>
    <s v="Kundapura"/>
    <x v="3"/>
    <x v="1"/>
    <x v="6"/>
    <x v="0"/>
    <x v="0"/>
    <x v="1"/>
    <x v="0"/>
    <s v="Pvt. Medical College"/>
    <s v="Pvt. Medical College"/>
    <x v="0"/>
    <s v="NO"/>
    <s v="NO"/>
    <s v="NO"/>
    <x v="0"/>
    <s v="NO"/>
    <s v="NO"/>
    <s v="NO"/>
    <s v="NO"/>
    <s v="YES"/>
    <s v="NO"/>
    <s v="NO"/>
    <s v="NO"/>
    <s v="NO"/>
    <s v="NO"/>
    <s v="NO"/>
    <n v="0"/>
    <n v="22"/>
    <s v="NO"/>
    <n v="22"/>
    <x v="1"/>
    <x v="0"/>
    <x v="0"/>
    <x v="1"/>
    <x v="0"/>
    <s v="NO"/>
    <s v="NO"/>
    <s v="NO"/>
    <s v="NO"/>
    <s v="NO"/>
    <s v="NO"/>
    <s v="NO"/>
    <s v="NO"/>
    <s v="NO"/>
    <s v="NO"/>
    <s v="NO"/>
    <s v="NO"/>
    <s v="NO"/>
    <s v="YES"/>
    <s v="Open Neural tube defect, Obstructive Hydrocephalus, CraniosyNOstosis with Macrocephaly"/>
  </r>
  <r>
    <s v="Kundapura"/>
    <x v="9"/>
    <x v="1"/>
    <x v="6"/>
    <x v="0"/>
    <x v="0"/>
    <x v="0"/>
    <x v="0"/>
    <s v="Govt. Hospital"/>
    <s v="Govt. Hospital"/>
    <x v="0"/>
    <s v="NO"/>
    <s v="NO"/>
    <s v="NO"/>
    <x v="0"/>
    <s v="NO"/>
    <s v="YES"/>
    <s v="NO"/>
    <s v="NO"/>
    <s v="NO"/>
    <s v="NO"/>
    <s v="NO"/>
    <s v="NO"/>
    <s v="NO"/>
    <s v="NO"/>
    <s v="NO"/>
    <n v="0"/>
    <n v="5"/>
    <s v="NO"/>
    <n v="5"/>
    <x v="0"/>
    <x v="0"/>
    <x v="0"/>
    <x v="0"/>
    <x v="0"/>
    <s v="NO"/>
    <s v="NO"/>
    <s v="NO"/>
    <s v="NO"/>
    <s v="NO"/>
    <s v="YES"/>
    <s v="NO"/>
    <s v="NO"/>
    <s v="NO"/>
    <s v="NO"/>
    <s v="NO"/>
    <s v="NO"/>
    <s v="NO"/>
    <s v="NO"/>
    <s v="NO"/>
  </r>
  <r>
    <s v="Kundapura"/>
    <x v="10"/>
    <x v="0"/>
    <x v="10"/>
    <x v="0"/>
    <x v="0"/>
    <x v="1"/>
    <x v="1"/>
    <s v="Govt. Hospital"/>
    <s v="Govt. Hospital"/>
    <x v="0"/>
    <s v="NO"/>
    <s v="NO"/>
    <s v="NO"/>
    <x v="0"/>
    <s v="NO"/>
    <s v="NO"/>
    <s v="NO"/>
    <s v="YES"/>
    <s v="NO"/>
    <s v="NO"/>
    <s v="NO"/>
    <s v="NO"/>
    <s v="NO"/>
    <s v="NO"/>
    <s v="NO"/>
    <n v="11"/>
    <n v="0"/>
    <s v="NO"/>
    <n v="330"/>
    <x v="1"/>
    <x v="0"/>
    <x v="0"/>
    <x v="1"/>
    <x v="0"/>
    <s v="NO"/>
    <s v="NO"/>
    <s v="NO"/>
    <s v="NO"/>
    <s v="NO"/>
    <s v="NO"/>
    <s v="NO"/>
    <s v="NO"/>
    <s v="NO"/>
    <s v="NO"/>
    <s v="NO"/>
    <s v="NO"/>
    <s v="NO"/>
    <s v="YES"/>
    <s v="Acute on Chronic Liver Disease(Bileary Atresia) Sepsis"/>
  </r>
  <r>
    <s v="Kundapura"/>
    <x v="0"/>
    <x v="0"/>
    <x v="12"/>
    <x v="0"/>
    <x v="1"/>
    <x v="1"/>
    <x v="1"/>
    <s v="Govt. Hospital"/>
    <s v="Home"/>
    <x v="0"/>
    <s v="NO"/>
    <s v="NO"/>
    <s v="YES"/>
    <x v="0"/>
    <s v="NO"/>
    <s v="NO"/>
    <s v="YES"/>
    <s v="NO"/>
    <s v="NO"/>
    <s v="NO"/>
    <s v="NO"/>
    <s v="NO"/>
    <s v="NO"/>
    <s v="NO"/>
    <s v="NO"/>
    <n v="4"/>
    <n v="2"/>
    <s v="NO"/>
    <n v="122"/>
    <x v="1"/>
    <x v="0"/>
    <x v="0"/>
    <x v="0"/>
    <x v="0"/>
    <s v="NO"/>
    <s v="NO"/>
    <s v="NO"/>
    <s v="NO"/>
    <s v="NO"/>
    <s v="NO"/>
    <s v="NO"/>
    <s v="NO"/>
    <s v="NO"/>
    <s v="NO"/>
    <s v="NO"/>
    <s v="NO"/>
    <s v="NO"/>
    <s v="YES"/>
    <s v="Primary Immunio Deficiency"/>
  </r>
  <r>
    <s v="Kundapura"/>
    <x v="2"/>
    <x v="1"/>
    <x v="6"/>
    <x v="0"/>
    <x v="1"/>
    <x v="1"/>
    <x v="1"/>
    <s v="Pvt. Hospital"/>
    <s v="Home"/>
    <x v="0"/>
    <s v="NO"/>
    <s v="NO"/>
    <s v="NO"/>
    <x v="0"/>
    <s v="NO"/>
    <s v="YES"/>
    <s v="NO"/>
    <s v="NO"/>
    <s v="NO"/>
    <s v="NO"/>
    <s v="NO"/>
    <s v="NO"/>
    <s v="NO"/>
    <s v="NO"/>
    <s v="NO"/>
    <n v="3"/>
    <n v="16"/>
    <s v="NO"/>
    <n v="106"/>
    <x v="1"/>
    <x v="0"/>
    <x v="0"/>
    <x v="1"/>
    <x v="0"/>
    <s v="NO"/>
    <s v="NO"/>
    <s v="NO"/>
    <s v="NO"/>
    <s v="NO"/>
    <s v="NO"/>
    <s v="NO"/>
    <s v="NO"/>
    <s v="NO"/>
    <s v="NO"/>
    <s v="NO"/>
    <s v="YES"/>
    <s v="NO"/>
    <s v="YES"/>
    <s v="Sudden Infant death known case of status post congenital hypertrophic pyloric steosis"/>
  </r>
  <r>
    <s v="Kundapura"/>
    <x v="11"/>
    <x v="0"/>
    <x v="10"/>
    <x v="0"/>
    <x v="0"/>
    <x v="0"/>
    <x v="0"/>
    <s v="Govt Hopital"/>
    <s v="Govt Hopital"/>
    <x v="0"/>
    <s v="NO"/>
    <s v="NO"/>
    <s v="NO"/>
    <x v="1"/>
    <s v="YES"/>
    <s v="NO"/>
    <s v="NO"/>
    <s v="NO"/>
    <s v="NO"/>
    <s v="NO"/>
    <s v="NO"/>
    <s v="NO"/>
    <s v="NO"/>
    <s v="NO"/>
    <s v="NO"/>
    <n v="0"/>
    <n v="15"/>
    <s v="NO"/>
    <n v="15"/>
    <x v="0"/>
    <x v="0"/>
    <x v="1"/>
    <x v="1"/>
    <x v="0"/>
    <s v="NO"/>
    <s v="NO"/>
    <s v="NO"/>
    <s v="NO"/>
    <s v="NO"/>
    <s v="YES"/>
    <s v="NO"/>
    <s v="NO"/>
    <s v="NO"/>
    <s v="NO"/>
    <s v="NO"/>
    <s v="NO"/>
    <s v="NO"/>
    <s v="YES"/>
    <s v="Acute Kidney infection"/>
  </r>
  <r>
    <s v="Kundapura"/>
    <x v="4"/>
    <x v="0"/>
    <x v="0"/>
    <x v="1"/>
    <x v="0"/>
    <x v="1"/>
    <x v="1"/>
    <s v="Pvt. Hospital"/>
    <s v="Transit"/>
    <x v="1"/>
    <s v="NO"/>
    <s v="NO"/>
    <s v="NO"/>
    <x v="0"/>
    <s v="NO"/>
    <s v="NO"/>
    <s v="NO"/>
    <s v="NO"/>
    <s v="NO"/>
    <s v="NO"/>
    <s v="NO"/>
    <s v="NO"/>
    <s v="NO"/>
    <s v="NO"/>
    <s v="NO"/>
    <n v="7"/>
    <n v="19"/>
    <s v="NO"/>
    <n v="229"/>
    <x v="1"/>
    <x v="0"/>
    <x v="0"/>
    <x v="1"/>
    <x v="0"/>
    <s v="NO"/>
    <s v="NO"/>
    <s v="NO"/>
    <s v="NO"/>
    <s v="NO"/>
    <s v="NO"/>
    <s v="YES"/>
    <s v="NO"/>
    <s v="NO"/>
    <s v="NO"/>
    <s v="NO"/>
    <s v="NO"/>
    <s v="NO"/>
    <s v="YES"/>
    <s v="Broncholites"/>
  </r>
  <r>
    <s v="Kundapura"/>
    <x v="12"/>
    <x v="0"/>
    <x v="9"/>
    <x v="1"/>
    <x v="0"/>
    <x v="1"/>
    <x v="1"/>
    <s v="KMC manipal"/>
    <s v="Transit"/>
    <x v="1"/>
    <s v="NO"/>
    <s v="NO"/>
    <s v="NO"/>
    <x v="0"/>
    <s v="NO"/>
    <s v="NO"/>
    <s v="NO"/>
    <s v="NO"/>
    <s v="NO"/>
    <s v="NO"/>
    <s v="NO"/>
    <s v="NO"/>
    <s v="NO"/>
    <s v="NO"/>
    <s v="NO"/>
    <n v="2"/>
    <n v="17"/>
    <s v="NO"/>
    <n v="77"/>
    <x v="1"/>
    <x v="0"/>
    <x v="0"/>
    <x v="1"/>
    <x v="0"/>
    <s v="NO"/>
    <s v="NO"/>
    <s v="NO"/>
    <s v="NO"/>
    <s v="NO"/>
    <s v="NO"/>
    <s v="NO"/>
    <s v="NO"/>
    <s v="NO"/>
    <s v="NO"/>
    <s v="YES"/>
    <s v="NO"/>
    <s v="NO"/>
    <s v="NO"/>
    <s v="NO"/>
  </r>
  <r>
    <s v="Kundapura"/>
    <x v="13"/>
    <x v="0"/>
    <x v="10"/>
    <x v="0"/>
    <x v="1"/>
    <x v="0"/>
    <x v="0"/>
    <s v="LGH Mangalore"/>
    <s v="LGH Mangalore"/>
    <x v="0"/>
    <s v="NO"/>
    <s v="NO"/>
    <s v="NO"/>
    <x v="0"/>
    <s v="NO"/>
    <s v="YES"/>
    <s v="NO"/>
    <s v="NO"/>
    <s v="NO"/>
    <s v="NO"/>
    <s v="NO"/>
    <s v="NO"/>
    <s v="NO"/>
    <s v="NO"/>
    <s v="NO"/>
    <n v="0"/>
    <n v="0"/>
    <n v="1.3"/>
    <n v="0"/>
    <x v="0"/>
    <x v="0"/>
    <x v="0"/>
    <x v="1"/>
    <x v="1"/>
    <s v="NO"/>
    <s v="NO"/>
    <s v="NO"/>
    <s v="NO"/>
    <s v="NO"/>
    <s v="NO"/>
    <s v="NO"/>
    <s v="NO"/>
    <s v="NO"/>
    <s v="NO"/>
    <s v="NO"/>
    <s v="NO"/>
    <s v="NO"/>
    <s v="NO"/>
    <s v="NO"/>
  </r>
  <r>
    <s v="Kundapura"/>
    <x v="0"/>
    <x v="0"/>
    <x v="10"/>
    <x v="1"/>
    <x v="1"/>
    <x v="1"/>
    <x v="1"/>
    <s v="GH Kundapura"/>
    <s v="Sridevi Nursing Home, Kumdapura"/>
    <x v="1"/>
    <s v="NO"/>
    <s v="NO"/>
    <s v="NO"/>
    <x v="0"/>
    <s v="NO"/>
    <s v="NO"/>
    <s v="NO"/>
    <s v="NO"/>
    <s v="NO"/>
    <s v="NO"/>
    <s v="NO"/>
    <s v="NO"/>
    <s v="NO"/>
    <s v="NO"/>
    <s v="NO"/>
    <n v="0"/>
    <n v="46"/>
    <s v="NO"/>
    <n v="46"/>
    <x v="1"/>
    <x v="0"/>
    <x v="0"/>
    <x v="1"/>
    <x v="0"/>
    <s v="NO"/>
    <s v="NO"/>
    <s v="NO"/>
    <s v="NO"/>
    <s v="NO"/>
    <s v="NO"/>
    <s v="NO"/>
    <s v="NO"/>
    <s v="NO"/>
    <s v="NO"/>
    <s v="YES"/>
    <s v="NO"/>
    <s v="NO"/>
    <s v="NO"/>
    <s v="NO"/>
  </r>
  <r>
    <s v="Kundapura"/>
    <x v="11"/>
    <x v="0"/>
    <x v="13"/>
    <x v="0"/>
    <x v="0"/>
    <x v="1"/>
    <x v="0"/>
    <s v="LGH Mangalore"/>
    <s v="LGH Mangalore"/>
    <x v="0"/>
    <s v="NO"/>
    <s v="NO"/>
    <s v="NO"/>
    <x v="0"/>
    <s v="NO"/>
    <s v="NO"/>
    <s v="NO"/>
    <s v="NO"/>
    <s v="NO"/>
    <s v="NO"/>
    <s v="NO"/>
    <s v="NO"/>
    <s v="NO"/>
    <s v="NO"/>
    <s v="YES"/>
    <n v="0"/>
    <n v="3"/>
    <s v="NO"/>
    <n v="3"/>
    <x v="0"/>
    <x v="0"/>
    <x v="1"/>
    <x v="1"/>
    <x v="0"/>
    <s v="NO"/>
    <s v="NO"/>
    <s v="NO"/>
    <s v="NO"/>
    <s v="NO"/>
    <s v="NO"/>
    <s v="NO"/>
    <s v="NO"/>
    <s v="NO"/>
    <s v="NO"/>
    <s v="NO"/>
    <s v="NO"/>
    <s v="NO"/>
    <s v="NO"/>
    <s v="NO"/>
  </r>
  <r>
    <s v="Kundapura"/>
    <x v="11"/>
    <x v="0"/>
    <x v="13"/>
    <x v="0"/>
    <x v="0"/>
    <x v="1"/>
    <x v="0"/>
    <s v="LGH Mangalore"/>
    <s v="LGH Mangalore"/>
    <x v="0"/>
    <s v="NO"/>
    <s v="NO"/>
    <s v="NO"/>
    <x v="0"/>
    <s v="NO"/>
    <s v="NO"/>
    <s v="NO"/>
    <s v="NO"/>
    <s v="NO"/>
    <s v="NO"/>
    <s v="NO"/>
    <s v="NO"/>
    <s v="NO"/>
    <s v="NO"/>
    <s v="YES"/>
    <n v="0"/>
    <n v="5"/>
    <s v="NO"/>
    <n v="5"/>
    <x v="0"/>
    <x v="0"/>
    <x v="1"/>
    <x v="1"/>
    <x v="0"/>
    <s v="NO"/>
    <s v="NO"/>
    <s v="NO"/>
    <s v="NO"/>
    <s v="NO"/>
    <s v="NO"/>
    <s v="NO"/>
    <s v="NO"/>
    <s v="NO"/>
    <s v="NO"/>
    <s v="NO"/>
    <s v="NO"/>
    <s v="NO"/>
    <s v="NO"/>
    <s v="NO"/>
  </r>
  <r>
    <s v="Kundapura"/>
    <x v="5"/>
    <x v="0"/>
    <x v="10"/>
    <x v="1"/>
    <x v="0"/>
    <x v="0"/>
    <x v="0"/>
    <s v="LGH Mangalore"/>
    <s v="LGH Mangalore"/>
    <x v="0"/>
    <s v="NO"/>
    <s v="NO"/>
    <s v="NO"/>
    <x v="0"/>
    <s v="NO"/>
    <s v="NO"/>
    <s v="NO"/>
    <s v="YES"/>
    <s v="NO"/>
    <s v="NO"/>
    <s v="NO"/>
    <s v="NO"/>
    <s v="NO"/>
    <s v="NO"/>
    <s v="NO"/>
    <n v="0"/>
    <n v="0"/>
    <n v="13"/>
    <n v="0"/>
    <x v="0"/>
    <x v="0"/>
    <x v="1"/>
    <x v="1"/>
    <x v="0"/>
    <s v="NO"/>
    <s v="NO"/>
    <s v="NO"/>
    <s v="NO"/>
    <s v="NO"/>
    <s v="NO"/>
    <s v="NO"/>
    <s v="NO"/>
    <s v="NO"/>
    <s v="NO"/>
    <s v="NO"/>
    <s v="NO"/>
    <s v="NO"/>
    <s v="YES"/>
    <s v="Potters Sequence"/>
  </r>
  <r>
    <s v="Kundapura"/>
    <x v="14"/>
    <x v="0"/>
    <x v="14"/>
    <x v="0"/>
    <x v="0"/>
    <x v="1"/>
    <x v="1"/>
    <s v="GH Kundapura"/>
    <s v="Transit"/>
    <x v="1"/>
    <s v="NO"/>
    <s v="NO"/>
    <s v="NO"/>
    <x v="0"/>
    <s v="NO"/>
    <s v="NO"/>
    <s v="NO"/>
    <s v="NO"/>
    <s v="YES"/>
    <s v="YES"/>
    <s v="NO"/>
    <s v="NO"/>
    <s v="NO"/>
    <s v="NO"/>
    <s v="NO"/>
    <n v="3"/>
    <n v="1"/>
    <s v="NO"/>
    <n v="91"/>
    <x v="1"/>
    <x v="0"/>
    <x v="0"/>
    <x v="1"/>
    <x v="0"/>
    <s v="NO"/>
    <s v="NO"/>
    <s v="NO"/>
    <s v="NO"/>
    <s v="NO"/>
    <s v="NO"/>
    <s v="NO"/>
    <s v="NO"/>
    <s v="NO"/>
    <s v="NO"/>
    <s v="NO"/>
    <s v="YES"/>
    <s v="NO"/>
    <s v="NO"/>
    <s v="NO"/>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s v="Karkala"/>
    <x v="0"/>
    <x v="0"/>
    <x v="0"/>
    <x v="0"/>
    <x v="0"/>
    <x v="0"/>
    <x v="0"/>
    <s v="Govt. Hospital"/>
    <s v="Govt. Hospital"/>
    <x v="0"/>
    <s v="NO"/>
    <s v="NO"/>
    <s v="NO"/>
    <x v="0"/>
    <s v="NO"/>
    <s v="NO"/>
    <s v="NO"/>
    <s v="NO"/>
    <s v="YES"/>
    <s v="NO"/>
    <s v="NO"/>
    <s v="NO"/>
    <s v="NO"/>
    <s v="NO"/>
    <s v="NO"/>
    <n v="0"/>
    <n v="3"/>
    <s v="NO"/>
    <n v="3"/>
    <x v="0"/>
    <x v="0"/>
    <x v="0"/>
    <x v="0"/>
    <x v="0"/>
    <s v="NO"/>
    <s v="NO"/>
    <s v="NO"/>
    <s v="NO"/>
    <s v="NO"/>
    <s v="NO"/>
    <s v="NO"/>
    <s v="NO"/>
    <s v="NO"/>
    <s v="NO"/>
    <s v="NO"/>
    <s v="NO"/>
    <s v="NO"/>
    <s v="YES"/>
    <s v="Multiple Fetal ANOmalies Absent Cavum Pellucudum With Septo-Optic Dysplasia? Severe Persistent Pulmonary Hypertension"/>
  </r>
  <r>
    <s v="Karkala"/>
    <x v="1"/>
    <x v="1"/>
    <x v="1"/>
    <x v="0"/>
    <x v="0"/>
    <x v="1"/>
    <x v="0"/>
    <s v="Pvt. Medical College"/>
    <s v="Pvt. Medical College"/>
    <x v="0"/>
    <s v="NO"/>
    <s v="NO"/>
    <s v="NO"/>
    <x v="0"/>
    <s v="NO"/>
    <s v="NO"/>
    <s v="NO"/>
    <s v="NO"/>
    <s v="NO"/>
    <s v="NO"/>
    <s v="NO"/>
    <s v="NO"/>
    <s v="NO"/>
    <s v="NO"/>
    <s v="YES"/>
    <n v="0"/>
    <n v="16"/>
    <s v="NO"/>
    <n v="16"/>
    <x v="1"/>
    <x v="0"/>
    <x v="0"/>
    <x v="0"/>
    <x v="0"/>
    <s v="NO"/>
    <s v="NO"/>
    <s v="NO"/>
    <s v="NO"/>
    <s v="NO"/>
    <s v="NO"/>
    <s v="NO"/>
    <s v="NO"/>
    <s v="NO"/>
    <s v="NO"/>
    <s v="NO"/>
    <s v="NO"/>
    <s v="YES"/>
    <s v="YES"/>
    <s v="Multi Organ Dysfuction syndrome septic shock bilateral grade 3 intra ventricular hemorrhage with moderate Hydrocephalus neonatal seizures acute kidney injury stage YES anemia of prematurity moderate respiratory distress syndrome very preterm very low birth weight."/>
  </r>
  <r>
    <s v="Karkala"/>
    <x v="1"/>
    <x v="1"/>
    <x v="1"/>
    <x v="0"/>
    <x v="0"/>
    <x v="1"/>
    <x v="0"/>
    <s v="Pvt. Medical College"/>
    <s v="Pvt. Medical College"/>
    <x v="0"/>
    <s v="NO"/>
    <s v="NO"/>
    <s v="NO"/>
    <x v="0"/>
    <s v="NO"/>
    <s v="NO"/>
    <s v="NO"/>
    <s v="NO"/>
    <s v="NO"/>
    <s v="NO"/>
    <s v="NO"/>
    <s v="NO"/>
    <s v="NO"/>
    <s v="NO"/>
    <s v="YES"/>
    <n v="0"/>
    <n v="16"/>
    <s v="NO"/>
    <n v="16"/>
    <x v="1"/>
    <x v="0"/>
    <x v="0"/>
    <x v="0"/>
    <x v="0"/>
    <s v="NO"/>
    <s v="NO"/>
    <s v="NO"/>
    <s v="NO"/>
    <s v="NO"/>
    <s v="NO"/>
    <s v="NO"/>
    <s v="NO"/>
    <s v="NO"/>
    <s v="NO"/>
    <s v="NO"/>
    <s v="NO"/>
    <s v="YES"/>
    <s v="YES"/>
    <s v="Multi Organ Dysfuction syndrome septic shock bilateral grade 3 intra ventricular hemorrhage with moderate Hydrocephalus neonatal seizures acute kidney injury stage YES anemia of prematurity moderate respiratory distress syndrome very preterm very low birth weight."/>
  </r>
  <r>
    <s v="Karkala"/>
    <x v="0"/>
    <x v="1"/>
    <x v="2"/>
    <x v="1"/>
    <x v="0"/>
    <x v="0"/>
    <x v="1"/>
    <s v="Govt. Hospital"/>
    <s v="Pvt. Medical College"/>
    <x v="0"/>
    <s v="NO"/>
    <s v="NO"/>
    <s v="NO"/>
    <x v="0"/>
    <s v="NO"/>
    <s v="NO"/>
    <s v="NO"/>
    <s v="NO"/>
    <s v="NO"/>
    <s v="NO"/>
    <s v="NO"/>
    <s v="NO"/>
    <s v="NO"/>
    <s v="NO"/>
    <s v="NO"/>
    <n v="1"/>
    <n v="15"/>
    <s v="NO"/>
    <n v="45"/>
    <x v="0"/>
    <x v="0"/>
    <x v="0"/>
    <x v="0"/>
    <x v="0"/>
    <s v="NO"/>
    <s v="NO"/>
    <s v="NO"/>
    <s v="NO"/>
    <s v="NO"/>
    <s v="NO"/>
    <s v="NO"/>
    <s v="NO"/>
    <s v="NO"/>
    <s v="NO"/>
    <s v="NO"/>
    <s v="NO"/>
    <s v="NO"/>
    <s v="YES"/>
    <s v="Refractory Decompensated Shock Biventricular Failure severe PAH"/>
  </r>
  <r>
    <s v="Karkala"/>
    <x v="2"/>
    <x v="2"/>
    <x v="3"/>
    <x v="0"/>
    <x v="1"/>
    <x v="1"/>
    <x v="0"/>
    <s v="pvt Hospital"/>
    <s v="Home"/>
    <x v="0"/>
    <s v="NO"/>
    <s v="NO"/>
    <s v="NO"/>
    <x v="0"/>
    <s v="NO"/>
    <s v="NO"/>
    <s v="NO"/>
    <s v="NO"/>
    <s v="NO"/>
    <s v="NO"/>
    <s v="YES"/>
    <s v="YES"/>
    <s v="NO"/>
    <s v="NO"/>
    <s v="NO"/>
    <n v="0"/>
    <n v="5"/>
    <n v="15"/>
    <n v="5"/>
    <x v="0"/>
    <x v="0"/>
    <x v="0"/>
    <x v="0"/>
    <x v="0"/>
    <s v="NO"/>
    <s v="NO"/>
    <s v="NO"/>
    <s v="NO"/>
    <s v="NO"/>
    <s v="NO"/>
    <s v="NO"/>
    <s v="NO"/>
    <s v="NO"/>
    <s v="NO"/>
    <s v="NO"/>
    <s v="NO"/>
    <s v="NO"/>
    <s v="YES"/>
    <s v="Spinal Muscular Atrophy lower respiratory infection"/>
  </r>
  <r>
    <s v="Karkala"/>
    <x v="3"/>
    <x v="1"/>
    <x v="2"/>
    <x v="0"/>
    <x v="1"/>
    <x v="1"/>
    <x v="0"/>
    <s v="Govt. Hospital"/>
    <s v="Govt. Hospital"/>
    <x v="1"/>
    <s v="NO"/>
    <s v="NO"/>
    <s v="NO"/>
    <x v="0"/>
    <s v="NO"/>
    <s v="NO"/>
    <s v="NO"/>
    <s v="NO"/>
    <s v="NO"/>
    <s v="NO"/>
    <s v="NO"/>
    <s v="NO"/>
    <s v="NO"/>
    <s v="NO"/>
    <s v="YES"/>
    <n v="0"/>
    <n v="7"/>
    <s v="NO"/>
    <n v="7"/>
    <x v="1"/>
    <x v="0"/>
    <x v="0"/>
    <x v="1"/>
    <x v="0"/>
    <s v="NO"/>
    <s v="NO"/>
    <s v="NO"/>
    <s v="NO"/>
    <s v="NO"/>
    <s v="NO"/>
    <s v="NO"/>
    <s v="NO"/>
    <s v="NO"/>
    <s v="NO"/>
    <s v="NO"/>
    <s v="NO"/>
    <s v="NO"/>
    <s v="NO"/>
    <s v="NO"/>
  </r>
  <r>
    <s v="Karkala"/>
    <x v="4"/>
    <x v="1"/>
    <x v="0"/>
    <x v="0"/>
    <x v="0"/>
    <x v="1"/>
    <x v="0"/>
    <s v="Govt. Hospital"/>
    <s v="Govt. Hospital"/>
    <x v="0"/>
    <s v="NO"/>
    <s v="NO"/>
    <s v="NO"/>
    <x v="0"/>
    <s v="NO"/>
    <s v="YES"/>
    <s v="NO"/>
    <s v="NO"/>
    <s v="NO"/>
    <s v="NO"/>
    <s v="YES"/>
    <s v="YES"/>
    <s v="NO"/>
    <s v="YES"/>
    <s v="NO"/>
    <n v="0"/>
    <n v="1"/>
    <s v="NO"/>
    <n v="1"/>
    <x v="1"/>
    <x v="0"/>
    <x v="1"/>
    <x v="0"/>
    <x v="0"/>
    <s v="NO"/>
    <s v="NO"/>
    <s v="NO"/>
    <s v="NO"/>
    <s v="NO"/>
    <s v="NO"/>
    <s v="YES"/>
    <s v="NO"/>
    <s v="NO"/>
    <s v="NO"/>
    <s v="NO"/>
    <s v="NO"/>
    <s v="NO"/>
    <s v="YES"/>
    <s v="Skeletal Dysplasia"/>
  </r>
  <r>
    <s v="Karkala"/>
    <x v="1"/>
    <x v="1"/>
    <x v="4"/>
    <x v="0"/>
    <x v="0"/>
    <x v="1"/>
    <x v="0"/>
    <s v="Pvt. Medical College"/>
    <s v="Pvt. Medical College"/>
    <x v="0"/>
    <s v="NO"/>
    <s v="NO"/>
    <s v="NO"/>
    <x v="0"/>
    <s v="NO"/>
    <s v="NO"/>
    <s v="NO"/>
    <s v="NO"/>
    <s v="NO"/>
    <s v="NO"/>
    <s v="NO"/>
    <s v="NO"/>
    <s v="NO"/>
    <s v="NO"/>
    <s v="YES"/>
    <n v="0"/>
    <n v="1"/>
    <s v="NO"/>
    <n v="1"/>
    <x v="1"/>
    <x v="1"/>
    <x v="0"/>
    <x v="0"/>
    <x v="0"/>
    <s v="NO"/>
    <s v="NO"/>
    <s v="NO"/>
    <s v="NO"/>
    <s v="NO"/>
    <s v="NO"/>
    <s v="YES"/>
    <s v="NO"/>
    <s v="NO"/>
    <s v="NO"/>
    <s v="NO"/>
    <s v="NO"/>
    <s v="NO"/>
    <s v="NO"/>
    <s v="NO"/>
  </r>
  <r>
    <s v="Karkala"/>
    <x v="5"/>
    <x v="1"/>
    <x v="5"/>
    <x v="0"/>
    <x v="1"/>
    <x v="0"/>
    <x v="0"/>
    <s v="Govt. Hospital"/>
    <s v="Govt. Hospital"/>
    <x v="0"/>
    <s v="NO"/>
    <s v="NO"/>
    <s v="NO"/>
    <x v="0"/>
    <s v="NO"/>
    <s v="NO"/>
    <s v="NO"/>
    <s v="NO"/>
    <s v="NO"/>
    <s v="NO"/>
    <s v="NO"/>
    <s v="NO"/>
    <s v="NO"/>
    <s v="NO"/>
    <s v="YES"/>
    <n v="0"/>
    <n v="4"/>
    <s v="NO"/>
    <n v="4"/>
    <x v="1"/>
    <x v="1"/>
    <x v="0"/>
    <x v="0"/>
    <x v="0"/>
    <s v="NO"/>
    <s v="NO"/>
    <s v="NO"/>
    <s v="NO"/>
    <s v="NO"/>
    <s v="NO"/>
    <s v="NO"/>
    <s v="NO"/>
    <s v="NO"/>
    <s v="NO"/>
    <s v="NO"/>
    <s v="NO"/>
    <s v="NO"/>
    <s v="NO"/>
    <s v="NO"/>
  </r>
  <r>
    <s v="Karkala"/>
    <x v="6"/>
    <x v="1"/>
    <x v="2"/>
    <x v="0"/>
    <x v="1"/>
    <x v="1"/>
    <x v="1"/>
    <s v="Govt. Hospital"/>
    <s v="Transit"/>
    <x v="0"/>
    <s v="NO"/>
    <s v="NO"/>
    <s v="NO"/>
    <x v="0"/>
    <s v="NO"/>
    <s v="NO"/>
    <s v="NO"/>
    <s v="YES"/>
    <s v="NO"/>
    <s v="NO"/>
    <s v="NO"/>
    <s v="NO"/>
    <s v="NO"/>
    <s v="NO"/>
    <s v="NO"/>
    <n v="2"/>
    <n v="10"/>
    <s v="NO"/>
    <n v="70"/>
    <x v="0"/>
    <x v="0"/>
    <x v="0"/>
    <x v="0"/>
    <x v="0"/>
    <s v="NO"/>
    <s v="NO"/>
    <s v="NO"/>
    <s v="NO"/>
    <s v="NO"/>
    <s v="NO"/>
    <s v="NO"/>
    <s v="NO"/>
    <s v="NO"/>
    <s v="NO"/>
    <s v="NO"/>
    <s v="NO"/>
    <s v="NO"/>
    <s v="YES"/>
    <s v="Acute Broncholities secondary to Hypotonic Syndrome"/>
  </r>
  <r>
    <s v="Karkala"/>
    <x v="7"/>
    <x v="1"/>
    <x v="6"/>
    <x v="1"/>
    <x v="1"/>
    <x v="0"/>
    <x v="1"/>
    <s v="Pvt. Medical College"/>
    <s v="Pvt. Medical College"/>
    <x v="0"/>
    <s v="NO"/>
    <s v="NO"/>
    <s v="NO"/>
    <x v="0"/>
    <s v="NO"/>
    <s v="NO"/>
    <s v="NO"/>
    <s v="NO"/>
    <s v="NO"/>
    <s v="NO"/>
    <s v="NO"/>
    <s v="NO"/>
    <s v="NO"/>
    <s v="NO"/>
    <s v="NO"/>
    <n v="1"/>
    <n v="12"/>
    <s v="NO"/>
    <n v="42"/>
    <x v="0"/>
    <x v="0"/>
    <x v="0"/>
    <x v="0"/>
    <x v="0"/>
    <s v="NO"/>
    <s v="NO"/>
    <s v="NO"/>
    <s v="NO"/>
    <s v="NO"/>
    <s v="YES"/>
    <s v="YES"/>
    <s v="NO"/>
    <s v="NO"/>
    <s v="NO"/>
    <s v="NO"/>
    <s v="NO"/>
    <s v="NO"/>
    <s v="YES"/>
    <s v="Duodenal Obstruction status post exploratory Laparotomy with Ladds procedure with DuodeNOstomy downs syndrome"/>
  </r>
  <r>
    <s v="Karkala"/>
    <x v="5"/>
    <x v="1"/>
    <x v="5"/>
    <x v="0"/>
    <x v="1"/>
    <x v="0"/>
    <x v="0"/>
    <s v="Govt. Hospital"/>
    <s v="Govt. Hospital"/>
    <x v="0"/>
    <s v="NO"/>
    <s v="NO"/>
    <s v="NO"/>
    <x v="0"/>
    <s v="NO"/>
    <s v="YES"/>
    <s v="NO"/>
    <s v="NO"/>
    <s v="NO"/>
    <s v="NO"/>
    <s v="NO"/>
    <s v="NO"/>
    <s v="NO"/>
    <s v="NO"/>
    <s v="YES"/>
    <n v="0"/>
    <n v="11"/>
    <s v="NO"/>
    <n v="11"/>
    <x v="1"/>
    <x v="1"/>
    <x v="0"/>
    <x v="0"/>
    <x v="0"/>
    <s v="NO"/>
    <s v="NO"/>
    <s v="NO"/>
    <s v="NO"/>
    <s v="NO"/>
    <s v="NO"/>
    <s v="NO"/>
    <s v="NO"/>
    <s v="NO"/>
    <s v="NO"/>
    <s v="NO"/>
    <s v="NO"/>
    <s v="NO"/>
    <s v="NO"/>
    <s v="NO"/>
  </r>
  <r>
    <s v="Karkala"/>
    <x v="5"/>
    <x v="1"/>
    <x v="2"/>
    <x v="1"/>
    <x v="0"/>
    <x v="0"/>
    <x v="0"/>
    <s v="Govt. Hospital"/>
    <s v="Govt. Hospital"/>
    <x v="1"/>
    <s v="NO"/>
    <s v="NO"/>
    <s v="NO"/>
    <x v="0"/>
    <s v="NO"/>
    <s v="NO"/>
    <s v="NO"/>
    <s v="NO"/>
    <s v="NO"/>
    <s v="NO"/>
    <s v="NO"/>
    <s v="NO"/>
    <s v="NO"/>
    <s v="NO"/>
    <s v="NO"/>
    <n v="0"/>
    <n v="10"/>
    <s v="NO"/>
    <n v="10"/>
    <x v="1"/>
    <x v="0"/>
    <x v="0"/>
    <x v="0"/>
    <x v="0"/>
    <s v="NO"/>
    <s v="NO"/>
    <s v="NO"/>
    <s v="NO"/>
    <s v="NO"/>
    <s v="YES"/>
    <s v="NO"/>
    <s v="YES"/>
    <s v="NO"/>
    <s v="NO"/>
    <s v="NO"/>
    <s v="NO"/>
    <s v="NO"/>
    <s v="NO"/>
    <s v="NO"/>
  </r>
  <r>
    <s v="Karkala"/>
    <x v="8"/>
    <x v="1"/>
    <x v="1"/>
    <x v="1"/>
    <x v="0"/>
    <x v="1"/>
    <x v="0"/>
    <s v="Govt. Hospital"/>
    <s v="Govt. Hospital"/>
    <x v="0"/>
    <s v="NO"/>
    <s v="NO"/>
    <s v="NO"/>
    <x v="0"/>
    <s v="NO"/>
    <s v="NO"/>
    <s v="NO"/>
    <s v="NO"/>
    <s v="NO"/>
    <s v="NO"/>
    <s v="NO"/>
    <s v="NO"/>
    <s v="NO"/>
    <s v="NO"/>
    <s v="NO"/>
    <n v="0"/>
    <n v="4"/>
    <s v="NO"/>
    <n v="4"/>
    <x v="1"/>
    <x v="1"/>
    <x v="0"/>
    <x v="0"/>
    <x v="0"/>
    <s v="NO"/>
    <s v="NO"/>
    <s v="NO"/>
    <s v="NO"/>
    <s v="NO"/>
    <s v="NO"/>
    <s v="NO"/>
    <s v="NO"/>
    <s v="NO"/>
    <s v="NO"/>
    <s v="NO"/>
    <s v="NO"/>
    <s v="NO"/>
    <s v="NO"/>
    <s v="NO"/>
  </r>
  <r>
    <s v="Karkala"/>
    <x v="1"/>
    <x v="1"/>
    <x v="4"/>
    <x v="0"/>
    <x v="0"/>
    <x v="1"/>
    <x v="1"/>
    <s v="Pvt. Medical College"/>
    <s v="Pvt. Medical College"/>
    <x v="0"/>
    <s v="NO"/>
    <s v="NO"/>
    <s v="NO"/>
    <x v="0"/>
    <s v="NO"/>
    <s v="NO"/>
    <s v="NO"/>
    <s v="NO"/>
    <s v="NO"/>
    <s v="NO"/>
    <s v="NO"/>
    <s v="NO"/>
    <s v="NO"/>
    <s v="NO"/>
    <s v="YES"/>
    <n v="4"/>
    <n v="0"/>
    <s v="NO"/>
    <n v="120"/>
    <x v="1"/>
    <x v="1"/>
    <x v="0"/>
    <x v="0"/>
    <x v="0"/>
    <s v="NO"/>
    <s v="NO"/>
    <s v="NO"/>
    <s v="NO"/>
    <s v="NO"/>
    <s v="NO"/>
    <s v="NO"/>
    <s v="NO"/>
    <s v="NO"/>
    <s v="NO"/>
    <s v="NO"/>
    <s v="NO"/>
    <s v="NO"/>
    <s v="NO"/>
    <s v="NO"/>
  </r>
  <r>
    <s v="Karkala"/>
    <x v="9"/>
    <x v="1"/>
    <x v="2"/>
    <x v="1"/>
    <x v="0"/>
    <x v="1"/>
    <x v="0"/>
    <s v="Govt. Hospital"/>
    <s v="Govt. Hospital"/>
    <x v="0"/>
    <s v="NO"/>
    <s v="NO"/>
    <s v="NO"/>
    <x v="0"/>
    <s v="NO"/>
    <s v="NO"/>
    <s v="NO"/>
    <s v="NO"/>
    <s v="NO"/>
    <s v="NO"/>
    <s v="NO"/>
    <s v="NO"/>
    <s v="NO"/>
    <s v="NO"/>
    <s v="NO"/>
    <n v="0"/>
    <n v="4"/>
    <s v="NO"/>
    <n v="4"/>
    <x v="1"/>
    <x v="0"/>
    <x v="0"/>
    <x v="1"/>
    <x v="0"/>
    <s v="NO"/>
    <s v="NO"/>
    <s v="NO"/>
    <s v="NO"/>
    <s v="NO"/>
    <s v="NO"/>
    <s v="NO"/>
    <s v="NO"/>
    <s v="NO"/>
    <s v="NO"/>
    <s v="NO"/>
    <s v="NO"/>
    <s v="NO"/>
    <s v="NO"/>
    <s v="NO"/>
  </r>
  <r>
    <s v="Karkala"/>
    <x v="9"/>
    <x v="1"/>
    <x v="7"/>
    <x v="1"/>
    <x v="0"/>
    <x v="0"/>
    <x v="1"/>
    <s v="MCH Udupi"/>
    <s v="Transit"/>
    <x v="1"/>
    <s v="NO"/>
    <s v="NO"/>
    <s v="NO"/>
    <x v="1"/>
    <s v="NO"/>
    <s v="NO"/>
    <s v="NO"/>
    <s v="NO"/>
    <s v="NO"/>
    <s v="NO"/>
    <s v="NO"/>
    <s v="NO"/>
    <s v="NO"/>
    <s v="NO"/>
    <s v="NO"/>
    <n v="2"/>
    <n v="28"/>
    <s v="NO"/>
    <n v="88"/>
    <x v="0"/>
    <x v="0"/>
    <x v="0"/>
    <x v="0"/>
    <x v="0"/>
    <s v="NO"/>
    <s v="NO"/>
    <s v="NO"/>
    <s v="NO"/>
    <s v="NO"/>
    <s v="NO"/>
    <s v="NO"/>
    <s v="NO"/>
    <s v="NO"/>
    <s v="NO"/>
    <s v="YES"/>
    <s v="NO"/>
    <s v="NO"/>
    <s v="NO"/>
    <s v="NO"/>
  </r>
  <r>
    <s v="Karkala"/>
    <x v="10"/>
    <x v="1"/>
    <x v="2"/>
    <x v="1"/>
    <x v="0"/>
    <x v="1"/>
    <x v="1"/>
    <s v="GH Karkala"/>
    <s v="Home"/>
    <x v="1"/>
    <s v="YES"/>
    <s v="NO"/>
    <s v="NO"/>
    <x v="0"/>
    <s v="NO"/>
    <s v="NO"/>
    <s v="NO"/>
    <s v="NO"/>
    <s v="NO"/>
    <s v="NO"/>
    <s v="NO"/>
    <s v="NO"/>
    <s v="YES"/>
    <s v="NO"/>
    <s v="NO"/>
    <n v="2"/>
    <n v="23"/>
    <s v="NO"/>
    <n v="83"/>
    <x v="0"/>
    <x v="0"/>
    <x v="0"/>
    <x v="0"/>
    <x v="0"/>
    <s v="NO"/>
    <s v="YES"/>
    <s v="NO"/>
    <s v="NO"/>
    <s v="NO"/>
    <s v="NO"/>
    <s v="NO"/>
    <s v="NO"/>
    <s v="NO"/>
    <s v="NO"/>
    <s v="NO"/>
    <s v="NO"/>
    <s v="NO"/>
    <s v="NO"/>
    <s v="NO"/>
  </r>
  <r>
    <s v="Karkala"/>
    <x v="3"/>
    <x v="1"/>
    <x v="7"/>
    <x v="1"/>
    <x v="1"/>
    <x v="0"/>
    <x v="0"/>
    <s v="Puttur, City Hospital"/>
    <s v="FMH Mangalore"/>
    <x v="0"/>
    <s v="NO"/>
    <s v="NO"/>
    <s v="NO"/>
    <x v="0"/>
    <s v="NO"/>
    <s v="YES"/>
    <s v="NO"/>
    <s v="NO"/>
    <s v="NO"/>
    <s v="NO"/>
    <s v="NO"/>
    <s v="NO"/>
    <s v="NO"/>
    <s v="NO"/>
    <s v="NO"/>
    <n v="0"/>
    <n v="2"/>
    <s v="NO"/>
    <n v="2"/>
    <x v="1"/>
    <x v="1"/>
    <x v="0"/>
    <x v="0"/>
    <x v="0"/>
    <s v="NO"/>
    <s v="NO"/>
    <s v="NO"/>
    <s v="NO"/>
    <s v="NO"/>
    <s v="NO"/>
    <s v="NO"/>
    <s v="NO"/>
    <s v="NO"/>
    <s v="NO"/>
    <s v="NO"/>
    <s v="NO"/>
    <s v="NO"/>
    <s v="NO"/>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238756-FC8A-4F1E-BA56-B84AFCC209E2}" name="Early_K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4:D68" firstHeaderRow="1" firstDataRow="2" firstDataCol="1"/>
  <pivotFields count="50">
    <pivotField showAll="0"/>
    <pivotField showAll="0">
      <items count="12">
        <item x="4"/>
        <item x="8"/>
        <item x="6"/>
        <item x="2"/>
        <item x="7"/>
        <item x="0"/>
        <item x="1"/>
        <item x="10"/>
        <item x="3"/>
        <item x="5"/>
        <item x="9"/>
        <item t="default"/>
      </items>
    </pivotField>
    <pivotField showAll="0">
      <items count="4">
        <item x="1"/>
        <item x="0"/>
        <item x="2"/>
        <item t="default"/>
      </items>
    </pivotField>
    <pivotField showAll="0">
      <items count="9">
        <item x="1"/>
        <item x="7"/>
        <item x="0"/>
        <item x="5"/>
        <item x="3"/>
        <item x="6"/>
        <item x="4"/>
        <item x="2"/>
        <item t="default"/>
      </items>
    </pivotField>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Early Premature (28-31 weeks): NO" x="0"/>
        <item n="Early Premature (28-31 weeks): YE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2"/>
  </rowFields>
  <rowItems count="3">
    <i>
      <x/>
    </i>
    <i>
      <x v="1"/>
    </i>
    <i t="grand">
      <x/>
    </i>
  </rowItems>
  <colFields count="1">
    <field x="7"/>
  </colFields>
  <colItems count="3">
    <i>
      <x/>
    </i>
    <i>
      <x v="1"/>
    </i>
    <i t="grand">
      <x/>
    </i>
  </colItems>
  <dataFields count="1">
    <dataField name="Count of Early Premature (28-31 weeks)" fld="32" subtotal="count" baseField="0" baseItem="0"/>
  </dataFields>
  <chartFormats count="7">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 chart="4" format="6">
      <pivotArea type="data" outline="0" fieldPosition="0">
        <references count="3">
          <reference field="4294967294" count="1" selected="0">
            <x v="0"/>
          </reference>
          <reference field="7" count="1" selected="0">
            <x v="1"/>
          </reference>
          <reference field="32" count="1" selected="0">
            <x v="0"/>
          </reference>
        </references>
      </pivotArea>
    </chartFormat>
    <chartFormat chart="4" format="7"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B96DB8-21BC-42F3-8D1B-8B375E5D0272}" name="HR_death(K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6:D40" firstHeaderRow="1" firstDataRow="2" firstDataCol="1"/>
  <pivotFields count="50">
    <pivotField showAll="0"/>
    <pivotField showAll="0">
      <items count="12">
        <item x="4"/>
        <item x="8"/>
        <item x="6"/>
        <item x="2"/>
        <item x="7"/>
        <item x="0"/>
        <item x="1"/>
        <item x="10"/>
        <item x="3"/>
        <item x="5"/>
        <item x="9"/>
        <item t="default"/>
      </items>
    </pivotField>
    <pivotField showAll="0">
      <items count="4">
        <item x="1"/>
        <item x="0"/>
        <item x="2"/>
        <item t="default"/>
      </items>
    </pivotField>
    <pivotField showAll="0">
      <items count="9">
        <item x="1"/>
        <item x="7"/>
        <item x="0"/>
        <item x="5"/>
        <item x="3"/>
        <item x="6"/>
        <item x="4"/>
        <item x="2"/>
        <item t="default"/>
      </items>
    </pivotField>
    <pivotField axis="axisRow" showAll="0">
      <items count="3">
        <item n="Without High Risk Pregnancy" x="1"/>
        <item n="With High Risk Pregnancy" x="0"/>
        <item t="default"/>
      </items>
    </pivotField>
    <pivotField showAll="0"/>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7"/>
  </colFields>
  <colItems count="3">
    <i>
      <x/>
    </i>
    <i>
      <x v="1"/>
    </i>
    <i t="grand">
      <x/>
    </i>
  </colItems>
  <dataFields count="1">
    <dataField name="Count of Death category" fld="7" subtotal="count" baseField="0" baseItem="0"/>
  </dataFields>
  <formats count="10">
    <format dxfId="15">
      <pivotArea type="all" dataOnly="0" outline="0" fieldPosition="0"/>
    </format>
    <format dxfId="14">
      <pivotArea outline="0" collapsedLevelsAreSubtotals="1" fieldPosition="0"/>
    </format>
    <format dxfId="13">
      <pivotArea type="origin" dataOnly="0" labelOnly="1" outline="0" fieldPosition="0"/>
    </format>
    <format dxfId="12">
      <pivotArea field="7" type="button" dataOnly="0" labelOnly="1" outline="0" axis="axisCol" fieldPosition="0"/>
    </format>
    <format dxfId="11">
      <pivotArea type="topRight" dataOnly="0" labelOnly="1" outline="0" fieldPosition="0"/>
    </format>
    <format dxfId="10">
      <pivotArea field="4" type="button" dataOnly="0" labelOnly="1" outline="0" axis="axisRow" fieldPosition="0"/>
    </format>
    <format dxfId="9">
      <pivotArea dataOnly="0" labelOnly="1" fieldPosition="0">
        <references count="1">
          <reference field="4" count="0"/>
        </references>
      </pivotArea>
    </format>
    <format dxfId="8">
      <pivotArea dataOnly="0" labelOnly="1" grandRow="1" outline="0" fieldPosition="0"/>
    </format>
    <format dxfId="7">
      <pivotArea dataOnly="0" labelOnly="1" fieldPosition="0">
        <references count="1">
          <reference field="7" count="0"/>
        </references>
      </pivotArea>
    </format>
    <format dxfId="6">
      <pivotArea dataOnly="0" labelOnly="1" grandCol="1" outline="0" fieldPosition="0"/>
    </format>
  </formats>
  <chartFormats count="14">
    <chartFormat chart="5" format="0" series="1">
      <pivotArea type="data" outline="0" fieldPosition="0">
        <references count="2">
          <reference field="4294967294" count="1" selected="0">
            <x v="0"/>
          </reference>
          <reference field="7" count="1" selected="0">
            <x v="0"/>
          </reference>
        </references>
      </pivotArea>
    </chartFormat>
    <chartFormat chart="5" format="1" series="1">
      <pivotArea type="data" outline="0" fieldPosition="0">
        <references count="2">
          <reference field="4294967294" count="1" selected="0">
            <x v="0"/>
          </reference>
          <reference field="7" count="1" selected="0">
            <x v="1"/>
          </reference>
        </references>
      </pivotArea>
    </chartFormat>
    <chartFormat chart="5" format="2">
      <pivotArea type="data" outline="0" fieldPosition="0">
        <references count="3">
          <reference field="4294967294" count="1" selected="0">
            <x v="0"/>
          </reference>
          <reference field="4" count="1" selected="0">
            <x v="1"/>
          </reference>
          <reference field="7" count="1" selected="0">
            <x v="0"/>
          </reference>
        </references>
      </pivotArea>
    </chartFormat>
    <chartFormat chart="5" format="2">
      <pivotArea type="data" outline="0" fieldPosition="0">
        <references count="3">
          <reference field="4294967294" count="1" selected="0">
            <x v="0"/>
          </reference>
          <reference field="4" count="1" selected="0">
            <x v="1"/>
          </reference>
          <reference field="7" count="1" selected="0">
            <x v="1"/>
          </reference>
        </references>
      </pivotArea>
    </chartFormat>
    <chartFormat chart="5" format="3">
      <pivotArea type="data" outline="0" fieldPosition="0">
        <references count="3">
          <reference field="4294967294" count="1" selected="0">
            <x v="0"/>
          </reference>
          <reference field="4" count="1" selected="0">
            <x v="0"/>
          </reference>
          <reference field="7" count="1" selected="0">
            <x v="1"/>
          </reference>
        </references>
      </pivotArea>
    </chartFormat>
    <chartFormat chart="5" format="4">
      <pivotArea type="data" outline="0" fieldPosition="0">
        <references count="3">
          <reference field="4294967294" count="1" selected="0">
            <x v="0"/>
          </reference>
          <reference field="4" count="1" selected="0">
            <x v="0"/>
          </reference>
          <reference field="7" count="1" selected="0">
            <x v="0"/>
          </reference>
        </references>
      </pivotArea>
    </chartFormat>
    <chartFormat chart="8" format="11" series="1">
      <pivotArea type="data" outline="0" fieldPosition="0">
        <references count="2">
          <reference field="4294967294" count="1" selected="0">
            <x v="0"/>
          </reference>
          <reference field="7" count="1" selected="0">
            <x v="0"/>
          </reference>
        </references>
      </pivotArea>
    </chartFormat>
    <chartFormat chart="8" format="12">
      <pivotArea type="data" outline="0" fieldPosition="0">
        <references count="3">
          <reference field="4294967294" count="1" selected="0">
            <x v="0"/>
          </reference>
          <reference field="4" count="1" selected="0">
            <x v="0"/>
          </reference>
          <reference field="7" count="1" selected="0">
            <x v="0"/>
          </reference>
        </references>
      </pivotArea>
    </chartFormat>
    <chartFormat chart="8" format="13">
      <pivotArea type="data" outline="0" fieldPosition="0">
        <references count="3">
          <reference field="4294967294" count="1" selected="0">
            <x v="0"/>
          </reference>
          <reference field="4" count="1" selected="0">
            <x v="1"/>
          </reference>
          <reference field="7" count="1" selected="0">
            <x v="0"/>
          </reference>
        </references>
      </pivotArea>
    </chartFormat>
    <chartFormat chart="8" format="14" series="1">
      <pivotArea type="data" outline="0" fieldPosition="0">
        <references count="2">
          <reference field="4294967294" count="1" selected="0">
            <x v="0"/>
          </reference>
          <reference field="7" count="1" selected="0">
            <x v="1"/>
          </reference>
        </references>
      </pivotArea>
    </chartFormat>
    <chartFormat chart="8" format="15">
      <pivotArea type="data" outline="0" fieldPosition="0">
        <references count="3">
          <reference field="4294967294" count="1" selected="0">
            <x v="0"/>
          </reference>
          <reference field="4" count="1" selected="0">
            <x v="0"/>
          </reference>
          <reference field="7" count="1" selected="0">
            <x v="1"/>
          </reference>
        </references>
      </pivotArea>
    </chartFormat>
    <chartFormat chart="8" format="16">
      <pivotArea type="data" outline="0" fieldPosition="0">
        <references count="3">
          <reference field="4294967294" count="1" selected="0">
            <x v="0"/>
          </reference>
          <reference field="4" count="1" selected="0">
            <x v="1"/>
          </reference>
          <reference field="7" count="1" selected="0">
            <x v="1"/>
          </reference>
        </references>
      </pivotArea>
    </chartFormat>
    <chartFormat chart="8" format="17"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4E19A9-96CA-45FA-8B62-A6B66430085F}" name="Total_Death_k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4:D106" firstHeaderRow="1" firstDataRow="2" firstDataCol="1"/>
  <pivotFields count="50">
    <pivotField showAll="0"/>
    <pivotField showAll="0">
      <items count="12">
        <item x="4"/>
        <item x="8"/>
        <item x="6"/>
        <item x="2"/>
        <item x="7"/>
        <item x="0"/>
        <item x="1"/>
        <item x="10"/>
        <item x="3"/>
        <item x="5"/>
        <item x="9"/>
        <item t="default"/>
      </items>
    </pivotField>
    <pivotField showAll="0">
      <items count="4">
        <item x="1"/>
        <item x="0"/>
        <item x="2"/>
        <item t="default"/>
      </items>
    </pivotField>
    <pivotField showAll="0">
      <items count="9">
        <item x="1"/>
        <item x="7"/>
        <item x="0"/>
        <item x="5"/>
        <item x="3"/>
        <item x="6"/>
        <item x="4"/>
        <item x="2"/>
        <item t="default"/>
      </items>
    </pivotField>
    <pivotField showAll="0"/>
    <pivotField showAll="0"/>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7"/>
  </colFields>
  <colItems count="3">
    <i>
      <x/>
    </i>
    <i>
      <x v="1"/>
    </i>
    <i t="grand">
      <x/>
    </i>
  </colItems>
  <dataFields count="1">
    <dataField name="Count of Death category" fld="7"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973A77-E8D8-401A-B633-358CA16A404E}" name="Extreme_K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8:D62" firstHeaderRow="1" firstDataRow="2" firstDataCol="1"/>
  <pivotFields count="50">
    <pivotField showAll="0"/>
    <pivotField showAll="0">
      <items count="12">
        <item x="4"/>
        <item x="8"/>
        <item x="6"/>
        <item x="2"/>
        <item x="7"/>
        <item x="0"/>
        <item x="1"/>
        <item x="10"/>
        <item x="3"/>
        <item x="5"/>
        <item x="9"/>
        <item t="default"/>
      </items>
    </pivotField>
    <pivotField showAll="0">
      <items count="4">
        <item x="1"/>
        <item x="0"/>
        <item x="2"/>
        <item t="default"/>
      </items>
    </pivotField>
    <pivotField showAll="0">
      <items count="9">
        <item x="1"/>
        <item x="7"/>
        <item x="0"/>
        <item x="5"/>
        <item x="3"/>
        <item x="6"/>
        <item x="4"/>
        <item x="2"/>
        <item t="default"/>
      </items>
    </pivotField>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Extreme preterm (&lt;28 weeks) : NO" x="0"/>
        <item n="Extreme preterm (&lt;28 weeks): YE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1"/>
  </rowFields>
  <rowItems count="3">
    <i>
      <x/>
    </i>
    <i>
      <x v="1"/>
    </i>
    <i t="grand">
      <x/>
    </i>
  </rowItems>
  <colFields count="1">
    <field x="7"/>
  </colFields>
  <colItems count="3">
    <i>
      <x/>
    </i>
    <i>
      <x v="1"/>
    </i>
    <i t="grand">
      <x/>
    </i>
  </colItems>
  <dataFields count="1">
    <dataField name="Count of Extreme preterm (&lt;28 weeks)" fld="31" subtotal="count" baseField="0" baseItem="0"/>
  </dataFields>
  <chartFormats count="12">
    <chartFormat chart="0" format="0" series="1">
      <pivotArea type="data" outline="0" fieldPosition="0">
        <references count="2">
          <reference field="4294967294" count="1" selected="0">
            <x v="0"/>
          </reference>
          <reference field="31" count="1" selected="0">
            <x v="0"/>
          </reference>
        </references>
      </pivotArea>
    </chartFormat>
    <chartFormat chart="0" format="1" series="1">
      <pivotArea type="data" outline="0" fieldPosition="0">
        <references count="2">
          <reference field="4294967294" count="1" selected="0">
            <x v="0"/>
          </reference>
          <reference field="31" count="1" selected="0">
            <x v="1"/>
          </reference>
        </references>
      </pivotArea>
    </chartFormat>
    <chartFormat chart="0" format="2" series="1">
      <pivotArea type="data" outline="0" fieldPosition="0">
        <references count="3">
          <reference field="4294967294" count="1" selected="0">
            <x v="0"/>
          </reference>
          <reference field="7" count="1" selected="0">
            <x v="0"/>
          </reference>
          <reference field="31" count="1" selected="0">
            <x v="1"/>
          </reference>
        </references>
      </pivotArea>
    </chartFormat>
    <chartFormat chart="0" format="3" series="1">
      <pivotArea type="data" outline="0" fieldPosition="0">
        <references count="3">
          <reference field="4294967294" count="1" selected="0">
            <x v="0"/>
          </reference>
          <reference field="7" count="1" selected="0">
            <x v="1"/>
          </reference>
          <reference field="31" count="1" selected="0">
            <x v="1"/>
          </reference>
        </references>
      </pivotArea>
    </chartFormat>
    <chartFormat chart="0" format="4" series="1">
      <pivotArea type="data" outline="0" fieldPosition="0">
        <references count="2">
          <reference field="4294967294" count="1" selected="0">
            <x v="0"/>
          </reference>
          <reference field="7" count="1" selected="0">
            <x v="0"/>
          </reference>
        </references>
      </pivotArea>
    </chartFormat>
    <chartFormat chart="0" format="5" series="1">
      <pivotArea type="data" outline="0" fieldPosition="0">
        <references count="2">
          <reference field="4294967294" count="1" selected="0">
            <x v="0"/>
          </reference>
          <reference field="7" count="1" selected="0">
            <x v="1"/>
          </reference>
        </references>
      </pivotArea>
    </chartFormat>
    <chartFormat chart="5" format="8" series="1">
      <pivotArea type="data" outline="0" fieldPosition="0">
        <references count="2">
          <reference field="4294967294" count="1" selected="0">
            <x v="0"/>
          </reference>
          <reference field="7" count="1" selected="0">
            <x v="0"/>
          </reference>
        </references>
      </pivotArea>
    </chartFormat>
    <chartFormat chart="5" format="9" series="1">
      <pivotArea type="data" outline="0" fieldPosition="0">
        <references count="2">
          <reference field="4294967294" count="1" selected="0">
            <x v="0"/>
          </reference>
          <reference field="7" count="1" selected="0">
            <x v="1"/>
          </reference>
        </references>
      </pivotArea>
    </chartFormat>
    <chartFormat chart="5" format="10">
      <pivotArea type="data" outline="0" fieldPosition="0">
        <references count="3">
          <reference field="4294967294" count="1" selected="0">
            <x v="0"/>
          </reference>
          <reference field="7" count="1" selected="0">
            <x v="1"/>
          </reference>
          <reference field="31" count="1" selected="0">
            <x v="1"/>
          </reference>
        </references>
      </pivotArea>
    </chartFormat>
    <chartFormat chart="5" format="11">
      <pivotArea type="data" outline="0" fieldPosition="0">
        <references count="3">
          <reference field="4294967294" count="1" selected="0">
            <x v="0"/>
          </reference>
          <reference field="7" count="1" selected="0">
            <x v="1"/>
          </reference>
          <reference field="31" count="1" selected="0">
            <x v="0"/>
          </reference>
        </references>
      </pivotArea>
    </chartFormat>
    <chartFormat chart="5" format="12"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964CEF-C304-44B1-B7C2-800555986DE8}" name="Total_preven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2:D94" firstHeaderRow="1" firstDataRow="2" firstDataCol="1"/>
  <pivotFields count="50">
    <pivotField showAll="0"/>
    <pivotField showAll="0">
      <items count="12">
        <item x="4"/>
        <item x="8"/>
        <item x="6"/>
        <item x="2"/>
        <item x="7"/>
        <item x="0"/>
        <item x="1"/>
        <item x="10"/>
        <item x="3"/>
        <item x="5"/>
        <item x="9"/>
        <item t="default"/>
      </items>
    </pivotField>
    <pivotField showAll="0">
      <items count="4">
        <item x="1"/>
        <item x="0"/>
        <item x="2"/>
        <item t="default"/>
      </items>
    </pivotField>
    <pivotField showAll="0">
      <items count="9">
        <item x="1"/>
        <item x="7"/>
        <item x="0"/>
        <item x="5"/>
        <item x="3"/>
        <item x="6"/>
        <item x="4"/>
        <item x="2"/>
        <item t="default"/>
      </items>
    </pivotField>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0"/>
  </colFields>
  <colItems count="3">
    <i>
      <x/>
    </i>
    <i>
      <x v="1"/>
    </i>
    <i t="grand">
      <x/>
    </i>
  </colItems>
  <dataFields count="1">
    <dataField name="Count of Preventable _x000a_(Yes / No)" fld="1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E453EA-1A0C-4F65-9F85-326C865AB555}" name="Preventable(K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27:D31" firstHeaderRow="1" firstDataRow="2" firstDataCol="1"/>
  <pivotFields count="50">
    <pivotField showAll="0"/>
    <pivotField showAll="0">
      <items count="12">
        <item x="4"/>
        <item x="8"/>
        <item x="6"/>
        <item x="2"/>
        <item x="7"/>
        <item x="0"/>
        <item x="1"/>
        <item x="10"/>
        <item x="3"/>
        <item x="5"/>
        <item x="9"/>
        <item t="default"/>
      </items>
    </pivotField>
    <pivotField showAll="0">
      <items count="4">
        <item x="1"/>
        <item x="0"/>
        <item x="2"/>
        <item t="default"/>
      </items>
    </pivotField>
    <pivotField showAll="0">
      <items count="9">
        <item x="1"/>
        <item x="7"/>
        <item x="0"/>
        <item x="5"/>
        <item x="3"/>
        <item x="6"/>
        <item x="4"/>
        <item x="2"/>
        <item t="default"/>
      </items>
    </pivotField>
    <pivotField showAll="0"/>
    <pivotField showAll="0"/>
    <pivotField showAll="0"/>
    <pivotField axis="axisCol" dataField="1" showAll="0">
      <items count="3">
        <item x="1"/>
        <item x="0"/>
        <item t="default"/>
      </items>
    </pivotField>
    <pivotField showAll="0"/>
    <pivotField showAll="0"/>
    <pivotField axis="axisRow" showAll="0">
      <items count="3">
        <item n="Non-Preventable" x="0"/>
        <item n="Preventable"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Fields count="1">
    <field x="7"/>
  </colFields>
  <colItems count="3">
    <i>
      <x/>
    </i>
    <i>
      <x v="1"/>
    </i>
    <i t="grand">
      <x/>
    </i>
  </colItems>
  <dataFields count="1">
    <dataField name="Count of Death category" fld="7" subtotal="count" baseField="0" baseItem="0"/>
  </dataFields>
  <formats count="10">
    <format dxfId="25">
      <pivotArea type="all" dataOnly="0" outline="0" fieldPosition="0"/>
    </format>
    <format dxfId="24">
      <pivotArea outline="0" collapsedLevelsAreSubtotals="1" fieldPosition="0"/>
    </format>
    <format dxfId="23">
      <pivotArea type="origin" dataOnly="0" labelOnly="1" outline="0" fieldPosition="0"/>
    </format>
    <format dxfId="22">
      <pivotArea field="7" type="button" dataOnly="0" labelOnly="1" outline="0" axis="axisCol" fieldPosition="0"/>
    </format>
    <format dxfId="21">
      <pivotArea type="topRight" dataOnly="0" labelOnly="1" outline="0" fieldPosition="0"/>
    </format>
    <format dxfId="20">
      <pivotArea field="10" type="button" dataOnly="0" labelOnly="1" outline="0" axis="axisRow" fieldPosition="0"/>
    </format>
    <format dxfId="19">
      <pivotArea dataOnly="0" labelOnly="1" fieldPosition="0">
        <references count="1">
          <reference field="10" count="0"/>
        </references>
      </pivotArea>
    </format>
    <format dxfId="18">
      <pivotArea dataOnly="0" labelOnly="1" grandRow="1" outline="0" fieldPosition="0"/>
    </format>
    <format dxfId="17">
      <pivotArea dataOnly="0" labelOnly="1" fieldPosition="0">
        <references count="1">
          <reference field="7" count="0"/>
        </references>
      </pivotArea>
    </format>
    <format dxfId="16">
      <pivotArea dataOnly="0" labelOnly="1" grandCol="1" outline="0" fieldPosition="0"/>
    </format>
  </format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23" format="4" series="1">
      <pivotArea type="data" outline="0" fieldPosition="0">
        <references count="2">
          <reference field="4294967294" count="1" selected="0">
            <x v="0"/>
          </reference>
          <reference field="7" count="1" selected="0">
            <x v="0"/>
          </reference>
        </references>
      </pivotArea>
    </chartFormat>
    <chartFormat chart="23" format="5" series="1">
      <pivotArea type="data" outline="0" fieldPosition="0">
        <references count="2">
          <reference field="4294967294" count="1" selected="0">
            <x v="0"/>
          </reference>
          <reference field="7" count="1" selected="0">
            <x v="1"/>
          </reference>
        </references>
      </pivotArea>
    </chartFormat>
    <chartFormat chart="2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90B074-D679-4C4E-ACF9-F225CE88AAD3}" name="LBW_k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2:D56" firstHeaderRow="1" firstDataRow="2" firstDataCol="1"/>
  <pivotFields count="50">
    <pivotField showAll="0"/>
    <pivotField showAll="0">
      <items count="12">
        <item x="4"/>
        <item x="8"/>
        <item x="6"/>
        <item x="2"/>
        <item x="7"/>
        <item x="0"/>
        <item x="1"/>
        <item x="10"/>
        <item x="3"/>
        <item x="5"/>
        <item x="9"/>
        <item t="default"/>
      </items>
    </pivotField>
    <pivotField showAll="0">
      <items count="4">
        <item x="1"/>
        <item x="0"/>
        <item x="2"/>
        <item t="default"/>
      </items>
    </pivotField>
    <pivotField showAll="0">
      <items count="9">
        <item x="1"/>
        <item x="7"/>
        <item x="0"/>
        <item x="5"/>
        <item x="3"/>
        <item x="6"/>
        <item x="4"/>
        <item x="2"/>
        <item t="default"/>
      </items>
    </pivotField>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LBW: NO" x="0"/>
        <item n="LBW: YE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0"/>
  </rowFields>
  <rowItems count="3">
    <i>
      <x/>
    </i>
    <i>
      <x v="1"/>
    </i>
    <i t="grand">
      <x/>
    </i>
  </rowItems>
  <colFields count="1">
    <field x="7"/>
  </colFields>
  <colItems count="3">
    <i>
      <x/>
    </i>
    <i>
      <x v="1"/>
    </i>
    <i t="grand">
      <x/>
    </i>
  </colItems>
  <dataFields count="1">
    <dataField name="Count of LBW" fld="30" subtotal="count" baseField="0" baseItem="0"/>
  </dataFields>
  <chartFormats count="11">
    <chartFormat chart="8" format="22" series="1">
      <pivotArea type="data" outline="0" fieldPosition="0">
        <references count="1">
          <reference field="7" count="1" selected="0">
            <x v="0"/>
          </reference>
        </references>
      </pivotArea>
    </chartFormat>
    <chartFormat chart="8" format="23" series="1">
      <pivotArea type="data" outline="0" fieldPosition="0">
        <references count="1">
          <reference field="7" count="1" selected="0">
            <x v="1"/>
          </reference>
        </references>
      </pivotArea>
    </chartFormat>
    <chartFormat chart="2" format="10" series="1">
      <pivotArea type="data" outline="0" fieldPosition="0">
        <references count="1">
          <reference field="7" count="1" selected="0">
            <x v="0"/>
          </reference>
        </references>
      </pivotArea>
    </chartFormat>
    <chartFormat chart="2" format="11" series="1">
      <pivotArea type="data" outline="0" fieldPosition="0">
        <references count="1">
          <reference field="7" count="1" selected="0">
            <x v="1"/>
          </reference>
        </references>
      </pivotArea>
    </chartFormat>
    <chartFormat chart="2" format="12" series="1">
      <pivotArea type="data" outline="0" fieldPosition="0">
        <references count="2">
          <reference field="4294967294" count="1" selected="0">
            <x v="0"/>
          </reference>
          <reference field="7" count="1" selected="0">
            <x v="0"/>
          </reference>
        </references>
      </pivotArea>
    </chartFormat>
    <chartFormat chart="2" format="13" series="1">
      <pivotArea type="data" outline="0" fieldPosition="0">
        <references count="2">
          <reference field="4294967294" count="1" selected="0">
            <x v="0"/>
          </reference>
          <reference field="7" count="1" selected="0">
            <x v="1"/>
          </reference>
        </references>
      </pivotArea>
    </chartFormat>
    <chartFormat chart="8" format="26" series="1">
      <pivotArea type="data" outline="0" fieldPosition="0">
        <references count="2">
          <reference field="4294967294" count="1" selected="0">
            <x v="0"/>
          </reference>
          <reference field="7" count="1" selected="0">
            <x v="0"/>
          </reference>
        </references>
      </pivotArea>
    </chartFormat>
    <chartFormat chart="8" format="27" series="1">
      <pivotArea type="data" outline="0" fieldPosition="0">
        <references count="2">
          <reference field="4294967294" count="1" selected="0">
            <x v="0"/>
          </reference>
          <reference field="7" count="1" selected="0">
            <x v="1"/>
          </reference>
        </references>
      </pivotArea>
    </chartFormat>
    <chartFormat chart="8" format="28">
      <pivotArea type="data" outline="0" fieldPosition="0">
        <references count="3">
          <reference field="4294967294" count="1" selected="0">
            <x v="0"/>
          </reference>
          <reference field="7" count="1" selected="0">
            <x v="1"/>
          </reference>
          <reference field="30" count="1" selected="0">
            <x v="1"/>
          </reference>
        </references>
      </pivotArea>
    </chartFormat>
    <chartFormat chart="8" format="29"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A43EEF-A61F-4CED-81F6-56C16ED3EFA3}" name="Late_K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6:D79" firstHeaderRow="1" firstDataRow="2" firstDataCol="1"/>
  <pivotFields count="50">
    <pivotField showAll="0"/>
    <pivotField showAll="0">
      <items count="12">
        <item x="4"/>
        <item x="8"/>
        <item x="6"/>
        <item x="2"/>
        <item x="7"/>
        <item x="0"/>
        <item x="1"/>
        <item x="10"/>
        <item x="3"/>
        <item x="5"/>
        <item x="9"/>
        <item t="default"/>
      </items>
    </pivotField>
    <pivotField showAll="0">
      <items count="4">
        <item x="1"/>
        <item x="0"/>
        <item x="2"/>
        <item t="default"/>
      </items>
    </pivotField>
    <pivotField showAll="0">
      <items count="9">
        <item x="1"/>
        <item x="7"/>
        <item x="0"/>
        <item x="5"/>
        <item x="3"/>
        <item x="6"/>
        <item x="4"/>
        <item x="2"/>
        <item t="default"/>
      </items>
    </pivotField>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2">
        <item n="Late Pre-term (34-36 weeks): NO"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4"/>
  </rowFields>
  <rowItems count="2">
    <i>
      <x/>
    </i>
    <i t="grand">
      <x/>
    </i>
  </rowItems>
  <colFields count="1">
    <field x="7"/>
  </colFields>
  <colItems count="3">
    <i>
      <x/>
    </i>
    <i>
      <x v="1"/>
    </i>
    <i t="grand">
      <x/>
    </i>
  </colItems>
  <dataFields count="1">
    <dataField name="Count of Late Pre-term (34-36 weeks)" fld="34" subtotal="count" baseField="0" baseItem="0"/>
  </dataFields>
  <chartFormats count="10">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 chart="2" format="2">
      <pivotArea type="data" outline="0" fieldPosition="0">
        <references count="3">
          <reference field="4294967294" count="1" selected="0">
            <x v="0"/>
          </reference>
          <reference field="7" count="1" selected="0">
            <x v="1"/>
          </reference>
          <reference field="34" count="1" selected="0">
            <x v="0"/>
          </reference>
        </references>
      </pivotArea>
    </chartFormat>
    <chartFormat chart="2" format="3">
      <pivotArea type="data" outline="0" fieldPosition="0">
        <references count="3">
          <reference field="4294967294" count="1" selected="0">
            <x v="0"/>
          </reference>
          <reference field="7" count="1" selected="0">
            <x v="0"/>
          </reference>
          <reference field="34" count="1" selected="0">
            <x v="0"/>
          </reference>
        </references>
      </pivotArea>
    </chartFormat>
    <chartFormat chart="5" format="8" series="1">
      <pivotArea type="data" outline="0" fieldPosition="0">
        <references count="2">
          <reference field="4294967294" count="1" selected="0">
            <x v="0"/>
          </reference>
          <reference field="7" count="1" selected="0">
            <x v="0"/>
          </reference>
        </references>
      </pivotArea>
    </chartFormat>
    <chartFormat chart="5" format="9">
      <pivotArea type="data" outline="0" fieldPosition="0">
        <references count="3">
          <reference field="4294967294" count="1" selected="0">
            <x v="0"/>
          </reference>
          <reference field="7" count="1" selected="0">
            <x v="0"/>
          </reference>
          <reference field="34" count="1" selected="0">
            <x v="0"/>
          </reference>
        </references>
      </pivotArea>
    </chartFormat>
    <chartFormat chart="5" format="10" series="1">
      <pivotArea type="data" outline="0" fieldPosition="0">
        <references count="2">
          <reference field="4294967294" count="1" selected="0">
            <x v="0"/>
          </reference>
          <reference field="7" count="1" selected="0">
            <x v="1"/>
          </reference>
        </references>
      </pivotArea>
    </chartFormat>
    <chartFormat chart="5" format="11">
      <pivotArea type="data" outline="0" fieldPosition="0">
        <references count="3">
          <reference field="4294967294" count="1" selected="0">
            <x v="0"/>
          </reference>
          <reference field="7" count="1" selected="0">
            <x v="1"/>
          </reference>
          <reference field="34" count="1" selected="0">
            <x v="0"/>
          </reference>
        </references>
      </pivotArea>
    </chartFormat>
    <chartFormat chart="5" format="1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34F46A-3713-4B39-AC66-6984771E21B1}" name="Total_HRP_k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6:D88" firstHeaderRow="1" firstDataRow="2" firstDataCol="1"/>
  <pivotFields count="50">
    <pivotField showAll="0"/>
    <pivotField showAll="0">
      <items count="12">
        <item x="4"/>
        <item x="8"/>
        <item x="6"/>
        <item x="2"/>
        <item x="7"/>
        <item x="0"/>
        <item x="1"/>
        <item x="10"/>
        <item x="3"/>
        <item x="5"/>
        <item x="9"/>
        <item t="default"/>
      </items>
    </pivotField>
    <pivotField showAll="0">
      <items count="4">
        <item x="1"/>
        <item x="0"/>
        <item x="2"/>
        <item t="default"/>
      </items>
    </pivotField>
    <pivotField showAll="0">
      <items count="9">
        <item x="1"/>
        <item x="7"/>
        <item x="0"/>
        <item x="5"/>
        <item x="3"/>
        <item x="6"/>
        <item x="4"/>
        <item x="2"/>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4"/>
  </colFields>
  <colItems count="3">
    <i>
      <x/>
    </i>
    <i>
      <x v="1"/>
    </i>
    <i t="grand">
      <x/>
    </i>
  </colItems>
  <dataFields count="1">
    <dataField name="High Risk "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65ECEF-6D5F-4F88-972F-AB4C386E2E36}" name="Delivary_type(K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D15" firstHeaderRow="1" firstDataRow="2" firstDataCol="1"/>
  <pivotFields count="50">
    <pivotField showAll="0"/>
    <pivotField showAll="0">
      <items count="12">
        <item x="4"/>
        <item x="8"/>
        <item x="6"/>
        <item x="2"/>
        <item x="7"/>
        <item x="0"/>
        <item x="1"/>
        <item x="10"/>
        <item x="3"/>
        <item x="5"/>
        <item x="9"/>
        <item t="default"/>
      </items>
    </pivotField>
    <pivotField showAll="0">
      <items count="4">
        <item x="1"/>
        <item x="0"/>
        <item x="2"/>
        <item t="default"/>
      </items>
    </pivotField>
    <pivotField showAll="0">
      <items count="9">
        <item x="1"/>
        <item x="7"/>
        <item x="0"/>
        <item x="5"/>
        <item x="3"/>
        <item x="6"/>
        <item x="4"/>
        <item x="2"/>
        <item t="default"/>
      </items>
    </pivotField>
    <pivotField showAll="0"/>
    <pivotField axis="axisRow" showAll="0">
      <items count="3">
        <item x="0"/>
        <item x="1"/>
        <item t="default"/>
      </items>
    </pivotField>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7"/>
  </colFields>
  <colItems count="3">
    <i>
      <x/>
    </i>
    <i>
      <x v="1"/>
    </i>
    <i t="grand">
      <x/>
    </i>
  </colItems>
  <dataFields count="1">
    <dataField name="Count of Death category" fld="7" subtotal="count" baseField="0" baseItem="0"/>
  </dataFields>
  <formats count="10">
    <format dxfId="35">
      <pivotArea type="all" dataOnly="0" outline="0" fieldPosition="0"/>
    </format>
    <format dxfId="34">
      <pivotArea outline="0" collapsedLevelsAreSubtotals="1" fieldPosition="0"/>
    </format>
    <format dxfId="33">
      <pivotArea type="origin" dataOnly="0" labelOnly="1" outline="0" fieldPosition="0"/>
    </format>
    <format dxfId="32">
      <pivotArea field="7" type="button" dataOnly="0" labelOnly="1" outline="0" axis="axisCol" fieldPosition="0"/>
    </format>
    <format dxfId="31">
      <pivotArea type="topRight" dataOnly="0" labelOnly="1" outline="0" fieldPosition="0"/>
    </format>
    <format dxfId="30">
      <pivotArea field="5" type="button" dataOnly="0" labelOnly="1" outline="0" axis="axisRow" fieldPosition="0"/>
    </format>
    <format dxfId="29">
      <pivotArea dataOnly="0" labelOnly="1" fieldPosition="0">
        <references count="1">
          <reference field="5" count="0"/>
        </references>
      </pivotArea>
    </format>
    <format dxfId="28">
      <pivotArea dataOnly="0" labelOnly="1" grandRow="1" outline="0" fieldPosition="0"/>
    </format>
    <format dxfId="27">
      <pivotArea dataOnly="0" labelOnly="1" fieldPosition="0">
        <references count="1">
          <reference field="7" count="0"/>
        </references>
      </pivotArea>
    </format>
    <format dxfId="26">
      <pivotArea dataOnly="0" labelOnly="1" grandCol="1" outline="0" fieldPosition="0"/>
    </format>
  </formats>
  <chartFormats count="10">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 chart="5" format="6">
      <pivotArea type="data" outline="0" fieldPosition="0">
        <references count="3">
          <reference field="4294967294" count="1" selected="0">
            <x v="0"/>
          </reference>
          <reference field="5" count="1" selected="0">
            <x v="0"/>
          </reference>
          <reference field="7" count="1" selected="0">
            <x v="1"/>
          </reference>
        </references>
      </pivotArea>
    </chartFormat>
    <chartFormat chart="5" format="7">
      <pivotArea type="data" outline="0" fieldPosition="0">
        <references count="3">
          <reference field="4294967294" count="1" selected="0">
            <x v="0"/>
          </reference>
          <reference field="5" count="1" selected="0">
            <x v="1"/>
          </reference>
          <reference field="7" count="1" selected="0">
            <x v="1"/>
          </reference>
        </references>
      </pivotArea>
    </chartFormat>
    <chartFormat chart="5" format="8">
      <pivotArea type="data" outline="0" fieldPosition="0">
        <references count="3">
          <reference field="4294967294" count="1" selected="0">
            <x v="0"/>
          </reference>
          <reference field="5" count="1" selected="0">
            <x v="1"/>
          </reference>
          <reference field="7" count="1" selected="0">
            <x v="0"/>
          </reference>
        </references>
      </pivotArea>
    </chartFormat>
    <chartFormat chart="5" format="9">
      <pivotArea type="data" outline="0" fieldPosition="0">
        <references count="3">
          <reference field="4294967294" count="1" selected="0">
            <x v="0"/>
          </reference>
          <reference field="5" count="1" selected="0">
            <x v="0"/>
          </reference>
          <reference field="7" count="1" selected="0">
            <x v="0"/>
          </reference>
        </references>
      </pivotArea>
    </chartFormat>
    <chartFormat chart="5" format="1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DF8C54-D5FD-43FD-8F16-699B1A598C04}" name="Gender(K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9:D23" firstHeaderRow="1" firstDataRow="2" firstDataCol="1"/>
  <pivotFields count="50">
    <pivotField showAll="0"/>
    <pivotField showAll="0">
      <items count="12">
        <item x="4"/>
        <item x="8"/>
        <item x="6"/>
        <item x="2"/>
        <item x="7"/>
        <item x="0"/>
        <item x="1"/>
        <item x="10"/>
        <item x="3"/>
        <item x="5"/>
        <item x="9"/>
        <item t="default"/>
      </items>
    </pivotField>
    <pivotField showAll="0">
      <items count="4">
        <item x="1"/>
        <item x="0"/>
        <item x="2"/>
        <item t="default"/>
      </items>
    </pivotField>
    <pivotField showAll="0">
      <items count="9">
        <item x="1"/>
        <item x="7"/>
        <item x="0"/>
        <item x="5"/>
        <item x="3"/>
        <item x="6"/>
        <item x="4"/>
        <item x="2"/>
        <item t="default"/>
      </items>
    </pivotField>
    <pivotField showAll="0"/>
    <pivotField showAll="0"/>
    <pivotField axis="axisCol" showAll="0">
      <items count="3">
        <item x="1"/>
        <item x="0"/>
        <item t="default"/>
      </items>
    </pivotField>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Fields count="1">
    <field x="6"/>
  </colFields>
  <colItems count="3">
    <i>
      <x/>
    </i>
    <i>
      <x v="1"/>
    </i>
    <i t="grand">
      <x/>
    </i>
  </colItems>
  <dataFields count="1">
    <dataField name="Count of Death category" fld="7" subtotal="count" baseField="0" baseItem="0"/>
  </dataFields>
  <formats count="10">
    <format dxfId="45">
      <pivotArea type="all" dataOnly="0" outline="0" fieldPosition="0"/>
    </format>
    <format dxfId="44">
      <pivotArea outline="0" collapsedLevelsAreSubtotals="1" fieldPosition="0"/>
    </format>
    <format dxfId="43">
      <pivotArea type="origin" dataOnly="0" labelOnly="1" outline="0" fieldPosition="0"/>
    </format>
    <format dxfId="42">
      <pivotArea field="6" type="button" dataOnly="0" labelOnly="1" outline="0" axis="axisCol" fieldPosition="0"/>
    </format>
    <format dxfId="41">
      <pivotArea type="topRight" dataOnly="0" labelOnly="1" outline="0" fieldPosition="0"/>
    </format>
    <format dxfId="40">
      <pivotArea field="7" type="button" dataOnly="0" labelOnly="1" outline="0" axis="axisRow" fieldPosition="0"/>
    </format>
    <format dxfId="39">
      <pivotArea dataOnly="0" labelOnly="1" fieldPosition="0">
        <references count="1">
          <reference field="7" count="0"/>
        </references>
      </pivotArea>
    </format>
    <format dxfId="38">
      <pivotArea dataOnly="0" labelOnly="1" grandRow="1" outline="0" fieldPosition="0"/>
    </format>
    <format dxfId="37">
      <pivotArea dataOnly="0" labelOnly="1" fieldPosition="0">
        <references count="1">
          <reference field="6" count="0"/>
        </references>
      </pivotArea>
    </format>
    <format dxfId="36">
      <pivotArea dataOnly="0" labelOnly="1" grandCol="1" outline="0" fieldPosition="0"/>
    </format>
  </formats>
  <chartFormats count="18">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pivotArea type="data" outline="0" fieldPosition="0">
        <references count="3">
          <reference field="4294967294" count="1" selected="0">
            <x v="0"/>
          </reference>
          <reference field="6" count="1" selected="0">
            <x v="1"/>
          </reference>
          <reference field="7" count="1" selected="0">
            <x v="0"/>
          </reference>
        </references>
      </pivotArea>
    </chartFormat>
    <chartFormat chart="6" format="3">
      <pivotArea type="data" outline="0" fieldPosition="0">
        <references count="3">
          <reference field="4294967294" count="1" selected="0">
            <x v="0"/>
          </reference>
          <reference field="6" count="1" selected="0">
            <x v="0"/>
          </reference>
          <reference field="7" count="1" selected="0">
            <x v="0"/>
          </reference>
        </references>
      </pivotArea>
    </chartFormat>
    <chartFormat chart="6" format="4">
      <pivotArea type="data" outline="0" fieldPosition="0">
        <references count="3">
          <reference field="4294967294" count="1" selected="0">
            <x v="0"/>
          </reference>
          <reference field="6" count="1" selected="0">
            <x v="1"/>
          </reference>
          <reference field="7" count="1" selected="0">
            <x v="1"/>
          </reference>
        </references>
      </pivotArea>
    </chartFormat>
    <chartFormat chart="6" format="5">
      <pivotArea type="data" outline="0" fieldPosition="0">
        <references count="3">
          <reference field="4294967294" count="1" selected="0">
            <x v="0"/>
          </reference>
          <reference field="6" count="1" selected="0">
            <x v="0"/>
          </reference>
          <reference field="7" count="1" selected="0">
            <x v="1"/>
          </reference>
        </references>
      </pivotArea>
    </chartFormat>
    <chartFormat chart="20" format="12" series="1">
      <pivotArea type="data" outline="0" fieldPosition="0">
        <references count="2">
          <reference field="4294967294" count="1" selected="0">
            <x v="0"/>
          </reference>
          <reference field="6" count="1" selected="0">
            <x v="0"/>
          </reference>
        </references>
      </pivotArea>
    </chartFormat>
    <chartFormat chart="20" format="13">
      <pivotArea type="data" outline="0" fieldPosition="0">
        <references count="3">
          <reference field="4294967294" count="1" selected="0">
            <x v="0"/>
          </reference>
          <reference field="6" count="1" selected="0">
            <x v="0"/>
          </reference>
          <reference field="7" count="1" selected="0">
            <x v="0"/>
          </reference>
        </references>
      </pivotArea>
    </chartFormat>
    <chartFormat chart="20" format="14">
      <pivotArea type="data" outline="0" fieldPosition="0">
        <references count="3">
          <reference field="4294967294" count="1" selected="0">
            <x v="0"/>
          </reference>
          <reference field="6" count="1" selected="0">
            <x v="0"/>
          </reference>
          <reference field="7" count="1" selected="0">
            <x v="1"/>
          </reference>
        </references>
      </pivotArea>
    </chartFormat>
    <chartFormat chart="20" format="15" series="1">
      <pivotArea type="data" outline="0" fieldPosition="0">
        <references count="2">
          <reference field="4294967294" count="1" selected="0">
            <x v="0"/>
          </reference>
          <reference field="6" count="1" selected="0">
            <x v="1"/>
          </reference>
        </references>
      </pivotArea>
    </chartFormat>
    <chartFormat chart="20" format="16">
      <pivotArea type="data" outline="0" fieldPosition="0">
        <references count="3">
          <reference field="4294967294" count="1" selected="0">
            <x v="0"/>
          </reference>
          <reference field="6" count="1" selected="0">
            <x v="1"/>
          </reference>
          <reference field="7" count="1" selected="0">
            <x v="0"/>
          </reference>
        </references>
      </pivotArea>
    </chartFormat>
    <chartFormat chart="20" format="17">
      <pivotArea type="data" outline="0" fieldPosition="0">
        <references count="3">
          <reference field="4294967294" count="1" selected="0">
            <x v="0"/>
          </reference>
          <reference field="6" count="1" selected="0">
            <x v="1"/>
          </reference>
          <reference field="7" count="1" selected="0">
            <x v="1"/>
          </reference>
        </references>
      </pivotArea>
    </chartFormat>
    <chartFormat chart="20" format="18"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20" format="19" series="1">
      <pivotArea type="data" outline="0" fieldPosition="0">
        <references count="2">
          <reference field="4294967294" count="1" selected="0">
            <x v="0"/>
          </reference>
          <reference field="7" count="1" selected="0">
            <x v="1"/>
          </reference>
        </references>
      </pivotArea>
    </chartFormat>
    <chartFormat chart="6" format="7" series="1">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F5BBE9B-2A01-483D-8CF9-165407B41E1C}" name="Total_Delivary_k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8:D100" firstHeaderRow="1" firstDataRow="2" firstDataCol="1"/>
  <pivotFields count="50">
    <pivotField showAll="0"/>
    <pivotField showAll="0">
      <items count="12">
        <item x="4"/>
        <item x="8"/>
        <item x="6"/>
        <item x="2"/>
        <item x="7"/>
        <item x="0"/>
        <item x="1"/>
        <item x="10"/>
        <item x="3"/>
        <item x="5"/>
        <item x="9"/>
        <item t="default"/>
      </items>
    </pivotField>
    <pivotField showAll="0">
      <items count="4">
        <item x="1"/>
        <item x="0"/>
        <item x="2"/>
        <item t="default"/>
      </items>
    </pivotField>
    <pivotField showAll="0">
      <items count="9">
        <item x="1"/>
        <item x="7"/>
        <item x="0"/>
        <item x="5"/>
        <item x="3"/>
        <item x="6"/>
        <item x="4"/>
        <item x="2"/>
        <item t="default"/>
      </items>
    </pivotField>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5"/>
  </colFields>
  <colItems count="3">
    <i>
      <x/>
    </i>
    <i>
      <x v="1"/>
    </i>
    <i t="grand">
      <x/>
    </i>
  </colItems>
  <dataFields count="1">
    <dataField name="Count of Delivery Type (LSCS / Norma)" fld="5"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26CF083-5FF1-4405-8452-381767CA8291}" name="Moderate_K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0:D74" firstHeaderRow="1" firstDataRow="2" firstDataCol="1"/>
  <pivotFields count="50">
    <pivotField showAll="0"/>
    <pivotField showAll="0">
      <items count="12">
        <item x="4"/>
        <item x="8"/>
        <item x="6"/>
        <item x="2"/>
        <item x="7"/>
        <item x="0"/>
        <item x="1"/>
        <item x="10"/>
        <item x="3"/>
        <item x="5"/>
        <item x="9"/>
        <item t="default"/>
      </items>
    </pivotField>
    <pivotField showAll="0">
      <items count="4">
        <item x="1"/>
        <item x="0"/>
        <item x="2"/>
        <item t="default"/>
      </items>
    </pivotField>
    <pivotField showAll="0">
      <items count="9">
        <item x="1"/>
        <item x="7"/>
        <item x="0"/>
        <item x="5"/>
        <item x="3"/>
        <item x="6"/>
        <item x="4"/>
        <item x="2"/>
        <item t="default"/>
      </items>
    </pivotField>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Morderate Premature (&lt;32-33 weeks): NO" x="0"/>
        <item n="Morderate Premature (&lt;32-33 weeks): YE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3"/>
  </rowFields>
  <rowItems count="3">
    <i>
      <x/>
    </i>
    <i>
      <x v="1"/>
    </i>
    <i t="grand">
      <x/>
    </i>
  </rowItems>
  <colFields count="1">
    <field x="7"/>
  </colFields>
  <colItems count="3">
    <i>
      <x/>
    </i>
    <i>
      <x v="1"/>
    </i>
    <i t="grand">
      <x/>
    </i>
  </colItems>
  <dataFields count="1">
    <dataField name="Count of Morderate Premature (&lt;32-33 weeks)" fld="33" subtotal="count" baseField="0" baseItem="0"/>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696A4C-E976-4D9A-85EC-43EA825EF94E}" name="Hypertension(K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44:D48" firstHeaderRow="1" firstDataRow="2" firstDataCol="1"/>
  <pivotFields count="50">
    <pivotField showAll="0"/>
    <pivotField showAll="0">
      <items count="12">
        <item x="4"/>
        <item x="8"/>
        <item x="6"/>
        <item x="2"/>
        <item x="7"/>
        <item x="0"/>
        <item x="1"/>
        <item x="10"/>
        <item x="3"/>
        <item x="5"/>
        <item x="9"/>
        <item t="default"/>
      </items>
    </pivotField>
    <pivotField showAll="0">
      <items count="4">
        <item x="1"/>
        <item x="0"/>
        <item x="2"/>
        <item t="default"/>
      </items>
    </pivotField>
    <pivotField showAll="0">
      <items count="9">
        <item x="1"/>
        <item x="7"/>
        <item x="0"/>
        <item x="5"/>
        <item x="3"/>
        <item x="6"/>
        <item x="4"/>
        <item x="2"/>
        <item t="default"/>
      </items>
    </pivotField>
    <pivotField showAll="0"/>
    <pivotField showAll="0"/>
    <pivotField showAll="0"/>
    <pivotField axis="axisCol" dataField="1" showAll="0">
      <items count="3">
        <item x="1"/>
        <item x="0"/>
        <item t="default"/>
      </items>
    </pivotField>
    <pivotField showAll="0"/>
    <pivotField showAll="0"/>
    <pivotField showAll="0"/>
    <pivotField showAll="0"/>
    <pivotField showAll="0"/>
    <pivotField showAll="0"/>
    <pivotField axis="axisRow" showAll="0">
      <items count="3">
        <item n="Without hypertensive Disorder" x="0"/>
        <item n="With Hypertensive Disorder"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3">
    <i>
      <x/>
    </i>
    <i>
      <x v="1"/>
    </i>
    <i t="grand">
      <x/>
    </i>
  </rowItems>
  <colFields count="1">
    <field x="7"/>
  </colFields>
  <colItems count="3">
    <i>
      <x/>
    </i>
    <i>
      <x v="1"/>
    </i>
    <i t="grand">
      <x/>
    </i>
  </colItems>
  <dataFields count="1">
    <dataField name="Count of Death category" fld="7" subtotal="count" baseField="0" baseItem="0"/>
  </dataFields>
  <formats count="10">
    <format dxfId="55">
      <pivotArea type="all" dataOnly="0" outline="0" fieldPosition="0"/>
    </format>
    <format dxfId="54">
      <pivotArea outline="0" collapsedLevelsAreSubtotals="1" fieldPosition="0"/>
    </format>
    <format dxfId="53">
      <pivotArea type="origin" dataOnly="0" labelOnly="1" outline="0" fieldPosition="0"/>
    </format>
    <format dxfId="52">
      <pivotArea field="7" type="button" dataOnly="0" labelOnly="1" outline="0" axis="axisCol" fieldPosition="0"/>
    </format>
    <format dxfId="51">
      <pivotArea type="topRight" dataOnly="0" labelOnly="1" outline="0" fieldPosition="0"/>
    </format>
    <format dxfId="50">
      <pivotArea field="14" type="button" dataOnly="0" labelOnly="1" outline="0" axis="axisRow" fieldPosition="0"/>
    </format>
    <format dxfId="49">
      <pivotArea dataOnly="0" labelOnly="1" fieldPosition="0">
        <references count="1">
          <reference field="14" count="0"/>
        </references>
      </pivotArea>
    </format>
    <format dxfId="48">
      <pivotArea dataOnly="0" labelOnly="1" grandRow="1" outline="0" fieldPosition="0"/>
    </format>
    <format dxfId="47">
      <pivotArea dataOnly="0" labelOnly="1" fieldPosition="0">
        <references count="1">
          <reference field="7" count="0"/>
        </references>
      </pivotArea>
    </format>
    <format dxfId="46">
      <pivotArea dataOnly="0" labelOnly="1" grandCol="1" outline="0" fieldPosition="0"/>
    </format>
  </formats>
  <chartFormats count="10">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3">
          <reference field="4294967294" count="1" selected="0">
            <x v="0"/>
          </reference>
          <reference field="7" count="1" selected="0">
            <x v="1"/>
          </reference>
          <reference field="14" count="1" selected="0">
            <x v="0"/>
          </reference>
        </references>
      </pivotArea>
    </chartFormat>
    <chartFormat chart="0" format="3">
      <pivotArea type="data" outline="0" fieldPosition="0">
        <references count="3">
          <reference field="4294967294" count="1" selected="0">
            <x v="0"/>
          </reference>
          <reference field="7" count="1" selected="0">
            <x v="0"/>
          </reference>
          <reference field="14" count="1" selected="0">
            <x v="1"/>
          </reference>
        </references>
      </pivotArea>
    </chartFormat>
    <chartFormat chart="22" format="8" series="1">
      <pivotArea type="data" outline="0" fieldPosition="0">
        <references count="2">
          <reference field="4294967294" count="1" selected="0">
            <x v="0"/>
          </reference>
          <reference field="7" count="1" selected="0">
            <x v="1"/>
          </reference>
        </references>
      </pivotArea>
    </chartFormat>
    <chartFormat chart="22" format="9">
      <pivotArea type="data" outline="0" fieldPosition="0">
        <references count="3">
          <reference field="4294967294" count="1" selected="0">
            <x v="0"/>
          </reference>
          <reference field="7" count="1" selected="0">
            <x v="1"/>
          </reference>
          <reference field="14" count="1" selected="0">
            <x v="0"/>
          </reference>
        </references>
      </pivotArea>
    </chartFormat>
    <chartFormat chart="22" format="10" series="1">
      <pivotArea type="data" outline="0" fieldPosition="0">
        <references count="2">
          <reference field="4294967294" count="1" selected="0">
            <x v="0"/>
          </reference>
          <reference field="7" count="1" selected="0">
            <x v="0"/>
          </reference>
        </references>
      </pivotArea>
    </chartFormat>
    <chartFormat chart="22" format="11">
      <pivotArea type="data" outline="0" fieldPosition="0">
        <references count="3">
          <reference field="4294967294" count="1" selected="0">
            <x v="0"/>
          </reference>
          <reference field="7" count="1" selected="0">
            <x v="0"/>
          </reference>
          <reference field="14" count="1" selected="0">
            <x v="1"/>
          </reference>
        </references>
      </pivotArea>
    </chartFormat>
    <chartFormat chart="22"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78293C0-9401-49C9-8A9E-564700FC08D8}" name="High_risk(K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50">
    <pivotField showAll="0"/>
    <pivotField showAll="0">
      <items count="12">
        <item x="4"/>
        <item x="8"/>
        <item x="6"/>
        <item x="2"/>
        <item x="7"/>
        <item x="0"/>
        <item x="1"/>
        <item x="10"/>
        <item x="3"/>
        <item x="5"/>
        <item x="9"/>
        <item t="default"/>
      </items>
    </pivotField>
    <pivotField showAll="0">
      <items count="4">
        <item x="1"/>
        <item x="0"/>
        <item x="2"/>
        <item t="default"/>
      </items>
    </pivotField>
    <pivotField showAll="0">
      <items count="9">
        <item x="1"/>
        <item x="7"/>
        <item x="0"/>
        <item x="5"/>
        <item x="3"/>
        <item x="6"/>
        <item x="4"/>
        <item x="2"/>
        <item t="default"/>
      </items>
    </pivotField>
    <pivotField axis="axisRow" showAll="0">
      <items count="3">
        <item n="Without High Risk Pregnancy" x="1"/>
        <item n="With High Risk Pregnancy" x="0"/>
        <item t="default"/>
      </items>
    </pivotField>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5"/>
  </colFields>
  <colItems count="3">
    <i>
      <x/>
    </i>
    <i>
      <x v="1"/>
    </i>
    <i t="grand">
      <x/>
    </i>
  </colItems>
  <dataFields count="1">
    <dataField name="Count of Delivery Type (LSCS / Norma)" fld="5" subtotal="count" baseField="0" baseItem="0"/>
  </dataFields>
  <formats count="10">
    <format dxfId="65">
      <pivotArea type="all" dataOnly="0" outline="0" fieldPosition="0"/>
    </format>
    <format dxfId="64">
      <pivotArea outline="0" collapsedLevelsAreSubtotals="1" fieldPosition="0"/>
    </format>
    <format dxfId="63">
      <pivotArea type="origin" dataOnly="0" labelOnly="1" outline="0" fieldPosition="0"/>
    </format>
    <format dxfId="62">
      <pivotArea field="5" type="button" dataOnly="0" labelOnly="1" outline="0" axis="axisCol" fieldPosition="0"/>
    </format>
    <format dxfId="61">
      <pivotArea type="topRight" dataOnly="0" labelOnly="1" outline="0" fieldPosition="0"/>
    </format>
    <format dxfId="60">
      <pivotArea field="4" type="button" dataOnly="0" labelOnly="1" outline="0" axis="axisRow" fieldPosition="0"/>
    </format>
    <format dxfId="59">
      <pivotArea dataOnly="0" labelOnly="1" fieldPosition="0">
        <references count="1">
          <reference field="4" count="0"/>
        </references>
      </pivotArea>
    </format>
    <format dxfId="58">
      <pivotArea dataOnly="0" labelOnly="1" grandRow="1" outline="0" fieldPosition="0"/>
    </format>
    <format dxfId="57">
      <pivotArea dataOnly="0" labelOnly="1" fieldPosition="0">
        <references count="1">
          <reference field="5" count="0"/>
        </references>
      </pivotArea>
    </format>
    <format dxfId="56">
      <pivotArea dataOnly="0" labelOnly="1" grandCol="1" outline="0" fieldPosition="0"/>
    </format>
  </format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3">
          <reference field="4294967294" count="1" selected="0">
            <x v="0"/>
          </reference>
          <reference field="4" count="1" selected="0">
            <x v="0"/>
          </reference>
          <reference field="5" count="1" selected="0">
            <x v="0"/>
          </reference>
        </references>
      </pivotArea>
    </chartFormat>
    <chartFormat chart="0" format="3">
      <pivotArea type="data" outline="0" fieldPosition="0">
        <references count="3">
          <reference field="4294967294" count="1" selected="0">
            <x v="0"/>
          </reference>
          <reference field="4" count="1" selected="0">
            <x v="1"/>
          </reference>
          <reference field="5" count="1" selected="0">
            <x v="0"/>
          </reference>
        </references>
      </pivotArea>
    </chartFormat>
    <chartFormat chart="0" format="4">
      <pivotArea type="data" outline="0" fieldPosition="0">
        <references count="3">
          <reference field="4294967294" count="1" selected="0">
            <x v="0"/>
          </reference>
          <reference field="4" count="1" selected="0">
            <x v="0"/>
          </reference>
          <reference field="5" count="1" selected="0">
            <x v="1"/>
          </reference>
        </references>
      </pivotArea>
    </chartFormat>
    <chartFormat chart="0" format="5">
      <pivotArea type="data" outline="0" fieldPosition="0">
        <references count="3">
          <reference field="4294967294" count="1" selected="0">
            <x v="0"/>
          </reference>
          <reference field="4" count="1" selected="0">
            <x v="1"/>
          </reference>
          <reference field="5" count="1" selected="0">
            <x v="1"/>
          </reference>
        </references>
      </pivotArea>
    </chartFormat>
    <chartFormat chart="3" format="12" series="1">
      <pivotArea type="data" outline="0" fieldPosition="0">
        <references count="2">
          <reference field="4294967294" count="1" selected="0">
            <x v="0"/>
          </reference>
          <reference field="5" count="1" selected="0">
            <x v="0"/>
          </reference>
        </references>
      </pivotArea>
    </chartFormat>
    <chartFormat chart="3" format="13">
      <pivotArea type="data" outline="0" fieldPosition="0">
        <references count="3">
          <reference field="4294967294" count="1" selected="0">
            <x v="0"/>
          </reference>
          <reference field="4" count="1" selected="0">
            <x v="0"/>
          </reference>
          <reference field="5" count="1" selected="0">
            <x v="0"/>
          </reference>
        </references>
      </pivotArea>
    </chartFormat>
    <chartFormat chart="3" format="14">
      <pivotArea type="data" outline="0" fieldPosition="0">
        <references count="3">
          <reference field="4294967294" count="1" selected="0">
            <x v="0"/>
          </reference>
          <reference field="4" count="1" selected="0">
            <x v="1"/>
          </reference>
          <reference field="5" count="1" selected="0">
            <x v="0"/>
          </reference>
        </references>
      </pivotArea>
    </chartFormat>
    <chartFormat chart="3" format="15" series="1">
      <pivotArea type="data" outline="0" fieldPosition="0">
        <references count="2">
          <reference field="4294967294" count="1" selected="0">
            <x v="0"/>
          </reference>
          <reference field="5" count="1" selected="0">
            <x v="1"/>
          </reference>
        </references>
      </pivotArea>
    </chartFormat>
    <chartFormat chart="3" format="16">
      <pivotArea type="data" outline="0" fieldPosition="0">
        <references count="3">
          <reference field="4294967294" count="1" selected="0">
            <x v="0"/>
          </reference>
          <reference field="4" count="1" selected="0">
            <x v="0"/>
          </reference>
          <reference field="5" count="1" selected="0">
            <x v="1"/>
          </reference>
        </references>
      </pivotArea>
    </chartFormat>
    <chartFormat chart="3" format="17">
      <pivotArea type="data" outline="0" fieldPosition="0">
        <references count="3">
          <reference field="4294967294" count="1" selected="0">
            <x v="0"/>
          </reference>
          <reference field="4" count="1" selected="0">
            <x v="1"/>
          </reference>
          <reference field="5" count="1" selected="0">
            <x v="1"/>
          </reference>
        </references>
      </pivotArea>
    </chartFormat>
    <chartFormat chart="3"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7E5B787-A516-486B-9371-E8FFBD595C1A}" name="LBW_ku"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5:D49" firstHeaderRow="1" firstDataRow="2" firstDataCol="1"/>
  <pivotFields count="50">
    <pivotField showAll="0"/>
    <pivotField showAll="0"/>
    <pivotField showAll="0"/>
    <pivotField showAll="0">
      <items count="16">
        <item x="2"/>
        <item x="13"/>
        <item x="11"/>
        <item x="5"/>
        <item x="8"/>
        <item x="0"/>
        <item x="7"/>
        <item x="9"/>
        <item x="14"/>
        <item x="3"/>
        <item x="6"/>
        <item x="1"/>
        <item x="4"/>
        <item x="10"/>
        <item x="12"/>
        <item t="default"/>
      </items>
    </pivotField>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LBW: NO" x="1"/>
        <item n="LBW: YES"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0"/>
  </rowFields>
  <rowItems count="3">
    <i>
      <x/>
    </i>
    <i>
      <x v="1"/>
    </i>
    <i t="grand">
      <x/>
    </i>
  </rowItems>
  <colFields count="1">
    <field x="7"/>
  </colFields>
  <colItems count="3">
    <i>
      <x/>
    </i>
    <i>
      <x v="1"/>
    </i>
    <i t="grand">
      <x/>
    </i>
  </colItems>
  <dataFields count="1">
    <dataField name="Count of LBW" fld="30" subtotal="count" baseField="0" baseItem="0"/>
  </dataFields>
  <chartFormats count="10">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3">
          <reference field="4294967294" count="1" selected="0">
            <x v="0"/>
          </reference>
          <reference field="7" count="1" selected="0">
            <x v="1"/>
          </reference>
          <reference field="30" count="1" selected="0">
            <x v="1"/>
          </reference>
        </references>
      </pivotArea>
    </chartFormat>
    <chartFormat chart="0" format="3">
      <pivotArea type="data" outline="0" fieldPosition="0">
        <references count="3">
          <reference field="4294967294" count="1" selected="0">
            <x v="0"/>
          </reference>
          <reference field="7" count="1" selected="0">
            <x v="1"/>
          </reference>
          <reference field="30" count="1" selected="0">
            <x v="0"/>
          </reference>
        </references>
      </pivotArea>
    </chartFormat>
    <chartFormat chart="0" format="4">
      <pivotArea type="data" outline="0" fieldPosition="0">
        <references count="3">
          <reference field="4294967294" count="1" selected="0">
            <x v="0"/>
          </reference>
          <reference field="7" count="1" selected="0">
            <x v="0"/>
          </reference>
          <reference field="30" count="1" selected="0">
            <x v="0"/>
          </reference>
        </references>
      </pivotArea>
    </chartFormat>
    <chartFormat chart="5" format="10" series="1">
      <pivotArea type="data" outline="0" fieldPosition="0">
        <references count="2">
          <reference field="4294967294" count="1" selected="0">
            <x v="0"/>
          </reference>
          <reference field="7" count="1" selected="0">
            <x v="0"/>
          </reference>
        </references>
      </pivotArea>
    </chartFormat>
    <chartFormat chart="5" format="11">
      <pivotArea type="data" outline="0" fieldPosition="0">
        <references count="3">
          <reference field="4294967294" count="1" selected="0">
            <x v="0"/>
          </reference>
          <reference field="7" count="1" selected="0">
            <x v="0"/>
          </reference>
          <reference field="30" count="1" selected="0">
            <x v="0"/>
          </reference>
        </references>
      </pivotArea>
    </chartFormat>
    <chartFormat chart="5" format="12" series="1">
      <pivotArea type="data" outline="0" fieldPosition="0">
        <references count="2">
          <reference field="4294967294" count="1" selected="0">
            <x v="0"/>
          </reference>
          <reference field="7" count="1" selected="0">
            <x v="1"/>
          </reference>
        </references>
      </pivotArea>
    </chartFormat>
    <chartFormat chart="5" format="13">
      <pivotArea type="data" outline="0" fieldPosition="0">
        <references count="3">
          <reference field="4294967294" count="1" selected="0">
            <x v="0"/>
          </reference>
          <reference field="7" count="1" selected="0">
            <x v="1"/>
          </reference>
          <reference field="30" count="1" selected="0">
            <x v="0"/>
          </reference>
        </references>
      </pivotArea>
    </chartFormat>
    <chartFormat chart="5" format="14">
      <pivotArea type="data" outline="0" fieldPosition="0">
        <references count="3">
          <reference field="4294967294" count="1" selected="0">
            <x v="0"/>
          </reference>
          <reference field="7" count="1" selected="0">
            <x v="1"/>
          </reference>
          <reference field="30"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E271902-FF70-4A0C-BA1B-E7E6BC731880}" name="Late_ku"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3:D77" firstHeaderRow="1" firstDataRow="2" firstDataCol="1"/>
  <pivotFields count="50">
    <pivotField showAll="0"/>
    <pivotField showAll="0"/>
    <pivotField showAll="0"/>
    <pivotField showAll="0">
      <items count="16">
        <item x="2"/>
        <item x="13"/>
        <item x="11"/>
        <item x="5"/>
        <item x="8"/>
        <item x="0"/>
        <item x="7"/>
        <item x="9"/>
        <item x="14"/>
        <item x="3"/>
        <item x="6"/>
        <item x="1"/>
        <item x="4"/>
        <item x="10"/>
        <item x="12"/>
        <item t="default"/>
      </items>
    </pivotField>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Late Pre-term (34-36 weeks): NO" x="0"/>
        <item n="Late Pre-term (34-36 weeks): YE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4"/>
  </rowFields>
  <rowItems count="3">
    <i>
      <x/>
    </i>
    <i>
      <x v="1"/>
    </i>
    <i t="grand">
      <x/>
    </i>
  </rowItems>
  <colFields count="1">
    <field x="7"/>
  </colFields>
  <colItems count="3">
    <i>
      <x/>
    </i>
    <i>
      <x v="1"/>
    </i>
    <i t="grand">
      <x/>
    </i>
  </colItems>
  <dataFields count="1">
    <dataField name="Count of Late Pre-term _x000a_(34-36 weeks)" fld="34"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A0C6CBC-68C9-4C47-82AB-64CB88B84B7B}" name="Preventable(K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3:D27" firstHeaderRow="1" firstDataRow="2" firstDataCol="1"/>
  <pivotFields count="50">
    <pivotField showAll="0"/>
    <pivotField showAll="0">
      <items count="16">
        <item x="11"/>
        <item x="13"/>
        <item x="12"/>
        <item x="0"/>
        <item x="8"/>
        <item x="14"/>
        <item x="10"/>
        <item x="3"/>
        <item x="9"/>
        <item x="6"/>
        <item x="1"/>
        <item x="4"/>
        <item x="7"/>
        <item x="2"/>
        <item x="5"/>
        <item t="default"/>
      </items>
    </pivotField>
    <pivotField showAll="0">
      <items count="3">
        <item x="0"/>
        <item x="1"/>
        <item t="default"/>
      </items>
    </pivotField>
    <pivotField showAll="0">
      <items count="16">
        <item x="2"/>
        <item x="13"/>
        <item x="11"/>
        <item x="5"/>
        <item x="8"/>
        <item x="0"/>
        <item x="7"/>
        <item x="9"/>
        <item x="14"/>
        <item x="3"/>
        <item x="6"/>
        <item x="1"/>
        <item x="4"/>
        <item x="10"/>
        <item x="12"/>
        <item t="default"/>
      </items>
    </pivotField>
    <pivotField showAll="0"/>
    <pivotField showAll="0"/>
    <pivotField showAll="0"/>
    <pivotField axis="axisCol" dataField="1" showAll="0">
      <items count="3">
        <item x="1"/>
        <item x="0"/>
        <item t="default"/>
      </items>
    </pivotField>
    <pivotField showAll="0"/>
    <pivotField showAll="0"/>
    <pivotField axis="axisRow" showAll="0">
      <items count="3">
        <item n="Non-Preventable" x="0"/>
        <item n="Preventable"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Fields count="1">
    <field x="7"/>
  </colFields>
  <colItems count="3">
    <i>
      <x/>
    </i>
    <i>
      <x v="1"/>
    </i>
    <i t="grand">
      <x/>
    </i>
  </colItems>
  <dataFields count="1">
    <dataField name="Count of Death category" fld="7"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14" format="4" series="1">
      <pivotArea type="data" outline="0" fieldPosition="0">
        <references count="2">
          <reference field="4294967294" count="1" selected="0">
            <x v="0"/>
          </reference>
          <reference field="7" count="1" selected="0">
            <x v="0"/>
          </reference>
        </references>
      </pivotArea>
    </chartFormat>
    <chartFormat chart="14" format="5" series="1">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6DC31E7-A87C-4509-97D0-A31DCDEA515B}" name="Extreme_k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2:D56" firstHeaderRow="1" firstDataRow="2" firstDataCol="1"/>
  <pivotFields count="50">
    <pivotField showAll="0"/>
    <pivotField showAll="0"/>
    <pivotField showAll="0"/>
    <pivotField showAll="0">
      <items count="16">
        <item x="2"/>
        <item x="13"/>
        <item x="11"/>
        <item x="5"/>
        <item x="8"/>
        <item x="0"/>
        <item x="7"/>
        <item x="9"/>
        <item x="14"/>
        <item x="3"/>
        <item x="6"/>
        <item x="1"/>
        <item x="4"/>
        <item x="10"/>
        <item x="12"/>
        <item t="default"/>
      </items>
    </pivotField>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 Extreme preterm (&lt;28 weeks): NO" x="0"/>
        <item n=" Extreme preterm (&lt;28 weeks): YE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1"/>
  </rowFields>
  <rowItems count="3">
    <i>
      <x/>
    </i>
    <i>
      <x v="1"/>
    </i>
    <i t="grand">
      <x/>
    </i>
  </rowItems>
  <colFields count="1">
    <field x="7"/>
  </colFields>
  <colItems count="3">
    <i>
      <x/>
    </i>
    <i>
      <x v="1"/>
    </i>
    <i t="grand">
      <x/>
    </i>
  </colItems>
  <dataFields count="1">
    <dataField name="Count of Extreme preterm _x000a_(&lt;28 weeks)" fld="31" subtotal="count" baseField="0" baseItem="0"/>
  </dataFields>
  <chartFormats count="10">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3">
          <reference field="4294967294" count="1" selected="0">
            <x v="0"/>
          </reference>
          <reference field="7" count="1" selected="0">
            <x v="1"/>
          </reference>
          <reference field="31" count="1" selected="0">
            <x v="1"/>
          </reference>
        </references>
      </pivotArea>
    </chartFormat>
    <chartFormat chart="0" format="3">
      <pivotArea type="data" outline="0" fieldPosition="0">
        <references count="3">
          <reference field="4294967294" count="1" selected="0">
            <x v="0"/>
          </reference>
          <reference field="7" count="1" selected="0">
            <x v="1"/>
          </reference>
          <reference field="31" count="1" selected="0">
            <x v="0"/>
          </reference>
        </references>
      </pivotArea>
    </chartFormat>
    <chartFormat chart="0" format="4">
      <pivotArea type="data" outline="0" fieldPosition="0">
        <references count="3">
          <reference field="4294967294" count="1" selected="0">
            <x v="0"/>
          </reference>
          <reference field="7" count="1" selected="0">
            <x v="0"/>
          </reference>
          <reference field="31" count="1" selected="0">
            <x v="0"/>
          </reference>
        </references>
      </pivotArea>
    </chartFormat>
    <chartFormat chart="5" format="10" series="1">
      <pivotArea type="data" outline="0" fieldPosition="0">
        <references count="2">
          <reference field="4294967294" count="1" selected="0">
            <x v="0"/>
          </reference>
          <reference field="7" count="1" selected="0">
            <x v="0"/>
          </reference>
        </references>
      </pivotArea>
    </chartFormat>
    <chartFormat chart="5" format="11">
      <pivotArea type="data" outline="0" fieldPosition="0">
        <references count="3">
          <reference field="4294967294" count="1" selected="0">
            <x v="0"/>
          </reference>
          <reference field="7" count="1" selected="0">
            <x v="0"/>
          </reference>
          <reference field="31" count="1" selected="0">
            <x v="0"/>
          </reference>
        </references>
      </pivotArea>
    </chartFormat>
    <chartFormat chart="5" format="12" series="1">
      <pivotArea type="data" outline="0" fieldPosition="0">
        <references count="2">
          <reference field="4294967294" count="1" selected="0">
            <x v="0"/>
          </reference>
          <reference field="7" count="1" selected="0">
            <x v="1"/>
          </reference>
        </references>
      </pivotArea>
    </chartFormat>
    <chartFormat chart="5" format="13">
      <pivotArea type="data" outline="0" fieldPosition="0">
        <references count="3">
          <reference field="4294967294" count="1" selected="0">
            <x v="0"/>
          </reference>
          <reference field="7" count="1" selected="0">
            <x v="1"/>
          </reference>
          <reference field="31" count="1" selected="0">
            <x v="0"/>
          </reference>
        </references>
      </pivotArea>
    </chartFormat>
    <chartFormat chart="5" format="14">
      <pivotArea type="data" outline="0" fieldPosition="0">
        <references count="3">
          <reference field="4294967294" count="1" selected="0">
            <x v="0"/>
          </reference>
          <reference field="7" count="1" selected="0">
            <x v="1"/>
          </reference>
          <reference field="31"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952D6A1-7A86-499E-8414-8E3DD451E28E}" name="Total_Delivary_ku"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2:D94" firstHeaderRow="1" firstDataRow="2" firstDataCol="1"/>
  <pivotFields count="50">
    <pivotField showAll="0"/>
    <pivotField showAll="0">
      <items count="16">
        <item x="11"/>
        <item x="13"/>
        <item x="12"/>
        <item x="0"/>
        <item x="8"/>
        <item x="14"/>
        <item x="10"/>
        <item x="3"/>
        <item x="9"/>
        <item x="6"/>
        <item x="1"/>
        <item x="4"/>
        <item x="7"/>
        <item x="2"/>
        <item x="5"/>
        <item t="default"/>
      </items>
    </pivotField>
    <pivotField showAll="0">
      <items count="3">
        <item x="0"/>
        <item x="1"/>
        <item t="default"/>
      </items>
    </pivotField>
    <pivotField showAll="0">
      <items count="16">
        <item x="2"/>
        <item x="13"/>
        <item x="11"/>
        <item x="5"/>
        <item x="8"/>
        <item x="0"/>
        <item x="7"/>
        <item x="9"/>
        <item x="14"/>
        <item x="3"/>
        <item x="6"/>
        <item x="1"/>
        <item x="4"/>
        <item x="10"/>
        <item x="12"/>
        <item t="default"/>
      </items>
    </pivotField>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5"/>
  </colFields>
  <colItems count="3">
    <i>
      <x/>
    </i>
    <i>
      <x v="1"/>
    </i>
    <i t="grand">
      <x/>
    </i>
  </colItems>
  <dataFields count="1">
    <dataField name="Count of Delivery Type (LSCS / Norma)" fld="5"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E9693F5-080B-495B-A447-280AFA9D4A77}" name="High_risk(K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D6" firstHeaderRow="1" firstDataRow="2" firstDataCol="1"/>
  <pivotFields count="50">
    <pivotField showAll="0"/>
    <pivotField showAll="0">
      <items count="16">
        <item x="11"/>
        <item x="13"/>
        <item x="12"/>
        <item x="0"/>
        <item x="8"/>
        <item x="14"/>
        <item x="10"/>
        <item x="3"/>
        <item x="9"/>
        <item x="6"/>
        <item x="1"/>
        <item x="4"/>
        <item x="7"/>
        <item x="2"/>
        <item x="5"/>
        <item t="default"/>
      </items>
    </pivotField>
    <pivotField showAll="0">
      <items count="3">
        <item x="0"/>
        <item x="1"/>
        <item t="default"/>
      </items>
    </pivotField>
    <pivotField showAll="0">
      <items count="16">
        <item x="2"/>
        <item x="13"/>
        <item x="11"/>
        <item x="5"/>
        <item x="8"/>
        <item x="0"/>
        <item x="7"/>
        <item x="9"/>
        <item x="14"/>
        <item x="3"/>
        <item x="6"/>
        <item x="1"/>
        <item x="4"/>
        <item x="10"/>
        <item x="12"/>
        <item t="default"/>
      </items>
    </pivotField>
    <pivotField axis="axisRow" showAll="0">
      <items count="3">
        <item n="Without High Risk pregnancy" x="1"/>
        <item n="With Hig Risk Pregnancy" x="0"/>
        <item t="default"/>
      </items>
    </pivotField>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5"/>
  </colFields>
  <colItems count="3">
    <i>
      <x/>
    </i>
    <i>
      <x v="1"/>
    </i>
    <i t="grand">
      <x/>
    </i>
  </colItems>
  <dataFields count="1">
    <dataField name="Count of Delivery Type (LSCS / Norma)" fld="5" subtotal="count" baseField="0" baseItem="0"/>
  </dataFields>
  <chartFormats count="1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3">
          <reference field="4294967294" count="1" selected="0">
            <x v="0"/>
          </reference>
          <reference field="4" count="1" selected="0">
            <x v="1"/>
          </reference>
          <reference field="5" count="1" selected="0">
            <x v="0"/>
          </reference>
        </references>
      </pivotArea>
    </chartFormat>
    <chartFormat chart="0" format="3">
      <pivotArea type="data" outline="0" fieldPosition="0">
        <references count="3">
          <reference field="4294967294" count="1" selected="0">
            <x v="0"/>
          </reference>
          <reference field="4" count="1" selected="0">
            <x v="0"/>
          </reference>
          <reference field="5" count="1" selected="0">
            <x v="0"/>
          </reference>
        </references>
      </pivotArea>
    </chartFormat>
    <chartFormat chart="0" format="4">
      <pivotArea type="data" outline="0" fieldPosition="0">
        <references count="3">
          <reference field="4294967294" count="1" selected="0">
            <x v="0"/>
          </reference>
          <reference field="4" count="1" selected="0">
            <x v="0"/>
          </reference>
          <reference field="5" count="1" selected="0">
            <x v="1"/>
          </reference>
        </references>
      </pivotArea>
    </chartFormat>
    <chartFormat chart="0" format="5">
      <pivotArea type="data" outline="0" fieldPosition="0">
        <references count="3">
          <reference field="4294967294" count="1" selected="0">
            <x v="0"/>
          </reference>
          <reference field="4" count="1" selected="0">
            <x v="1"/>
          </reference>
          <reference field="5" count="1" selected="0">
            <x v="1"/>
          </reference>
        </references>
      </pivotArea>
    </chartFormat>
    <chartFormat chart="3" format="12" series="1">
      <pivotArea type="data" outline="0" fieldPosition="0">
        <references count="2">
          <reference field="4294967294" count="1" selected="0">
            <x v="0"/>
          </reference>
          <reference field="5" count="1" selected="0">
            <x v="0"/>
          </reference>
        </references>
      </pivotArea>
    </chartFormat>
    <chartFormat chart="3" format="13">
      <pivotArea type="data" outline="0" fieldPosition="0">
        <references count="3">
          <reference field="4294967294" count="1" selected="0">
            <x v="0"/>
          </reference>
          <reference field="4" count="1" selected="0">
            <x v="0"/>
          </reference>
          <reference field="5" count="1" selected="0">
            <x v="0"/>
          </reference>
        </references>
      </pivotArea>
    </chartFormat>
    <chartFormat chart="3" format="14">
      <pivotArea type="data" outline="0" fieldPosition="0">
        <references count="3">
          <reference field="4294967294" count="1" selected="0">
            <x v="0"/>
          </reference>
          <reference field="4" count="1" selected="0">
            <x v="1"/>
          </reference>
          <reference field="5" count="1" selected="0">
            <x v="0"/>
          </reference>
        </references>
      </pivotArea>
    </chartFormat>
    <chartFormat chart="3" format="15" series="1">
      <pivotArea type="data" outline="0" fieldPosition="0">
        <references count="2">
          <reference field="4294967294" count="1" selected="0">
            <x v="0"/>
          </reference>
          <reference field="5" count="1" selected="0">
            <x v="1"/>
          </reference>
        </references>
      </pivotArea>
    </chartFormat>
    <chartFormat chart="3" format="16">
      <pivotArea type="data" outline="0" fieldPosition="0">
        <references count="3">
          <reference field="4294967294" count="1" selected="0">
            <x v="0"/>
          </reference>
          <reference field="4" count="1" selected="0">
            <x v="0"/>
          </reference>
          <reference field="5" count="1" selected="0">
            <x v="1"/>
          </reference>
        </references>
      </pivotArea>
    </chartFormat>
    <chartFormat chart="3" format="17">
      <pivotArea type="data" outline="0" fieldPosition="0">
        <references count="3">
          <reference field="4294967294" count="1" selected="0">
            <x v="0"/>
          </reference>
          <reference field="4" count="1" selected="0">
            <x v="1"/>
          </reference>
          <reference field="5"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F510875-DEE9-4C9C-BD3F-8C18DBDEA8A7}" name="Total_death_ku"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7:D99" firstHeaderRow="1" firstDataRow="2" firstDataCol="1"/>
  <pivotFields count="50">
    <pivotField showAll="0"/>
    <pivotField showAll="0">
      <items count="16">
        <item x="11"/>
        <item x="13"/>
        <item x="12"/>
        <item x="0"/>
        <item x="8"/>
        <item x="14"/>
        <item x="10"/>
        <item x="3"/>
        <item x="9"/>
        <item x="6"/>
        <item x="1"/>
        <item x="4"/>
        <item x="7"/>
        <item x="2"/>
        <item x="5"/>
        <item t="default"/>
      </items>
    </pivotField>
    <pivotField showAll="0">
      <items count="3">
        <item x="0"/>
        <item x="1"/>
        <item t="default"/>
      </items>
    </pivotField>
    <pivotField showAll="0">
      <items count="16">
        <item x="2"/>
        <item x="13"/>
        <item x="11"/>
        <item x="5"/>
        <item x="8"/>
        <item x="0"/>
        <item x="7"/>
        <item x="9"/>
        <item x="14"/>
        <item x="3"/>
        <item x="6"/>
        <item x="1"/>
        <item x="4"/>
        <item x="10"/>
        <item x="12"/>
        <item t="default"/>
      </items>
    </pivotField>
    <pivotField showAll="0"/>
    <pivotField showAll="0"/>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7"/>
  </colFields>
  <colItems count="3">
    <i>
      <x/>
    </i>
    <i>
      <x v="1"/>
    </i>
    <i t="grand">
      <x/>
    </i>
  </colItems>
  <dataFields count="1">
    <dataField name="Count of Death category" fld="7"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6966FE8-D0CD-4824-AA94-1361828A90DD}" name="Total_HRP_ku"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2:D84" firstHeaderRow="1" firstDataRow="2" firstDataCol="1"/>
  <pivotFields count="50">
    <pivotField showAll="0"/>
    <pivotField showAll="0">
      <items count="16">
        <item x="11"/>
        <item x="13"/>
        <item x="12"/>
        <item x="0"/>
        <item x="8"/>
        <item x="14"/>
        <item x="10"/>
        <item x="3"/>
        <item x="9"/>
        <item x="6"/>
        <item x="1"/>
        <item x="4"/>
        <item x="7"/>
        <item x="2"/>
        <item x="5"/>
        <item t="default"/>
      </items>
    </pivotField>
    <pivotField showAll="0">
      <items count="3">
        <item x="0"/>
        <item x="1"/>
        <item t="default"/>
      </items>
    </pivotField>
    <pivotField showAll="0">
      <items count="16">
        <item x="2"/>
        <item x="13"/>
        <item x="11"/>
        <item x="5"/>
        <item x="8"/>
        <item x="0"/>
        <item x="7"/>
        <item x="9"/>
        <item x="14"/>
        <item x="3"/>
        <item x="6"/>
        <item x="1"/>
        <item x="4"/>
        <item x="10"/>
        <item x="12"/>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4"/>
  </colFields>
  <colItems count="3">
    <i>
      <x/>
    </i>
    <i>
      <x v="1"/>
    </i>
    <i t="grand">
      <x/>
    </i>
  </colItems>
  <dataFields count="1">
    <dataField name="Count of High Risk (Yes / No)"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F12EF81-5C0E-4450-813B-05A3D4839B76}" name="gender(K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6:D20" firstHeaderRow="1" firstDataRow="2" firstDataCol="1"/>
  <pivotFields count="50">
    <pivotField showAll="0"/>
    <pivotField showAll="0">
      <items count="16">
        <item x="11"/>
        <item x="13"/>
        <item x="12"/>
        <item x="0"/>
        <item x="8"/>
        <item x="14"/>
        <item x="10"/>
        <item x="3"/>
        <item x="9"/>
        <item x="6"/>
        <item x="1"/>
        <item x="4"/>
        <item x="7"/>
        <item x="2"/>
        <item x="5"/>
        <item t="default"/>
      </items>
    </pivotField>
    <pivotField showAll="0">
      <items count="3">
        <item x="0"/>
        <item x="1"/>
        <item t="default"/>
      </items>
    </pivotField>
    <pivotField showAll="0">
      <items count="16">
        <item x="2"/>
        <item x="13"/>
        <item x="11"/>
        <item x="5"/>
        <item x="8"/>
        <item x="0"/>
        <item x="7"/>
        <item x="9"/>
        <item x="14"/>
        <item x="3"/>
        <item x="6"/>
        <item x="1"/>
        <item x="4"/>
        <item x="10"/>
        <item x="12"/>
        <item t="default"/>
      </items>
    </pivotField>
    <pivotField showAll="0"/>
    <pivotField showAll="0"/>
    <pivotField axis="axisCol" showAll="0">
      <items count="3">
        <item x="0"/>
        <item x="1"/>
        <item t="default"/>
      </items>
    </pivotField>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Fields count="1">
    <field x="6"/>
  </colFields>
  <colItems count="3">
    <i>
      <x/>
    </i>
    <i>
      <x v="1"/>
    </i>
    <i t="grand">
      <x/>
    </i>
  </colItems>
  <dataFields count="1">
    <dataField name="Count of Death category" fld="7" subtotal="count" baseField="0" baseItem="0"/>
  </dataFields>
  <chartFormats count="12">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pivotArea type="data" outline="0" fieldPosition="0">
        <references count="3">
          <reference field="4294967294" count="1" selected="0">
            <x v="0"/>
          </reference>
          <reference field="6" count="1" selected="0">
            <x v="0"/>
          </reference>
          <reference field="7" count="1" selected="0">
            <x v="0"/>
          </reference>
        </references>
      </pivotArea>
    </chartFormat>
    <chartFormat chart="2" format="3">
      <pivotArea type="data" outline="0" fieldPosition="0">
        <references count="3">
          <reference field="4294967294" count="1" selected="0">
            <x v="0"/>
          </reference>
          <reference field="6" count="1" selected="0">
            <x v="0"/>
          </reference>
          <reference field="7" count="1" selected="0">
            <x v="1"/>
          </reference>
        </references>
      </pivotArea>
    </chartFormat>
    <chartFormat chart="2" format="4">
      <pivotArea type="data" outline="0" fieldPosition="0">
        <references count="3">
          <reference field="4294967294" count="1" selected="0">
            <x v="0"/>
          </reference>
          <reference field="6" count="1" selected="0">
            <x v="1"/>
          </reference>
          <reference field="7" count="1" selected="0">
            <x v="1"/>
          </reference>
        </references>
      </pivotArea>
    </chartFormat>
    <chartFormat chart="2" format="5">
      <pivotArea type="data" outline="0" fieldPosition="0">
        <references count="3">
          <reference field="4294967294" count="1" selected="0">
            <x v="0"/>
          </reference>
          <reference field="6" count="1" selected="0">
            <x v="1"/>
          </reference>
          <reference field="7" count="1" selected="0">
            <x v="0"/>
          </reference>
        </references>
      </pivotArea>
    </chartFormat>
    <chartFormat chart="5" format="12" series="1">
      <pivotArea type="data" outline="0" fieldPosition="0">
        <references count="2">
          <reference field="4294967294" count="1" selected="0">
            <x v="0"/>
          </reference>
          <reference field="6" count="1" selected="0">
            <x v="0"/>
          </reference>
        </references>
      </pivotArea>
    </chartFormat>
    <chartFormat chart="5" format="13">
      <pivotArea type="data" outline="0" fieldPosition="0">
        <references count="3">
          <reference field="4294967294" count="1" selected="0">
            <x v="0"/>
          </reference>
          <reference field="6" count="1" selected="0">
            <x v="0"/>
          </reference>
          <reference field="7" count="1" selected="0">
            <x v="0"/>
          </reference>
        </references>
      </pivotArea>
    </chartFormat>
    <chartFormat chart="5" format="14">
      <pivotArea type="data" outline="0" fieldPosition="0">
        <references count="3">
          <reference field="4294967294" count="1" selected="0">
            <x v="0"/>
          </reference>
          <reference field="6" count="1" selected="0">
            <x v="0"/>
          </reference>
          <reference field="7" count="1" selected="0">
            <x v="1"/>
          </reference>
        </references>
      </pivotArea>
    </chartFormat>
    <chartFormat chart="5" format="15" series="1">
      <pivotArea type="data" outline="0" fieldPosition="0">
        <references count="2">
          <reference field="4294967294" count="1" selected="0">
            <x v="0"/>
          </reference>
          <reference field="6" count="1" selected="0">
            <x v="1"/>
          </reference>
        </references>
      </pivotArea>
    </chartFormat>
    <chartFormat chart="5" format="16">
      <pivotArea type="data" outline="0" fieldPosition="0">
        <references count="3">
          <reference field="4294967294" count="1" selected="0">
            <x v="0"/>
          </reference>
          <reference field="6" count="1" selected="0">
            <x v="1"/>
          </reference>
          <reference field="7" count="1" selected="0">
            <x v="0"/>
          </reference>
        </references>
      </pivotArea>
    </chartFormat>
    <chartFormat chart="5" format="17">
      <pivotArea type="data" outline="0" fieldPosition="0">
        <references count="3">
          <reference field="4294967294" count="1" selected="0">
            <x v="0"/>
          </reference>
          <reference field="6" count="1" selected="0">
            <x v="1"/>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3E648A2-469D-44F8-B4BA-6063FF83B2FC}" name="Early_ku"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9:D63" firstHeaderRow="1" firstDataRow="2" firstDataCol="1"/>
  <pivotFields count="50">
    <pivotField showAll="0"/>
    <pivotField showAll="0"/>
    <pivotField showAll="0"/>
    <pivotField showAll="0">
      <items count="16">
        <item x="2"/>
        <item x="13"/>
        <item x="11"/>
        <item x="5"/>
        <item x="8"/>
        <item x="0"/>
        <item x="7"/>
        <item x="9"/>
        <item x="14"/>
        <item x="3"/>
        <item x="6"/>
        <item x="1"/>
        <item x="4"/>
        <item x="10"/>
        <item x="12"/>
        <item t="default"/>
      </items>
    </pivotField>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 Early Premature (28-31 weeks): NO" x="0"/>
        <item n=" Early Premature (28-31 weeks): YE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2"/>
  </rowFields>
  <rowItems count="3">
    <i>
      <x/>
    </i>
    <i>
      <x v="1"/>
    </i>
    <i t="grand">
      <x/>
    </i>
  </rowItems>
  <colFields count="1">
    <field x="7"/>
  </colFields>
  <colItems count="3">
    <i>
      <x/>
    </i>
    <i>
      <x v="1"/>
    </i>
    <i t="grand">
      <x/>
    </i>
  </colItems>
  <dataFields count="1">
    <dataField name="Count of Early Premature _x000a_(28-31 weeks)" fld="32" subtotal="count" baseField="0" baseItem="0"/>
  </dataFields>
  <chartFormats count="10">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3">
          <reference field="4294967294" count="1" selected="0">
            <x v="0"/>
          </reference>
          <reference field="7" count="1" selected="0">
            <x v="1"/>
          </reference>
          <reference field="32" count="1" selected="0">
            <x v="1"/>
          </reference>
        </references>
      </pivotArea>
    </chartFormat>
    <chartFormat chart="0" format="3">
      <pivotArea type="data" outline="0" fieldPosition="0">
        <references count="3">
          <reference field="4294967294" count="1" selected="0">
            <x v="0"/>
          </reference>
          <reference field="7" count="1" selected="0">
            <x v="1"/>
          </reference>
          <reference field="32" count="1" selected="0">
            <x v="0"/>
          </reference>
        </references>
      </pivotArea>
    </chartFormat>
    <chartFormat chart="0" format="4">
      <pivotArea type="data" outline="0" fieldPosition="0">
        <references count="3">
          <reference field="4294967294" count="1" selected="0">
            <x v="0"/>
          </reference>
          <reference field="7" count="1" selected="0">
            <x v="0"/>
          </reference>
          <reference field="32" count="1" selected="0">
            <x v="0"/>
          </reference>
        </references>
      </pivotArea>
    </chartFormat>
    <chartFormat chart="4" format="10" series="1">
      <pivotArea type="data" outline="0" fieldPosition="0">
        <references count="2">
          <reference field="4294967294" count="1" selected="0">
            <x v="0"/>
          </reference>
          <reference field="7" count="1" selected="0">
            <x v="0"/>
          </reference>
        </references>
      </pivotArea>
    </chartFormat>
    <chartFormat chart="4" format="11">
      <pivotArea type="data" outline="0" fieldPosition="0">
        <references count="3">
          <reference field="4294967294" count="1" selected="0">
            <x v="0"/>
          </reference>
          <reference field="7" count="1" selected="0">
            <x v="0"/>
          </reference>
          <reference field="32" count="1" selected="0">
            <x v="0"/>
          </reference>
        </references>
      </pivotArea>
    </chartFormat>
    <chartFormat chart="4" format="12" series="1">
      <pivotArea type="data" outline="0" fieldPosition="0">
        <references count="2">
          <reference field="4294967294" count="1" selected="0">
            <x v="0"/>
          </reference>
          <reference field="7" count="1" selected="0">
            <x v="1"/>
          </reference>
        </references>
      </pivotArea>
    </chartFormat>
    <chartFormat chart="4" format="13">
      <pivotArea type="data" outline="0" fieldPosition="0">
        <references count="3">
          <reference field="4294967294" count="1" selected="0">
            <x v="0"/>
          </reference>
          <reference field="7" count="1" selected="0">
            <x v="1"/>
          </reference>
          <reference field="32" count="1" selected="0">
            <x v="0"/>
          </reference>
        </references>
      </pivotArea>
    </chartFormat>
    <chartFormat chart="4" format="14">
      <pivotArea type="data" outline="0" fieldPosition="0">
        <references count="3">
          <reference field="4294967294" count="1" selected="0">
            <x v="0"/>
          </reference>
          <reference field="7" count="1" selected="0">
            <x v="1"/>
          </reference>
          <reference field="32"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ABA780E-173A-40AB-907F-8DB7C64F540F}" name="HR_death(K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0:D34" firstHeaderRow="1" firstDataRow="2" firstDataCol="1"/>
  <pivotFields count="50">
    <pivotField showAll="0"/>
    <pivotField showAll="0">
      <items count="16">
        <item x="11"/>
        <item x="13"/>
        <item x="12"/>
        <item x="0"/>
        <item x="8"/>
        <item x="14"/>
        <item x="10"/>
        <item x="3"/>
        <item x="9"/>
        <item x="6"/>
        <item x="1"/>
        <item x="4"/>
        <item x="7"/>
        <item x="2"/>
        <item x="5"/>
        <item t="default"/>
      </items>
    </pivotField>
    <pivotField showAll="0">
      <items count="3">
        <item x="0"/>
        <item x="1"/>
        <item t="default"/>
      </items>
    </pivotField>
    <pivotField showAll="0">
      <items count="16">
        <item x="2"/>
        <item x="13"/>
        <item x="11"/>
        <item x="5"/>
        <item x="8"/>
        <item x="0"/>
        <item x="7"/>
        <item x="9"/>
        <item x="14"/>
        <item x="3"/>
        <item x="6"/>
        <item x="1"/>
        <item x="4"/>
        <item x="10"/>
        <item x="12"/>
        <item t="default"/>
      </items>
    </pivotField>
    <pivotField axis="axisRow" showAll="0">
      <items count="3">
        <item n="Without High Risk Pregnancy" x="1"/>
        <item n="With High Risk Pregnancy" x="0"/>
        <item t="default"/>
      </items>
    </pivotField>
    <pivotField showAll="0"/>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7"/>
  </colFields>
  <colItems count="3">
    <i>
      <x/>
    </i>
    <i>
      <x v="1"/>
    </i>
    <i t="grand">
      <x/>
    </i>
  </colItems>
  <dataFields count="1">
    <dataField name="Count of Death category" fld="7" subtotal="count" baseField="0" baseItem="0"/>
  </dataFields>
  <chartFormats count="1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3">
          <reference field="4294967294" count="1" selected="0">
            <x v="0"/>
          </reference>
          <reference field="4" count="1" selected="0">
            <x v="1"/>
          </reference>
          <reference field="7" count="1" selected="0">
            <x v="1"/>
          </reference>
        </references>
      </pivotArea>
    </chartFormat>
    <chartFormat chart="0" format="3">
      <pivotArea type="data" outline="0" fieldPosition="0">
        <references count="3">
          <reference field="4294967294" count="1" selected="0">
            <x v="0"/>
          </reference>
          <reference field="4" count="1" selected="0">
            <x v="1"/>
          </reference>
          <reference field="7" count="1" selected="0">
            <x v="0"/>
          </reference>
        </references>
      </pivotArea>
    </chartFormat>
    <chartFormat chart="0" format="4">
      <pivotArea type="data" outline="0" fieldPosition="0">
        <references count="3">
          <reference field="4294967294" count="1" selected="0">
            <x v="0"/>
          </reference>
          <reference field="4" count="1" selected="0">
            <x v="0"/>
          </reference>
          <reference field="7" count="1" selected="0">
            <x v="1"/>
          </reference>
        </references>
      </pivotArea>
    </chartFormat>
    <chartFormat chart="0" format="5">
      <pivotArea type="data" outline="0" fieldPosition="0">
        <references count="3">
          <reference field="4294967294" count="1" selected="0">
            <x v="0"/>
          </reference>
          <reference field="4" count="1" selected="0">
            <x v="0"/>
          </reference>
          <reference field="7" count="1" selected="0">
            <x v="0"/>
          </reference>
        </references>
      </pivotArea>
    </chartFormat>
    <chartFormat chart="3" format="12" series="1">
      <pivotArea type="data" outline="0" fieldPosition="0">
        <references count="2">
          <reference field="4294967294" count="1" selected="0">
            <x v="0"/>
          </reference>
          <reference field="7" count="1" selected="0">
            <x v="0"/>
          </reference>
        </references>
      </pivotArea>
    </chartFormat>
    <chartFormat chart="3" format="13">
      <pivotArea type="data" outline="0" fieldPosition="0">
        <references count="3">
          <reference field="4294967294" count="1" selected="0">
            <x v="0"/>
          </reference>
          <reference field="4" count="1" selected="0">
            <x v="0"/>
          </reference>
          <reference field="7" count="1" selected="0">
            <x v="0"/>
          </reference>
        </references>
      </pivotArea>
    </chartFormat>
    <chartFormat chart="3" format="14">
      <pivotArea type="data" outline="0" fieldPosition="0">
        <references count="3">
          <reference field="4294967294" count="1" selected="0">
            <x v="0"/>
          </reference>
          <reference field="4" count="1" selected="0">
            <x v="1"/>
          </reference>
          <reference field="7" count="1" selected="0">
            <x v="0"/>
          </reference>
        </references>
      </pivotArea>
    </chartFormat>
    <chartFormat chart="3" format="15" series="1">
      <pivotArea type="data" outline="0" fieldPosition="0">
        <references count="2">
          <reference field="4294967294" count="1" selected="0">
            <x v="0"/>
          </reference>
          <reference field="7" count="1" selected="0">
            <x v="1"/>
          </reference>
        </references>
      </pivotArea>
    </chartFormat>
    <chartFormat chart="3" format="16">
      <pivotArea type="data" outline="0" fieldPosition="0">
        <references count="3">
          <reference field="4294967294" count="1" selected="0">
            <x v="0"/>
          </reference>
          <reference field="4" count="1" selected="0">
            <x v="0"/>
          </reference>
          <reference field="7" count="1" selected="0">
            <x v="1"/>
          </reference>
        </references>
      </pivotArea>
    </chartFormat>
    <chartFormat chart="3" format="17">
      <pivotArea type="data" outline="0" fieldPosition="0">
        <references count="3">
          <reference field="4294967294" count="1" selected="0">
            <x v="0"/>
          </reference>
          <reference field="4" count="1" selected="0">
            <x v="1"/>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CDF9B60-8C20-4993-BDBB-23B279925ADA}" name="Total_preventable_ku"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7:D89" firstHeaderRow="1" firstDataRow="2" firstDataCol="1"/>
  <pivotFields count="50">
    <pivotField showAll="0"/>
    <pivotField showAll="0">
      <items count="16">
        <item x="11"/>
        <item x="13"/>
        <item x="12"/>
        <item x="0"/>
        <item x="8"/>
        <item x="14"/>
        <item x="10"/>
        <item x="3"/>
        <item x="9"/>
        <item x="6"/>
        <item x="1"/>
        <item x="4"/>
        <item x="7"/>
        <item x="2"/>
        <item x="5"/>
        <item t="default"/>
      </items>
    </pivotField>
    <pivotField showAll="0">
      <items count="3">
        <item x="0"/>
        <item x="1"/>
        <item t="default"/>
      </items>
    </pivotField>
    <pivotField showAll="0">
      <items count="16">
        <item x="2"/>
        <item x="13"/>
        <item x="11"/>
        <item x="5"/>
        <item x="8"/>
        <item x="0"/>
        <item x="7"/>
        <item x="9"/>
        <item x="14"/>
        <item x="3"/>
        <item x="6"/>
        <item x="1"/>
        <item x="4"/>
        <item x="10"/>
        <item x="12"/>
        <item t="default"/>
      </items>
    </pivotField>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0"/>
  </colFields>
  <colItems count="3">
    <i>
      <x/>
    </i>
    <i>
      <x v="1"/>
    </i>
    <i t="grand">
      <x/>
    </i>
  </colItems>
  <dataFields count="1">
    <dataField name="Count of Preventable _x000a_(Yes / No)" fld="1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7DCA8295-3F24-4B6C-954B-A89710230A6D}" name="Delivary_type(K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D13" firstHeaderRow="1" firstDataRow="2" firstDataCol="1"/>
  <pivotFields count="50">
    <pivotField showAll="0"/>
    <pivotField showAll="0">
      <items count="16">
        <item x="11"/>
        <item x="13"/>
        <item x="12"/>
        <item x="0"/>
        <item x="8"/>
        <item x="14"/>
        <item x="10"/>
        <item x="3"/>
        <item x="9"/>
        <item x="6"/>
        <item x="1"/>
        <item x="4"/>
        <item x="7"/>
        <item x="2"/>
        <item x="5"/>
        <item t="default"/>
      </items>
    </pivotField>
    <pivotField showAll="0">
      <items count="3">
        <item x="0"/>
        <item x="1"/>
        <item t="default"/>
      </items>
    </pivotField>
    <pivotField showAll="0">
      <items count="16">
        <item x="2"/>
        <item x="13"/>
        <item x="11"/>
        <item x="5"/>
        <item x="8"/>
        <item x="0"/>
        <item x="7"/>
        <item x="9"/>
        <item x="14"/>
        <item x="3"/>
        <item x="6"/>
        <item x="1"/>
        <item x="4"/>
        <item x="10"/>
        <item x="12"/>
        <item t="default"/>
      </items>
    </pivotField>
    <pivotField showAll="0"/>
    <pivotField axis="axisRow" showAll="0">
      <items count="3">
        <item x="0"/>
        <item x="1"/>
        <item t="default"/>
      </items>
    </pivotField>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7"/>
  </colFields>
  <colItems count="3">
    <i>
      <x/>
    </i>
    <i>
      <x v="1"/>
    </i>
    <i t="grand">
      <x/>
    </i>
  </colItems>
  <dataFields count="1">
    <dataField name="Count of Death category" fld="7" subtotal="count" baseField="0" baseItem="0"/>
  </dataFields>
  <chartFormats count="1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3">
          <reference field="4294967294" count="1" selected="0">
            <x v="0"/>
          </reference>
          <reference field="5" count="1" selected="0">
            <x v="1"/>
          </reference>
          <reference field="7" count="1" selected="0">
            <x v="0"/>
          </reference>
        </references>
      </pivotArea>
    </chartFormat>
    <chartFormat chart="0" format="3">
      <pivotArea type="data" outline="0" fieldPosition="0">
        <references count="3">
          <reference field="4294967294" count="1" selected="0">
            <x v="0"/>
          </reference>
          <reference field="5" count="1" selected="0">
            <x v="1"/>
          </reference>
          <reference field="7" count="1" selected="0">
            <x v="1"/>
          </reference>
        </references>
      </pivotArea>
    </chartFormat>
    <chartFormat chart="0" format="4">
      <pivotArea type="data" outline="0" fieldPosition="0">
        <references count="3">
          <reference field="4294967294" count="1" selected="0">
            <x v="0"/>
          </reference>
          <reference field="5" count="1" selected="0">
            <x v="0"/>
          </reference>
          <reference field="7" count="1" selected="0">
            <x v="1"/>
          </reference>
        </references>
      </pivotArea>
    </chartFormat>
    <chartFormat chart="0" format="5">
      <pivotArea type="data" outline="0" fieldPosition="0">
        <references count="3">
          <reference field="4294967294" count="1" selected="0">
            <x v="0"/>
          </reference>
          <reference field="5" count="1" selected="0">
            <x v="0"/>
          </reference>
          <reference field="7" count="1" selected="0">
            <x v="0"/>
          </reference>
        </references>
      </pivotArea>
    </chartFormat>
    <chartFormat chart="3" format="12" series="1">
      <pivotArea type="data" outline="0" fieldPosition="0">
        <references count="2">
          <reference field="4294967294" count="1" selected="0">
            <x v="0"/>
          </reference>
          <reference field="7" count="1" selected="0">
            <x v="0"/>
          </reference>
        </references>
      </pivotArea>
    </chartFormat>
    <chartFormat chart="3" format="13">
      <pivotArea type="data" outline="0" fieldPosition="0">
        <references count="3">
          <reference field="4294967294" count="1" selected="0">
            <x v="0"/>
          </reference>
          <reference field="5" count="1" selected="0">
            <x v="0"/>
          </reference>
          <reference field="7" count="1" selected="0">
            <x v="0"/>
          </reference>
        </references>
      </pivotArea>
    </chartFormat>
    <chartFormat chart="3" format="14">
      <pivotArea type="data" outline="0" fieldPosition="0">
        <references count="3">
          <reference field="4294967294" count="1" selected="0">
            <x v="0"/>
          </reference>
          <reference field="5" count="1" selected="0">
            <x v="1"/>
          </reference>
          <reference field="7" count="1" selected="0">
            <x v="0"/>
          </reference>
        </references>
      </pivotArea>
    </chartFormat>
    <chartFormat chart="3" format="15" series="1">
      <pivotArea type="data" outline="0" fieldPosition="0">
        <references count="2">
          <reference field="4294967294" count="1" selected="0">
            <x v="0"/>
          </reference>
          <reference field="7" count="1" selected="0">
            <x v="1"/>
          </reference>
        </references>
      </pivotArea>
    </chartFormat>
    <chartFormat chart="3" format="16">
      <pivotArea type="data" outline="0" fieldPosition="0">
        <references count="3">
          <reference field="4294967294" count="1" selected="0">
            <x v="0"/>
          </reference>
          <reference field="5" count="1" selected="0">
            <x v="0"/>
          </reference>
          <reference field="7" count="1" selected="0">
            <x v="1"/>
          </reference>
        </references>
      </pivotArea>
    </chartFormat>
    <chartFormat chart="3" format="17">
      <pivotArea type="data" outline="0" fieldPosition="0">
        <references count="3">
          <reference field="4294967294" count="1" selected="0">
            <x v="0"/>
          </reference>
          <reference field="5" count="1" selected="0">
            <x v="1"/>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5DA4F12-95E5-431E-A474-440F9B558CAA}" name="Moderate_ku"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6:D70" firstHeaderRow="1" firstDataRow="2" firstDataCol="1"/>
  <pivotFields count="50">
    <pivotField showAll="0"/>
    <pivotField showAll="0"/>
    <pivotField showAll="0"/>
    <pivotField showAll="0">
      <items count="16">
        <item x="2"/>
        <item x="13"/>
        <item x="11"/>
        <item x="5"/>
        <item x="8"/>
        <item x="0"/>
        <item x="7"/>
        <item x="9"/>
        <item x="14"/>
        <item x="3"/>
        <item x="6"/>
        <item x="1"/>
        <item x="4"/>
        <item x="10"/>
        <item x="12"/>
        <item t="default"/>
      </items>
    </pivotField>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Morderate Premature (&lt;32-33 weeks): NO" x="1"/>
        <item n="Morderate Premature (&lt;32-33 weeks): YES"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3"/>
  </rowFields>
  <rowItems count="3">
    <i>
      <x/>
    </i>
    <i>
      <x v="1"/>
    </i>
    <i t="grand">
      <x/>
    </i>
  </rowItems>
  <colFields count="1">
    <field x="7"/>
  </colFields>
  <colItems count="3">
    <i>
      <x/>
    </i>
    <i>
      <x v="1"/>
    </i>
    <i t="grand">
      <x/>
    </i>
  </colItems>
  <dataFields count="1">
    <dataField name="Count of Morderate Premature _x000a_(&lt;32-33 weeks)" fld="33"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0DAA33D-128A-471E-B045-B9B0E0A1802E}" name="Hypertension(K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7:D41" firstHeaderRow="1" firstDataRow="2" firstDataCol="1"/>
  <pivotFields count="50">
    <pivotField showAll="0"/>
    <pivotField showAll="0">
      <items count="16">
        <item x="11"/>
        <item x="13"/>
        <item x="12"/>
        <item x="0"/>
        <item x="8"/>
        <item x="14"/>
        <item x="10"/>
        <item x="3"/>
        <item x="9"/>
        <item x="6"/>
        <item x="1"/>
        <item x="4"/>
        <item x="7"/>
        <item x="2"/>
        <item x="5"/>
        <item t="default"/>
      </items>
    </pivotField>
    <pivotField showAll="0">
      <items count="3">
        <item x="0"/>
        <item x="1"/>
        <item t="default"/>
      </items>
    </pivotField>
    <pivotField showAll="0">
      <items count="16">
        <item x="2"/>
        <item x="13"/>
        <item x="11"/>
        <item x="5"/>
        <item x="8"/>
        <item x="0"/>
        <item x="7"/>
        <item x="9"/>
        <item x="14"/>
        <item x="3"/>
        <item x="6"/>
        <item x="1"/>
        <item x="4"/>
        <item x="10"/>
        <item x="12"/>
        <item t="default"/>
      </items>
    </pivotField>
    <pivotField showAll="0"/>
    <pivotField showAll="0"/>
    <pivotField showAll="0"/>
    <pivotField axis="axisCol" dataField="1" showAll="0">
      <items count="3">
        <item x="1"/>
        <item x="0"/>
        <item t="default"/>
      </items>
    </pivotField>
    <pivotField showAll="0"/>
    <pivotField showAll="0"/>
    <pivotField showAll="0"/>
    <pivotField showAll="0"/>
    <pivotField showAll="0"/>
    <pivotField showAll="0"/>
    <pivotField axis="axisRow" showAll="0">
      <items count="3">
        <item n="Without hypertensive Disorder" x="0"/>
        <item n="With hypertensive Disorder"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3">
    <i>
      <x/>
    </i>
    <i>
      <x v="1"/>
    </i>
    <i t="grand">
      <x/>
    </i>
  </rowItems>
  <colFields count="1">
    <field x="7"/>
  </colFields>
  <colItems count="3">
    <i>
      <x/>
    </i>
    <i>
      <x v="1"/>
    </i>
    <i t="grand">
      <x/>
    </i>
  </colItems>
  <dataFields count="1">
    <dataField name="Count of Death category" fld="7" subtotal="count" baseField="0" baseItem="0"/>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3">
          <reference field="4294967294" count="1" selected="0">
            <x v="0"/>
          </reference>
          <reference field="7" count="1" selected="0">
            <x v="1"/>
          </reference>
          <reference field="14" count="1" selected="0">
            <x v="0"/>
          </reference>
        </references>
      </pivotArea>
    </chartFormat>
    <chartFormat chart="16" format="6" series="1">
      <pivotArea type="data" outline="0" fieldPosition="0">
        <references count="2">
          <reference field="4294967294" count="1" selected="0">
            <x v="0"/>
          </reference>
          <reference field="7" count="1" selected="0">
            <x v="1"/>
          </reference>
        </references>
      </pivotArea>
    </chartFormat>
    <chartFormat chart="16" format="7">
      <pivotArea type="data" outline="0" fieldPosition="0">
        <references count="3">
          <reference field="4294967294" count="1" selected="0">
            <x v="0"/>
          </reference>
          <reference field="7" count="1" selected="0">
            <x v="1"/>
          </reference>
          <reference field="14" count="1" selected="0">
            <x v="0"/>
          </reference>
        </references>
      </pivotArea>
    </chartFormat>
    <chartFormat chart="16" format="8" series="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7C271E3D-4E44-4D6D-AF92-FEF746359BED}" name="Gender(U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9:D23" firstHeaderRow="1" firstDataRow="2" firstDataCol="1"/>
  <pivotFields count="50">
    <pivotField showAll="0"/>
    <pivotField showAll="0">
      <items count="19">
        <item x="5"/>
        <item x="1"/>
        <item x="7"/>
        <item x="10"/>
        <item x="0"/>
        <item x="3"/>
        <item x="6"/>
        <item x="2"/>
        <item x="4"/>
        <item x="15"/>
        <item x="9"/>
        <item x="12"/>
        <item x="17"/>
        <item x="16"/>
        <item x="13"/>
        <item x="8"/>
        <item x="11"/>
        <item x="14"/>
        <item t="default"/>
      </items>
    </pivotField>
    <pivotField showAll="0">
      <items count="3">
        <item x="1"/>
        <item x="0"/>
        <item t="default"/>
      </items>
    </pivotField>
    <pivotField showAll="0">
      <items count="12">
        <item x="8"/>
        <item x="4"/>
        <item x="3"/>
        <item x="5"/>
        <item x="0"/>
        <item x="9"/>
        <item x="6"/>
        <item x="10"/>
        <item x="1"/>
        <item x="2"/>
        <item x="7"/>
        <item t="default"/>
      </items>
    </pivotField>
    <pivotField showAll="0"/>
    <pivotField showAll="0"/>
    <pivotField axis="axisCol" showAll="0">
      <items count="3">
        <item x="1"/>
        <item x="0"/>
        <item t="default"/>
      </items>
    </pivotField>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Fields count="1">
    <field x="6"/>
  </colFields>
  <colItems count="3">
    <i>
      <x/>
    </i>
    <i>
      <x v="1"/>
    </i>
    <i t="grand">
      <x/>
    </i>
  </colItems>
  <dataFields count="1">
    <dataField name="Count of Death category" fld="7" subtotal="count" baseField="0" baseItem="0"/>
  </dataFields>
  <chartFormats count="1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3">
          <reference field="4294967294" count="1" selected="0">
            <x v="0"/>
          </reference>
          <reference field="6" count="1" selected="0">
            <x v="1"/>
          </reference>
          <reference field="7" count="1" selected="0">
            <x v="0"/>
          </reference>
        </references>
      </pivotArea>
    </chartFormat>
    <chartFormat chart="0" format="3">
      <pivotArea type="data" outline="0" fieldPosition="0">
        <references count="3">
          <reference field="4294967294" count="1" selected="0">
            <x v="0"/>
          </reference>
          <reference field="6" count="1" selected="0">
            <x v="1"/>
          </reference>
          <reference field="7" count="1" selected="0">
            <x v="1"/>
          </reference>
        </references>
      </pivotArea>
    </chartFormat>
    <chartFormat chart="0" format="4">
      <pivotArea type="data" outline="0" fieldPosition="0">
        <references count="3">
          <reference field="4294967294" count="1" selected="0">
            <x v="0"/>
          </reference>
          <reference field="6" count="1" selected="0">
            <x v="0"/>
          </reference>
          <reference field="7" count="1" selected="0">
            <x v="1"/>
          </reference>
        </references>
      </pivotArea>
    </chartFormat>
    <chartFormat chart="0" format="5">
      <pivotArea type="data" outline="0" fieldPosition="0">
        <references count="3">
          <reference field="4294967294" count="1" selected="0">
            <x v="0"/>
          </reference>
          <reference field="6" count="1" selected="0">
            <x v="0"/>
          </reference>
          <reference field="7" count="1" selected="0">
            <x v="0"/>
          </reference>
        </references>
      </pivotArea>
    </chartFormat>
    <chartFormat chart="4" format="12" series="1">
      <pivotArea type="data" outline="0" fieldPosition="0">
        <references count="2">
          <reference field="4294967294" count="1" selected="0">
            <x v="0"/>
          </reference>
          <reference field="6" count="1" selected="0">
            <x v="0"/>
          </reference>
        </references>
      </pivotArea>
    </chartFormat>
    <chartFormat chart="4" format="13">
      <pivotArea type="data" outline="0" fieldPosition="0">
        <references count="3">
          <reference field="4294967294" count="1" selected="0">
            <x v="0"/>
          </reference>
          <reference field="6" count="1" selected="0">
            <x v="0"/>
          </reference>
          <reference field="7" count="1" selected="0">
            <x v="0"/>
          </reference>
        </references>
      </pivotArea>
    </chartFormat>
    <chartFormat chart="4" format="14">
      <pivotArea type="data" outline="0" fieldPosition="0">
        <references count="3">
          <reference field="4294967294" count="1" selected="0">
            <x v="0"/>
          </reference>
          <reference field="6" count="1" selected="0">
            <x v="0"/>
          </reference>
          <reference field="7" count="1" selected="0">
            <x v="1"/>
          </reference>
        </references>
      </pivotArea>
    </chartFormat>
    <chartFormat chart="4" format="15" series="1">
      <pivotArea type="data" outline="0" fieldPosition="0">
        <references count="2">
          <reference field="4294967294" count="1" selected="0">
            <x v="0"/>
          </reference>
          <reference field="6" count="1" selected="0">
            <x v="1"/>
          </reference>
        </references>
      </pivotArea>
    </chartFormat>
    <chartFormat chart="4" format="16">
      <pivotArea type="data" outline="0" fieldPosition="0">
        <references count="3">
          <reference field="4294967294" count="1" selected="0">
            <x v="0"/>
          </reference>
          <reference field="6" count="1" selected="0">
            <x v="1"/>
          </reference>
          <reference field="7" count="1" selected="0">
            <x v="0"/>
          </reference>
        </references>
      </pivotArea>
    </chartFormat>
    <chartFormat chart="4" format="17">
      <pivotArea type="data" outline="0" fieldPosition="0">
        <references count="3">
          <reference field="4294967294" count="1" selected="0">
            <x v="0"/>
          </reference>
          <reference field="6" count="1" selected="0">
            <x v="1"/>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AECB453-BA7A-4AA5-B606-DC50AEFB20F5}" name="Early_u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6:D70" firstHeaderRow="1" firstDataRow="2" firstDataCol="1"/>
  <pivotFields count="50">
    <pivotField showAll="0"/>
    <pivotField showAll="0">
      <items count="19">
        <item x="5"/>
        <item x="1"/>
        <item x="7"/>
        <item x="10"/>
        <item x="0"/>
        <item x="3"/>
        <item x="6"/>
        <item x="2"/>
        <item x="4"/>
        <item x="15"/>
        <item x="9"/>
        <item x="12"/>
        <item x="17"/>
        <item x="16"/>
        <item x="13"/>
        <item x="8"/>
        <item x="11"/>
        <item x="14"/>
        <item t="default"/>
      </items>
    </pivotField>
    <pivotField showAll="0">
      <items count="3">
        <item x="1"/>
        <item x="0"/>
        <item t="default"/>
      </items>
    </pivotField>
    <pivotField showAll="0">
      <items count="12">
        <item x="8"/>
        <item x="4"/>
        <item x="3"/>
        <item x="5"/>
        <item x="0"/>
        <item x="9"/>
        <item x="6"/>
        <item x="10"/>
        <item x="1"/>
        <item x="2"/>
        <item x="7"/>
        <item t="default"/>
      </items>
    </pivotField>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Early Premature (28-31 weeks): NO" x="0"/>
        <item n="Early Premature (28-31 weeks): YE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2"/>
  </rowFields>
  <rowItems count="3">
    <i>
      <x/>
    </i>
    <i>
      <x v="1"/>
    </i>
    <i t="grand">
      <x/>
    </i>
  </rowItems>
  <colFields count="1">
    <field x="7"/>
  </colFields>
  <colItems count="3">
    <i>
      <x/>
    </i>
    <i>
      <x v="1"/>
    </i>
    <i t="grand">
      <x/>
    </i>
  </colItems>
  <dataFields count="1">
    <dataField name="Count of Early Premature (28-31 weeks)" fld="32"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20477F0B-4BE3-4C5F-9213-5A0E9DD4EF01}" name="Moderate_u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3:D76" firstHeaderRow="1" firstDataRow="2" firstDataCol="1"/>
  <pivotFields count="50">
    <pivotField showAll="0"/>
    <pivotField showAll="0">
      <items count="19">
        <item x="5"/>
        <item x="1"/>
        <item x="7"/>
        <item x="10"/>
        <item x="0"/>
        <item x="3"/>
        <item x="6"/>
        <item x="2"/>
        <item x="4"/>
        <item x="15"/>
        <item x="9"/>
        <item x="12"/>
        <item x="17"/>
        <item x="16"/>
        <item x="13"/>
        <item x="8"/>
        <item x="11"/>
        <item x="14"/>
        <item t="default"/>
      </items>
    </pivotField>
    <pivotField showAll="0">
      <items count="3">
        <item x="1"/>
        <item x="0"/>
        <item t="default"/>
      </items>
    </pivotField>
    <pivotField showAll="0">
      <items count="12">
        <item x="8"/>
        <item x="4"/>
        <item x="3"/>
        <item x="5"/>
        <item x="0"/>
        <item x="9"/>
        <item x="6"/>
        <item x="10"/>
        <item x="1"/>
        <item x="2"/>
        <item x="7"/>
        <item t="default"/>
      </items>
    </pivotField>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2">
        <item n="Morderate Premature (&lt;32-33 weeks): NO"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3"/>
  </rowFields>
  <rowItems count="2">
    <i>
      <x/>
    </i>
    <i t="grand">
      <x/>
    </i>
  </rowItems>
  <colFields count="1">
    <field x="7"/>
  </colFields>
  <colItems count="3">
    <i>
      <x/>
    </i>
    <i>
      <x v="1"/>
    </i>
    <i t="grand">
      <x/>
    </i>
  </colItems>
  <dataFields count="1">
    <dataField name="Count of Morderate Premature (&lt;32-33 weeks)" fld="33" subtotal="count" baseField="0" baseItem="0"/>
  </dataField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3">
          <reference field="4294967294" count="1" selected="0">
            <x v="0"/>
          </reference>
          <reference field="7" count="1" selected="0">
            <x v="0"/>
          </reference>
          <reference field="33" count="1" selected="0">
            <x v="0"/>
          </reference>
        </references>
      </pivotArea>
    </chartFormat>
    <chartFormat chart="0" format="3">
      <pivotArea type="data" outline="0" fieldPosition="0">
        <references count="3">
          <reference field="4294967294" count="1" selected="0">
            <x v="0"/>
          </reference>
          <reference field="7" count="1" selected="0">
            <x v="1"/>
          </reference>
          <reference field="33" count="1" selected="0">
            <x v="0"/>
          </reference>
        </references>
      </pivotArea>
    </chartFormat>
    <chartFormat chart="4" format="8" series="1">
      <pivotArea type="data" outline="0" fieldPosition="0">
        <references count="2">
          <reference field="4294967294" count="1" selected="0">
            <x v="0"/>
          </reference>
          <reference field="7" count="1" selected="0">
            <x v="0"/>
          </reference>
        </references>
      </pivotArea>
    </chartFormat>
    <chartFormat chart="4" format="9">
      <pivotArea type="data" outline="0" fieldPosition="0">
        <references count="3">
          <reference field="4294967294" count="1" selected="0">
            <x v="0"/>
          </reference>
          <reference field="7" count="1" selected="0">
            <x v="0"/>
          </reference>
          <reference field="33" count="1" selected="0">
            <x v="0"/>
          </reference>
        </references>
      </pivotArea>
    </chartFormat>
    <chartFormat chart="4" format="10" series="1">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3">
          <reference field="4294967294" count="1" selected="0">
            <x v="0"/>
          </reference>
          <reference field="7" count="1" selected="0">
            <x v="1"/>
          </reference>
          <reference field="33"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5092492-1D05-4757-BF4F-2B05FB44CF15}" name="LBW_u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2:D56" firstHeaderRow="1" firstDataRow="2" firstDataCol="1"/>
  <pivotFields count="50">
    <pivotField showAll="0"/>
    <pivotField showAll="0">
      <items count="19">
        <item x="5"/>
        <item x="1"/>
        <item x="7"/>
        <item x="10"/>
        <item x="0"/>
        <item x="3"/>
        <item x="6"/>
        <item x="2"/>
        <item x="4"/>
        <item x="15"/>
        <item x="9"/>
        <item x="12"/>
        <item x="17"/>
        <item x="16"/>
        <item x="13"/>
        <item x="8"/>
        <item x="11"/>
        <item x="14"/>
        <item t="default"/>
      </items>
    </pivotField>
    <pivotField showAll="0">
      <items count="3">
        <item x="1"/>
        <item x="0"/>
        <item t="default"/>
      </items>
    </pivotField>
    <pivotField showAll="0">
      <items count="12">
        <item x="8"/>
        <item x="4"/>
        <item x="3"/>
        <item x="5"/>
        <item x="0"/>
        <item x="9"/>
        <item x="6"/>
        <item x="10"/>
        <item x="1"/>
        <item x="2"/>
        <item x="7"/>
        <item t="default"/>
      </items>
    </pivotField>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LBW: NO" x="0"/>
        <item n="LBW: YE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0"/>
  </rowFields>
  <rowItems count="3">
    <i>
      <x/>
    </i>
    <i>
      <x v="1"/>
    </i>
    <i t="grand">
      <x/>
    </i>
  </rowItems>
  <colFields count="1">
    <field x="7"/>
  </colFields>
  <colItems count="3">
    <i>
      <x/>
    </i>
    <i>
      <x v="1"/>
    </i>
    <i t="grand">
      <x/>
    </i>
  </colItems>
  <dataFields count="1">
    <dataField name="Count of LBW" fld="30" subtotal="count" baseField="0" baseItem="0"/>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3">
          <reference field="4294967294" count="1" selected="0">
            <x v="0"/>
          </reference>
          <reference field="7" count="1" selected="0">
            <x v="1"/>
          </reference>
          <reference field="30" count="1" selected="0">
            <x v="0"/>
          </reference>
        </references>
      </pivotArea>
    </chartFormat>
    <chartFormat chart="4" format="6" series="1">
      <pivotArea type="data" outline="0" fieldPosition="0">
        <references count="2">
          <reference field="4294967294" count="1" selected="0">
            <x v="0"/>
          </reference>
          <reference field="7" count="1" selected="0">
            <x v="0"/>
          </reference>
        </references>
      </pivotArea>
    </chartFormat>
    <chartFormat chart="4" format="7" series="1">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3">
          <reference field="4294967294" count="1" selected="0">
            <x v="0"/>
          </reference>
          <reference field="7" count="1" selected="0">
            <x v="1"/>
          </reference>
          <reference field="30"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0BCCE151-7C52-4312-9888-2A92F7CDBEF0}" name="Total_death_u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8:D100" firstHeaderRow="1" firstDataRow="2" firstDataCol="1"/>
  <pivotFields count="50">
    <pivotField showAll="0"/>
    <pivotField showAll="0">
      <items count="19">
        <item x="5"/>
        <item x="1"/>
        <item x="7"/>
        <item x="10"/>
        <item x="0"/>
        <item x="3"/>
        <item x="6"/>
        <item x="2"/>
        <item x="4"/>
        <item x="15"/>
        <item x="9"/>
        <item x="12"/>
        <item x="17"/>
        <item x="16"/>
        <item x="13"/>
        <item x="8"/>
        <item x="11"/>
        <item x="14"/>
        <item t="default"/>
      </items>
    </pivotField>
    <pivotField showAll="0">
      <items count="3">
        <item x="1"/>
        <item x="0"/>
        <item t="default"/>
      </items>
    </pivotField>
    <pivotField showAll="0">
      <items count="12">
        <item x="8"/>
        <item x="4"/>
        <item x="3"/>
        <item x="5"/>
        <item x="0"/>
        <item x="9"/>
        <item x="6"/>
        <item x="10"/>
        <item x="1"/>
        <item x="2"/>
        <item x="7"/>
        <item t="default"/>
      </items>
    </pivotField>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7"/>
  </colFields>
  <colItems count="3">
    <i>
      <x/>
    </i>
    <i>
      <x v="1"/>
    </i>
    <i t="grand">
      <x/>
    </i>
  </colItems>
  <dataFields count="1">
    <dataField name="Count of Death category" fld="7"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D96C48D6-0275-48A3-9E9A-596DDE810C2B}" name="Delivary_type(U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D15" firstHeaderRow="1" firstDataRow="2" firstDataCol="1"/>
  <pivotFields count="50">
    <pivotField showAll="0"/>
    <pivotField showAll="0">
      <items count="19">
        <item x="5"/>
        <item x="1"/>
        <item x="7"/>
        <item x="10"/>
        <item x="0"/>
        <item x="3"/>
        <item x="6"/>
        <item x="2"/>
        <item x="4"/>
        <item x="15"/>
        <item x="9"/>
        <item x="12"/>
        <item x="17"/>
        <item x="16"/>
        <item x="13"/>
        <item x="8"/>
        <item x="11"/>
        <item x="14"/>
        <item t="default"/>
      </items>
    </pivotField>
    <pivotField showAll="0">
      <items count="3">
        <item x="1"/>
        <item x="0"/>
        <item t="default"/>
      </items>
    </pivotField>
    <pivotField showAll="0">
      <items count="12">
        <item x="8"/>
        <item x="4"/>
        <item x="3"/>
        <item x="5"/>
        <item x="0"/>
        <item x="9"/>
        <item x="6"/>
        <item x="10"/>
        <item x="1"/>
        <item x="2"/>
        <item x="7"/>
        <item t="default"/>
      </items>
    </pivotField>
    <pivotField showAll="0"/>
    <pivotField axis="axisRow" showAll="0">
      <items count="3">
        <item x="0"/>
        <item x="1"/>
        <item t="default"/>
      </items>
    </pivotField>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7"/>
  </colFields>
  <colItems count="3">
    <i>
      <x/>
    </i>
    <i>
      <x v="1"/>
    </i>
    <i t="grand">
      <x/>
    </i>
  </colItems>
  <dataFields count="1">
    <dataField name="Count of Death category" fld="7" subtotal="count" baseField="0" baseItem="0"/>
  </dataFields>
  <chartFormats count="1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3">
          <reference field="4294967294" count="1" selected="0">
            <x v="0"/>
          </reference>
          <reference field="5" count="1" selected="0">
            <x v="1"/>
          </reference>
          <reference field="7" count="1" selected="0">
            <x v="0"/>
          </reference>
        </references>
      </pivotArea>
    </chartFormat>
    <chartFormat chart="0" format="3">
      <pivotArea type="data" outline="0" fieldPosition="0">
        <references count="3">
          <reference field="4294967294" count="1" selected="0">
            <x v="0"/>
          </reference>
          <reference field="5" count="1" selected="0">
            <x v="0"/>
          </reference>
          <reference field="7" count="1" selected="0">
            <x v="0"/>
          </reference>
        </references>
      </pivotArea>
    </chartFormat>
    <chartFormat chart="0" format="4">
      <pivotArea type="data" outline="0" fieldPosition="0">
        <references count="3">
          <reference field="4294967294" count="1" selected="0">
            <x v="0"/>
          </reference>
          <reference field="5" count="1" selected="0">
            <x v="0"/>
          </reference>
          <reference field="7" count="1" selected="0">
            <x v="1"/>
          </reference>
        </references>
      </pivotArea>
    </chartFormat>
    <chartFormat chart="0" format="5">
      <pivotArea type="data" outline="0" fieldPosition="0">
        <references count="3">
          <reference field="4294967294" count="1" selected="0">
            <x v="0"/>
          </reference>
          <reference field="5" count="1" selected="0">
            <x v="1"/>
          </reference>
          <reference field="7" count="1" selected="0">
            <x v="1"/>
          </reference>
        </references>
      </pivotArea>
    </chartFormat>
    <chartFormat chart="3" format="12" series="1">
      <pivotArea type="data" outline="0" fieldPosition="0">
        <references count="2">
          <reference field="4294967294" count="1" selected="0">
            <x v="0"/>
          </reference>
          <reference field="7" count="1" selected="0">
            <x v="0"/>
          </reference>
        </references>
      </pivotArea>
    </chartFormat>
    <chartFormat chart="3" format="13">
      <pivotArea type="data" outline="0" fieldPosition="0">
        <references count="3">
          <reference field="4294967294" count="1" selected="0">
            <x v="0"/>
          </reference>
          <reference field="5" count="1" selected="0">
            <x v="0"/>
          </reference>
          <reference field="7" count="1" selected="0">
            <x v="0"/>
          </reference>
        </references>
      </pivotArea>
    </chartFormat>
    <chartFormat chart="3" format="14">
      <pivotArea type="data" outline="0" fieldPosition="0">
        <references count="3">
          <reference field="4294967294" count="1" selected="0">
            <x v="0"/>
          </reference>
          <reference field="5" count="1" selected="0">
            <x v="1"/>
          </reference>
          <reference field="7" count="1" selected="0">
            <x v="0"/>
          </reference>
        </references>
      </pivotArea>
    </chartFormat>
    <chartFormat chart="3" format="15" series="1">
      <pivotArea type="data" outline="0" fieldPosition="0">
        <references count="2">
          <reference field="4294967294" count="1" selected="0">
            <x v="0"/>
          </reference>
          <reference field="7" count="1" selected="0">
            <x v="1"/>
          </reference>
        </references>
      </pivotArea>
    </chartFormat>
    <chartFormat chart="3" format="16">
      <pivotArea type="data" outline="0" fieldPosition="0">
        <references count="3">
          <reference field="4294967294" count="1" selected="0">
            <x v="0"/>
          </reference>
          <reference field="5" count="1" selected="0">
            <x v="0"/>
          </reference>
          <reference field="7" count="1" selected="0">
            <x v="1"/>
          </reference>
        </references>
      </pivotArea>
    </chartFormat>
    <chartFormat chart="3" format="17">
      <pivotArea type="data" outline="0" fieldPosition="0">
        <references count="3">
          <reference field="4294967294" count="1" selected="0">
            <x v="0"/>
          </reference>
          <reference field="5" count="1" selected="0">
            <x v="1"/>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F4E4CE18-3CDF-43D4-AA75-3D3E79DC94A7}" name="Hypertension(U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43:D47" firstHeaderRow="1" firstDataRow="2" firstDataCol="1"/>
  <pivotFields count="50">
    <pivotField showAll="0"/>
    <pivotField showAll="0">
      <items count="19">
        <item x="5"/>
        <item x="1"/>
        <item x="7"/>
        <item x="10"/>
        <item x="0"/>
        <item x="3"/>
        <item x="6"/>
        <item x="2"/>
        <item x="4"/>
        <item x="15"/>
        <item x="9"/>
        <item x="12"/>
        <item x="17"/>
        <item x="16"/>
        <item x="13"/>
        <item x="8"/>
        <item x="11"/>
        <item x="14"/>
        <item t="default"/>
      </items>
    </pivotField>
    <pivotField showAll="0">
      <items count="3">
        <item x="1"/>
        <item x="0"/>
        <item t="default"/>
      </items>
    </pivotField>
    <pivotField showAll="0">
      <items count="12">
        <item x="8"/>
        <item x="4"/>
        <item x="3"/>
        <item x="5"/>
        <item x="0"/>
        <item x="9"/>
        <item x="6"/>
        <item x="10"/>
        <item x="1"/>
        <item x="2"/>
        <item x="7"/>
        <item t="default"/>
      </items>
    </pivotField>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axis="axisRow" showAll="0">
      <items count="3">
        <item n="Without hypertensive Disorder" x="1"/>
        <item n="With hypertensive Disorder"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3">
    <i>
      <x/>
    </i>
    <i>
      <x v="1"/>
    </i>
    <i t="grand">
      <x/>
    </i>
  </rowItems>
  <colFields count="1">
    <field x="7"/>
  </colFields>
  <colItems count="3">
    <i>
      <x/>
    </i>
    <i>
      <x v="1"/>
    </i>
    <i t="grand">
      <x/>
    </i>
  </colItems>
  <dataFields count="1">
    <dataField name="Count of Death category" fld="7" subtotal="count" baseField="0" baseItem="0"/>
  </dataFields>
  <chartFormats count="5">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3">
          <reference field="4294967294" count="1" selected="0">
            <x v="0"/>
          </reference>
          <reference field="7" count="1" selected="0">
            <x v="0"/>
          </reference>
          <reference field="14" count="1" selected="0">
            <x v="1"/>
          </reference>
        </references>
      </pivotArea>
    </chartFormat>
    <chartFormat chart="13" format="5" series="1">
      <pivotArea type="data" outline="0" fieldPosition="0">
        <references count="2">
          <reference field="4294967294" count="1" selected="0">
            <x v="0"/>
          </reference>
          <reference field="7" count="1" selected="0">
            <x v="1"/>
          </reference>
        </references>
      </pivotArea>
    </chartFormat>
    <chartFormat chart="13" format="6" series="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3496B651-E3E2-44A5-85FB-9432B1BABE7D}" name="extreme_u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9:D63" firstHeaderRow="1" firstDataRow="2" firstDataCol="1"/>
  <pivotFields count="50">
    <pivotField showAll="0"/>
    <pivotField showAll="0">
      <items count="19">
        <item x="5"/>
        <item x="1"/>
        <item x="7"/>
        <item x="10"/>
        <item x="0"/>
        <item x="3"/>
        <item x="6"/>
        <item x="2"/>
        <item x="4"/>
        <item x="15"/>
        <item x="9"/>
        <item x="12"/>
        <item x="17"/>
        <item x="16"/>
        <item x="13"/>
        <item x="8"/>
        <item x="11"/>
        <item x="14"/>
        <item t="default"/>
      </items>
    </pivotField>
    <pivotField showAll="0">
      <items count="3">
        <item x="1"/>
        <item x="0"/>
        <item t="default"/>
      </items>
    </pivotField>
    <pivotField showAll="0">
      <items count="12">
        <item x="8"/>
        <item x="4"/>
        <item x="3"/>
        <item x="5"/>
        <item x="0"/>
        <item x="9"/>
        <item x="6"/>
        <item x="10"/>
        <item x="1"/>
        <item x="2"/>
        <item x="7"/>
        <item t="default"/>
      </items>
    </pivotField>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Extreme preterm (&lt;28 weeks): NO" x="0"/>
        <item n="Extreme preterm (&lt;28 weeks): YE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1"/>
  </rowFields>
  <rowItems count="3">
    <i>
      <x/>
    </i>
    <i>
      <x v="1"/>
    </i>
    <i t="grand">
      <x/>
    </i>
  </rowItems>
  <colFields count="1">
    <field x="7"/>
  </colFields>
  <colItems count="3">
    <i>
      <x/>
    </i>
    <i>
      <x v="1"/>
    </i>
    <i t="grand">
      <x/>
    </i>
  </colItems>
  <dataFields count="1">
    <dataField name="Count of Extreme preterm _x000a_(&lt;28 weeks)" fld="31" subtotal="count" baseField="0" baseItem="0"/>
  </dataField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3">
          <reference field="4294967294" count="1" selected="0">
            <x v="0"/>
          </reference>
          <reference field="7" count="1" selected="0">
            <x v="1"/>
          </reference>
          <reference field="31" count="1" selected="0">
            <x v="0"/>
          </reference>
        </references>
      </pivotArea>
    </chartFormat>
    <chartFormat chart="0" format="3">
      <pivotArea type="data" outline="0" fieldPosition="0">
        <references count="3">
          <reference field="4294967294" count="1" selected="0">
            <x v="0"/>
          </reference>
          <reference field="7" count="1" selected="0">
            <x v="0"/>
          </reference>
          <reference field="31" count="1" selected="0">
            <x v="0"/>
          </reference>
        </references>
      </pivotArea>
    </chartFormat>
    <chartFormat chart="4" format="8" series="1">
      <pivotArea type="data" outline="0" fieldPosition="0">
        <references count="2">
          <reference field="4294967294" count="1" selected="0">
            <x v="0"/>
          </reference>
          <reference field="7" count="1" selected="0">
            <x v="0"/>
          </reference>
        </references>
      </pivotArea>
    </chartFormat>
    <chartFormat chart="4" format="9">
      <pivotArea type="data" outline="0" fieldPosition="0">
        <references count="3">
          <reference field="4294967294" count="1" selected="0">
            <x v="0"/>
          </reference>
          <reference field="7" count="1" selected="0">
            <x v="0"/>
          </reference>
          <reference field="31" count="1" selected="0">
            <x v="0"/>
          </reference>
        </references>
      </pivotArea>
    </chartFormat>
    <chartFormat chart="4" format="10" series="1">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3">
          <reference field="4294967294" count="1" selected="0">
            <x v="0"/>
          </reference>
          <reference field="7" count="1" selected="0">
            <x v="1"/>
          </reference>
          <reference field="31"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84C7CB6E-24F1-44DC-95D8-6F837A7B9A4F}" name="Total_preventable_u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D105" firstHeaderRow="1" firstDataRow="2" firstDataCol="1"/>
  <pivotFields count="50">
    <pivotField showAll="0"/>
    <pivotField showAll="0">
      <items count="19">
        <item x="5"/>
        <item x="1"/>
        <item x="7"/>
        <item x="10"/>
        <item x="0"/>
        <item x="3"/>
        <item x="6"/>
        <item x="2"/>
        <item x="4"/>
        <item x="15"/>
        <item x="9"/>
        <item x="12"/>
        <item x="17"/>
        <item x="16"/>
        <item x="13"/>
        <item x="8"/>
        <item x="11"/>
        <item x="14"/>
        <item t="default"/>
      </items>
    </pivotField>
    <pivotField showAll="0">
      <items count="3">
        <item x="1"/>
        <item x="0"/>
        <item t="default"/>
      </items>
    </pivotField>
    <pivotField showAll="0">
      <items count="12">
        <item x="8"/>
        <item x="4"/>
        <item x="3"/>
        <item x="5"/>
        <item x="0"/>
        <item x="9"/>
        <item x="6"/>
        <item x="10"/>
        <item x="1"/>
        <item x="2"/>
        <item x="7"/>
        <item t="default"/>
      </items>
    </pivotField>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0"/>
  </colFields>
  <colItems count="3">
    <i>
      <x/>
    </i>
    <i>
      <x v="1"/>
    </i>
    <i t="grand">
      <x/>
    </i>
  </colItems>
  <dataFields count="1">
    <dataField name="Count of Preventable _x000a_(Yes / No)" fld="1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711BE10C-9804-4C99-ABC4-CFBF8B342F74}" name="Total_delivary_u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3:D95" firstHeaderRow="1" firstDataRow="2" firstDataCol="1"/>
  <pivotFields count="50">
    <pivotField showAll="0"/>
    <pivotField showAll="0">
      <items count="19">
        <item x="5"/>
        <item x="1"/>
        <item x="7"/>
        <item x="10"/>
        <item x="0"/>
        <item x="3"/>
        <item x="6"/>
        <item x="2"/>
        <item x="4"/>
        <item x="15"/>
        <item x="9"/>
        <item x="12"/>
        <item x="17"/>
        <item x="16"/>
        <item x="13"/>
        <item x="8"/>
        <item x="11"/>
        <item x="14"/>
        <item t="default"/>
      </items>
    </pivotField>
    <pivotField showAll="0">
      <items count="3">
        <item x="1"/>
        <item x="0"/>
        <item t="default"/>
      </items>
    </pivotField>
    <pivotField showAll="0">
      <items count="12">
        <item x="8"/>
        <item x="4"/>
        <item x="3"/>
        <item x="5"/>
        <item x="0"/>
        <item x="9"/>
        <item x="6"/>
        <item x="10"/>
        <item x="1"/>
        <item x="2"/>
        <item x="7"/>
        <item t="default"/>
      </items>
    </pivotField>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5"/>
  </colFields>
  <colItems count="3">
    <i>
      <x/>
    </i>
    <i>
      <x v="1"/>
    </i>
    <i t="grand">
      <x/>
    </i>
  </colItems>
  <dataFields count="1">
    <dataField name="Count of Delivery Type (LSCS / Norma)" fld="5"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A4436774-870E-4592-B7BE-7BBC6337143A}" name="High_risk(U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50">
    <pivotField showAll="0"/>
    <pivotField showAll="0">
      <items count="19">
        <item x="5"/>
        <item x="1"/>
        <item x="7"/>
        <item x="10"/>
        <item x="0"/>
        <item x="3"/>
        <item x="6"/>
        <item x="2"/>
        <item x="4"/>
        <item x="15"/>
        <item x="9"/>
        <item x="12"/>
        <item x="17"/>
        <item x="16"/>
        <item x="13"/>
        <item x="8"/>
        <item x="11"/>
        <item x="14"/>
        <item t="default"/>
      </items>
    </pivotField>
    <pivotField showAll="0">
      <items count="3">
        <item x="1"/>
        <item x="0"/>
        <item t="default"/>
      </items>
    </pivotField>
    <pivotField showAll="0">
      <items count="12">
        <item x="8"/>
        <item x="4"/>
        <item x="3"/>
        <item x="5"/>
        <item x="0"/>
        <item x="9"/>
        <item x="6"/>
        <item x="10"/>
        <item x="1"/>
        <item x="2"/>
        <item x="7"/>
        <item t="default"/>
      </items>
    </pivotField>
    <pivotField axis="axisRow" showAll="0">
      <items count="3">
        <item n="Without High Risk Pregnancy" x="1"/>
        <item n="With High Risk Pregnancy" x="0"/>
        <item t="default"/>
      </items>
    </pivotField>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5"/>
  </colFields>
  <colItems count="3">
    <i>
      <x/>
    </i>
    <i>
      <x v="1"/>
    </i>
    <i t="grand">
      <x/>
    </i>
  </colItems>
  <dataFields count="1">
    <dataField name="Count of Delivery Type (LSCS / Norma)" fld="5" subtotal="count" baseField="0" baseItem="0"/>
  </dataFields>
  <chartFormats count="1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3">
          <reference field="4294967294" count="1" selected="0">
            <x v="0"/>
          </reference>
          <reference field="4" count="1" selected="0">
            <x v="1"/>
          </reference>
          <reference field="5" count="1" selected="0">
            <x v="0"/>
          </reference>
        </references>
      </pivotArea>
    </chartFormat>
    <chartFormat chart="0" format="3">
      <pivotArea type="data" outline="0" fieldPosition="0">
        <references count="3">
          <reference field="4294967294" count="1" selected="0">
            <x v="0"/>
          </reference>
          <reference field="4" count="1" selected="0">
            <x v="1"/>
          </reference>
          <reference field="5" count="1" selected="0">
            <x v="1"/>
          </reference>
        </references>
      </pivotArea>
    </chartFormat>
    <chartFormat chart="0" format="4">
      <pivotArea type="data" outline="0" fieldPosition="0">
        <references count="3">
          <reference field="4294967294" count="1" selected="0">
            <x v="0"/>
          </reference>
          <reference field="4" count="1" selected="0">
            <x v="0"/>
          </reference>
          <reference field="5" count="1" selected="0">
            <x v="1"/>
          </reference>
        </references>
      </pivotArea>
    </chartFormat>
    <chartFormat chart="0" format="5">
      <pivotArea type="data" outline="0" fieldPosition="0">
        <references count="3">
          <reference field="4294967294" count="1" selected="0">
            <x v="0"/>
          </reference>
          <reference field="4" count="1" selected="0">
            <x v="0"/>
          </reference>
          <reference field="5" count="1" selected="0">
            <x v="0"/>
          </reference>
        </references>
      </pivotArea>
    </chartFormat>
    <chartFormat chart="5" format="12" series="1">
      <pivotArea type="data" outline="0" fieldPosition="0">
        <references count="2">
          <reference field="4294967294" count="1" selected="0">
            <x v="0"/>
          </reference>
          <reference field="5" count="1" selected="0">
            <x v="0"/>
          </reference>
        </references>
      </pivotArea>
    </chartFormat>
    <chartFormat chart="5" format="13">
      <pivotArea type="data" outline="0" fieldPosition="0">
        <references count="3">
          <reference field="4294967294" count="1" selected="0">
            <x v="0"/>
          </reference>
          <reference field="4" count="1" selected="0">
            <x v="0"/>
          </reference>
          <reference field="5" count="1" selected="0">
            <x v="0"/>
          </reference>
        </references>
      </pivotArea>
    </chartFormat>
    <chartFormat chart="5" format="14">
      <pivotArea type="data" outline="0" fieldPosition="0">
        <references count="3">
          <reference field="4294967294" count="1" selected="0">
            <x v="0"/>
          </reference>
          <reference field="4" count="1" selected="0">
            <x v="1"/>
          </reference>
          <reference field="5" count="1" selected="0">
            <x v="0"/>
          </reference>
        </references>
      </pivotArea>
    </chartFormat>
    <chartFormat chart="5" format="15" series="1">
      <pivotArea type="data" outline="0" fieldPosition="0">
        <references count="2">
          <reference field="4294967294" count="1" selected="0">
            <x v="0"/>
          </reference>
          <reference field="5" count="1" selected="0">
            <x v="1"/>
          </reference>
        </references>
      </pivotArea>
    </chartFormat>
    <chartFormat chart="5" format="16">
      <pivotArea type="data" outline="0" fieldPosition="0">
        <references count="3">
          <reference field="4294967294" count="1" selected="0">
            <x v="0"/>
          </reference>
          <reference field="4" count="1" selected="0">
            <x v="0"/>
          </reference>
          <reference field="5" count="1" selected="0">
            <x v="1"/>
          </reference>
        </references>
      </pivotArea>
    </chartFormat>
    <chartFormat chart="5" format="17">
      <pivotArea type="data" outline="0" fieldPosition="0">
        <references count="3">
          <reference field="4294967294" count="1" selected="0">
            <x v="0"/>
          </reference>
          <reference field="4" count="1" selected="0">
            <x v="1"/>
          </reference>
          <reference field="5"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1665221F-22C9-40ED-83DD-40C3F31F5588}" name="Preventable(U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7:D31" firstHeaderRow="1" firstDataRow="2" firstDataCol="1"/>
  <pivotFields count="50">
    <pivotField showAll="0"/>
    <pivotField showAll="0">
      <items count="19">
        <item x="5"/>
        <item x="1"/>
        <item x="7"/>
        <item x="10"/>
        <item x="0"/>
        <item x="3"/>
        <item x="6"/>
        <item x="2"/>
        <item x="4"/>
        <item x="15"/>
        <item x="9"/>
        <item x="12"/>
        <item x="17"/>
        <item x="16"/>
        <item x="13"/>
        <item x="8"/>
        <item x="11"/>
        <item x="14"/>
        <item t="default"/>
      </items>
    </pivotField>
    <pivotField showAll="0">
      <items count="3">
        <item x="1"/>
        <item x="0"/>
        <item t="default"/>
      </items>
    </pivotField>
    <pivotField showAll="0">
      <items count="12">
        <item x="8"/>
        <item x="4"/>
        <item x="3"/>
        <item x="5"/>
        <item x="0"/>
        <item x="9"/>
        <item x="6"/>
        <item x="10"/>
        <item x="1"/>
        <item x="2"/>
        <item x="7"/>
        <item t="default"/>
      </items>
    </pivotField>
    <pivotField showAll="0"/>
    <pivotField showAll="0"/>
    <pivotField showAll="0"/>
    <pivotField axis="axisCol" dataField="1" showAll="0">
      <items count="3">
        <item x="0"/>
        <item x="1"/>
        <item t="default"/>
      </items>
    </pivotField>
    <pivotField showAll="0"/>
    <pivotField showAll="0"/>
    <pivotField axis="axisRow" showAll="0">
      <items count="3">
        <item n="Non-Preventable" x="0"/>
        <item n="Preventable"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Fields count="1">
    <field x="7"/>
  </colFields>
  <colItems count="3">
    <i>
      <x/>
    </i>
    <i>
      <x v="1"/>
    </i>
    <i t="grand">
      <x/>
    </i>
  </colItems>
  <dataFields count="1">
    <dataField name="Count of Death category" fld="7"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4688E69F-824F-405C-87F5-1960EC42375D}" name="Late_u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9:D83" firstHeaderRow="1" firstDataRow="2" firstDataCol="1"/>
  <pivotFields count="50">
    <pivotField showAll="0"/>
    <pivotField showAll="0">
      <items count="19">
        <item x="5"/>
        <item x="1"/>
        <item x="7"/>
        <item x="10"/>
        <item x="0"/>
        <item x="3"/>
        <item x="6"/>
        <item x="2"/>
        <item x="4"/>
        <item x="15"/>
        <item x="9"/>
        <item x="12"/>
        <item x="17"/>
        <item x="16"/>
        <item x="13"/>
        <item x="8"/>
        <item x="11"/>
        <item x="14"/>
        <item t="default"/>
      </items>
    </pivotField>
    <pivotField showAll="0">
      <items count="3">
        <item x="1"/>
        <item x="0"/>
        <item t="default"/>
      </items>
    </pivotField>
    <pivotField showAll="0">
      <items count="12">
        <item x="8"/>
        <item x="4"/>
        <item x="3"/>
        <item x="5"/>
        <item x="0"/>
        <item x="9"/>
        <item x="6"/>
        <item x="10"/>
        <item x="1"/>
        <item x="2"/>
        <item x="7"/>
        <item t="default"/>
      </items>
    </pivotField>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Late Pre-term (34-36 weeks): NO" x="0"/>
        <item n="Late Pre-term (34-36 weeks): YE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4"/>
  </rowFields>
  <rowItems count="3">
    <i>
      <x/>
    </i>
    <i>
      <x v="1"/>
    </i>
    <i t="grand">
      <x/>
    </i>
  </rowItems>
  <colFields count="1">
    <field x="7"/>
  </colFields>
  <colItems count="3">
    <i>
      <x/>
    </i>
    <i>
      <x v="1"/>
    </i>
    <i t="grand">
      <x/>
    </i>
  </colItems>
  <dataFields count="1">
    <dataField name="Count of Late Pre-term (34-36 weeks)" fld="34"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50702948-AF50-40C6-9A8C-EC3D632F476E}"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5:D39" firstHeaderRow="1" firstDataRow="2" firstDataCol="1"/>
  <pivotFields count="50">
    <pivotField showAll="0"/>
    <pivotField showAll="0">
      <items count="19">
        <item x="5"/>
        <item x="1"/>
        <item x="7"/>
        <item x="10"/>
        <item x="0"/>
        <item x="3"/>
        <item x="6"/>
        <item x="2"/>
        <item x="4"/>
        <item x="15"/>
        <item x="9"/>
        <item x="12"/>
        <item x="17"/>
        <item x="16"/>
        <item x="13"/>
        <item x="8"/>
        <item x="11"/>
        <item x="14"/>
        <item t="default"/>
      </items>
    </pivotField>
    <pivotField showAll="0">
      <items count="3">
        <item x="1"/>
        <item x="0"/>
        <item t="default"/>
      </items>
    </pivotField>
    <pivotField showAll="0">
      <items count="12">
        <item x="8"/>
        <item x="4"/>
        <item x="3"/>
        <item x="5"/>
        <item x="0"/>
        <item x="9"/>
        <item x="6"/>
        <item x="10"/>
        <item x="1"/>
        <item x="2"/>
        <item x="7"/>
        <item t="default"/>
      </items>
    </pivotField>
    <pivotField axis="axisRow" showAll="0">
      <items count="3">
        <item n="Without High Risk Pregnancy" x="1"/>
        <item n="With High Risk Pregnancy" x="0"/>
        <item t="default"/>
      </items>
    </pivotField>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7"/>
  </colFields>
  <colItems count="3">
    <i>
      <x/>
    </i>
    <i>
      <x v="1"/>
    </i>
    <i t="grand">
      <x/>
    </i>
  </colItems>
  <dataFields count="1">
    <dataField name="Count of Death category" fld="7" subtotal="count" baseField="0" baseItem="0"/>
  </dataFields>
  <chartFormats count="1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3">
          <reference field="4294967294" count="1" selected="0">
            <x v="0"/>
          </reference>
          <reference field="4" count="1" selected="0">
            <x v="1"/>
          </reference>
          <reference field="7" count="1" selected="0">
            <x v="1"/>
          </reference>
        </references>
      </pivotArea>
    </chartFormat>
    <chartFormat chart="0" format="3">
      <pivotArea type="data" outline="0" fieldPosition="0">
        <references count="3">
          <reference field="4294967294" count="1" selected="0">
            <x v="0"/>
          </reference>
          <reference field="4" count="1" selected="0">
            <x v="1"/>
          </reference>
          <reference field="7" count="1" selected="0">
            <x v="0"/>
          </reference>
        </references>
      </pivotArea>
    </chartFormat>
    <chartFormat chart="0" format="4">
      <pivotArea type="data" outline="0" fieldPosition="0">
        <references count="3">
          <reference field="4294967294" count="1" selected="0">
            <x v="0"/>
          </reference>
          <reference field="4" count="1" selected="0">
            <x v="0"/>
          </reference>
          <reference field="7" count="1" selected="0">
            <x v="1"/>
          </reference>
        </references>
      </pivotArea>
    </chartFormat>
    <chartFormat chart="0" format="5">
      <pivotArea type="data" outline="0" fieldPosition="0">
        <references count="3">
          <reference field="4294967294" count="1" selected="0">
            <x v="0"/>
          </reference>
          <reference field="4" count="1" selected="0">
            <x v="0"/>
          </reference>
          <reference field="7" count="1" selected="0">
            <x v="0"/>
          </reference>
        </references>
      </pivotArea>
    </chartFormat>
    <chartFormat chart="3" format="12" series="1">
      <pivotArea type="data" outline="0" fieldPosition="0">
        <references count="2">
          <reference field="4294967294" count="1" selected="0">
            <x v="0"/>
          </reference>
          <reference field="7" count="1" selected="0">
            <x v="0"/>
          </reference>
        </references>
      </pivotArea>
    </chartFormat>
    <chartFormat chart="3" format="13">
      <pivotArea type="data" outline="0" fieldPosition="0">
        <references count="3">
          <reference field="4294967294" count="1" selected="0">
            <x v="0"/>
          </reference>
          <reference field="4" count="1" selected="0">
            <x v="0"/>
          </reference>
          <reference field="7" count="1" selected="0">
            <x v="0"/>
          </reference>
        </references>
      </pivotArea>
    </chartFormat>
    <chartFormat chart="3" format="14">
      <pivotArea type="data" outline="0" fieldPosition="0">
        <references count="3">
          <reference field="4294967294" count="1" selected="0">
            <x v="0"/>
          </reference>
          <reference field="4" count="1" selected="0">
            <x v="1"/>
          </reference>
          <reference field="7" count="1" selected="0">
            <x v="0"/>
          </reference>
        </references>
      </pivotArea>
    </chartFormat>
    <chartFormat chart="3" format="15" series="1">
      <pivotArea type="data" outline="0" fieldPosition="0">
        <references count="2">
          <reference field="4294967294" count="1" selected="0">
            <x v="0"/>
          </reference>
          <reference field="7" count="1" selected="0">
            <x v="1"/>
          </reference>
        </references>
      </pivotArea>
    </chartFormat>
    <chartFormat chart="3" format="16">
      <pivotArea type="data" outline="0" fieldPosition="0">
        <references count="3">
          <reference field="4294967294" count="1" selected="0">
            <x v="0"/>
          </reference>
          <reference field="4" count="1" selected="0">
            <x v="0"/>
          </reference>
          <reference field="7" count="1" selected="0">
            <x v="1"/>
          </reference>
        </references>
      </pivotArea>
    </chartFormat>
    <chartFormat chart="3" format="17">
      <pivotArea type="data" outline="0" fieldPosition="0">
        <references count="3">
          <reference field="4294967294" count="1" selected="0">
            <x v="0"/>
          </reference>
          <reference field="4" count="1" selected="0">
            <x v="1"/>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4C95BA1B-C954-4DD9-B30D-8D6D65C68A5B}" name="Total_HPR_u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8:D90" firstHeaderRow="1" firstDataRow="2" firstDataCol="1"/>
  <pivotFields count="50">
    <pivotField showAll="0"/>
    <pivotField showAll="0">
      <items count="19">
        <item x="5"/>
        <item x="1"/>
        <item x="7"/>
        <item x="10"/>
        <item x="0"/>
        <item x="3"/>
        <item x="6"/>
        <item x="2"/>
        <item x="4"/>
        <item x="15"/>
        <item x="9"/>
        <item x="12"/>
        <item x="17"/>
        <item x="16"/>
        <item x="13"/>
        <item x="8"/>
        <item x="11"/>
        <item x="14"/>
        <item t="default"/>
      </items>
    </pivotField>
    <pivotField showAll="0">
      <items count="3">
        <item x="1"/>
        <item x="0"/>
        <item t="default"/>
      </items>
    </pivotField>
    <pivotField showAll="0">
      <items count="12">
        <item x="8"/>
        <item x="4"/>
        <item x="3"/>
        <item x="5"/>
        <item x="0"/>
        <item x="9"/>
        <item x="6"/>
        <item x="10"/>
        <item x="1"/>
        <item x="2"/>
        <item x="7"/>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4"/>
  </colFields>
  <colItems count="3">
    <i>
      <x/>
    </i>
    <i>
      <x v="1"/>
    </i>
    <i t="grand">
      <x/>
    </i>
  </colItems>
  <dataFields count="1">
    <dataField name="Count of High Risk (Yes / No)"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3CF285CB-A518-4EFA-86B7-830765FE010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1:D25" firstHeaderRow="1" firstDataRow="2" firstDataCol="1"/>
  <pivotFields count="69">
    <pivotField showAll="0"/>
    <pivotField showAll="0"/>
    <pivotField showAll="0"/>
    <pivotField showAll="0"/>
    <pivotField axis="axisRow" showAll="0">
      <items count="3">
        <item n="Without High Risk Pregnancy" x="1"/>
        <item n="With High Risk Pregnancy" x="0"/>
        <item t="default"/>
      </items>
    </pivotField>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5"/>
  </colFields>
  <colItems count="3">
    <i>
      <x/>
    </i>
    <i>
      <x v="1"/>
    </i>
    <i t="grand">
      <x/>
    </i>
  </colItems>
  <dataFields count="1">
    <dataField name="Count of Delivery Type (LSCS / Norma)" fld="5" subtotal="count" baseField="0" baseItem="0"/>
  </dataFields>
  <chartFormats count="6">
    <chartFormat chart="3" format="6" series="1">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3">
          <reference field="4294967294" count="1" selected="0">
            <x v="0"/>
          </reference>
          <reference field="4" count="1" selected="0">
            <x v="0"/>
          </reference>
          <reference field="5" count="1" selected="0">
            <x v="0"/>
          </reference>
        </references>
      </pivotArea>
    </chartFormat>
    <chartFormat chart="3" format="8">
      <pivotArea type="data" outline="0" fieldPosition="0">
        <references count="3">
          <reference field="4294967294" count="1" selected="0">
            <x v="0"/>
          </reference>
          <reference field="4" count="1" selected="0">
            <x v="1"/>
          </reference>
          <reference field="5" count="1" selected="0">
            <x v="0"/>
          </reference>
        </references>
      </pivotArea>
    </chartFormat>
    <chartFormat chart="3" format="9" series="1">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3">
          <reference field="4294967294" count="1" selected="0">
            <x v="0"/>
          </reference>
          <reference field="4" count="1" selected="0">
            <x v="0"/>
          </reference>
          <reference field="5" count="1" selected="0">
            <x v="1"/>
          </reference>
        </references>
      </pivotArea>
    </chartFormat>
    <chartFormat chart="3" format="11">
      <pivotArea type="data" outline="0" fieldPosition="0">
        <references count="3">
          <reference field="4294967294" count="1" selected="0">
            <x v="0"/>
          </reference>
          <reference field="4" count="1" selected="0">
            <x v="1"/>
          </reference>
          <reference field="5"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BDB8868F-197F-4052-B51D-54712524527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U21:X25" firstHeaderRow="1" firstDataRow="2" firstDataCol="1"/>
  <pivotFields count="69">
    <pivotField showAll="0"/>
    <pivotField showAll="0"/>
    <pivotField showAll="0"/>
    <pivotField showAll="0"/>
    <pivotField axis="axisRow" showAll="0">
      <items count="3">
        <item n="Without Highrisk Pregnancy" x="1"/>
        <item n="With Highrisk Pregnancy" x="0"/>
        <item t="default"/>
      </items>
    </pivotField>
    <pivotField showAll="0"/>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7"/>
  </colFields>
  <colItems count="3">
    <i>
      <x/>
    </i>
    <i>
      <x v="1"/>
    </i>
    <i t="grand">
      <x/>
    </i>
  </colItems>
  <dataFields count="1">
    <dataField name="Count of Death category" fld="7" subtotal="count" baseField="0" baseItem="0"/>
  </dataFields>
  <chartFormats count="1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 chart="5" format="0" series="1">
      <pivotArea type="data" outline="0" fieldPosition="0">
        <references count="2">
          <reference field="4294967294" count="1" selected="0">
            <x v="0"/>
          </reference>
          <reference field="7" count="1" selected="0">
            <x v="0"/>
          </reference>
        </references>
      </pivotArea>
    </chartFormat>
    <chartFormat chart="5" format="1" series="1">
      <pivotArea type="data" outline="0" fieldPosition="0">
        <references count="2">
          <reference field="4294967294" count="1" selected="0">
            <x v="0"/>
          </reference>
          <reference field="7" count="1" selected="0">
            <x v="1"/>
          </reference>
        </references>
      </pivotArea>
    </chartFormat>
    <chartFormat chart="9" format="6" series="1">
      <pivotArea type="data" outline="0" fieldPosition="0">
        <references count="2">
          <reference field="4294967294" count="1" selected="0">
            <x v="0"/>
          </reference>
          <reference field="7" count="1" selected="0">
            <x v="0"/>
          </reference>
        </references>
      </pivotArea>
    </chartFormat>
    <chartFormat chart="9" format="7">
      <pivotArea type="data" outline="0" fieldPosition="0">
        <references count="3">
          <reference field="4294967294" count="1" selected="0">
            <x v="0"/>
          </reference>
          <reference field="4" count="1" selected="0">
            <x v="0"/>
          </reference>
          <reference field="7" count="1" selected="0">
            <x v="0"/>
          </reference>
        </references>
      </pivotArea>
    </chartFormat>
    <chartFormat chart="9" format="8">
      <pivotArea type="data" outline="0" fieldPosition="0">
        <references count="3">
          <reference field="4294967294" count="1" selected="0">
            <x v="0"/>
          </reference>
          <reference field="4" count="1" selected="0">
            <x v="1"/>
          </reference>
          <reference field="7" count="1" selected="0">
            <x v="0"/>
          </reference>
        </references>
      </pivotArea>
    </chartFormat>
    <chartFormat chart="9" format="9" series="1">
      <pivotArea type="data" outline="0" fieldPosition="0">
        <references count="2">
          <reference field="4294967294" count="1" selected="0">
            <x v="0"/>
          </reference>
          <reference field="7" count="1" selected="0">
            <x v="1"/>
          </reference>
        </references>
      </pivotArea>
    </chartFormat>
    <chartFormat chart="9" format="10">
      <pivotArea type="data" outline="0" fieldPosition="0">
        <references count="3">
          <reference field="4294967294" count="1" selected="0">
            <x v="0"/>
          </reference>
          <reference field="4" count="1" selected="0">
            <x v="0"/>
          </reference>
          <reference field="7" count="1" selected="0">
            <x v="1"/>
          </reference>
        </references>
      </pivotArea>
    </chartFormat>
    <chartFormat chart="9" format="11">
      <pivotArea type="data" outline="0" fieldPosition="0">
        <references count="3">
          <reference field="4294967294" count="1" selected="0">
            <x v="0"/>
          </reference>
          <reference field="4" count="1" selected="0">
            <x v="1"/>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416E0554-E0E8-4C07-A214-B16FAAFF81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13:I17" firstHeaderRow="1" firstDataRow="2" firstDataCol="1"/>
  <pivotFields count="69">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LBW: NO" x="1"/>
        <item n="LBW: YES"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0"/>
  </rowFields>
  <rowItems count="3">
    <i>
      <x/>
    </i>
    <i>
      <x v="1"/>
    </i>
    <i t="grand">
      <x/>
    </i>
  </rowItems>
  <colFields count="1">
    <field x="7"/>
  </colFields>
  <colItems count="3">
    <i>
      <x/>
    </i>
    <i>
      <x v="1"/>
    </i>
    <i t="grand">
      <x/>
    </i>
  </colItems>
  <dataFields count="1">
    <dataField name="Count of LBW" fld="40" subtotal="count" baseField="0" baseItem="0"/>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6" format="0" series="1">
      <pivotArea type="data" outline="0" fieldPosition="0">
        <references count="2">
          <reference field="4294967294" count="1" selected="0">
            <x v="0"/>
          </reference>
          <reference field="7" count="1" selected="0">
            <x v="0"/>
          </reference>
        </references>
      </pivotArea>
    </chartFormat>
    <chartFormat chart="6" format="1" series="1">
      <pivotArea type="data" outline="0" fieldPosition="0">
        <references count="2">
          <reference field="4294967294" count="1" selected="0">
            <x v="0"/>
          </reference>
          <reference field="7" count="1" selected="0">
            <x v="1"/>
          </reference>
        </references>
      </pivotArea>
    </chartFormat>
    <chartFormat chart="14" format="2" series="1">
      <pivotArea type="data" outline="0" fieldPosition="0">
        <references count="2">
          <reference field="4294967294" count="1" selected="0">
            <x v="0"/>
          </reference>
          <reference field="7" count="1" selected="0">
            <x v="0"/>
          </reference>
        </references>
      </pivotArea>
    </chartFormat>
    <chartFormat chart="14" format="3" series="1">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866F6192-BEFB-4D7D-99A8-5D105857FF0B}"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6" firstHeaderRow="1" firstDataRow="2" firstDataCol="1"/>
  <pivotFields count="69">
    <pivotField axis="axisRow" showAll="0">
      <items count="4">
        <item x="2"/>
        <item x="0"/>
        <item x="1"/>
        <item t="default"/>
      </items>
    </pivotField>
    <pivotField showAll="0"/>
    <pivotField showAll="0"/>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Fields count="1">
    <field x="4"/>
  </colFields>
  <colItems count="3">
    <i>
      <x/>
    </i>
    <i>
      <x v="1"/>
    </i>
    <i t="grand">
      <x/>
    </i>
  </colItems>
  <dataFields count="1">
    <dataField name="Count of High Risk (Yes / No)"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5D4C7CAE-BF21-48E2-80CD-DBBFF999552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Z13:AC17" firstHeaderRow="1" firstDataRow="2" firstDataCol="1"/>
  <pivotFields count="69">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Late Pre-term (34-36 weeks): NO" x="0"/>
        <item n="Late Pre-term (34-36 weeks): YE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4"/>
  </rowFields>
  <rowItems count="3">
    <i>
      <x/>
    </i>
    <i>
      <x v="1"/>
    </i>
    <i t="grand">
      <x/>
    </i>
  </rowItems>
  <colFields count="1">
    <field x="7"/>
  </colFields>
  <colItems count="3">
    <i>
      <x/>
    </i>
    <i>
      <x v="1"/>
    </i>
    <i t="grand">
      <x/>
    </i>
  </colItems>
  <dataFields count="1">
    <dataField name="Count of Late Pre-term (34-36 weeks)" fld="44" subtotal="count" baseField="0" baseItem="0"/>
  </dataFields>
  <chartFormats count="6">
    <chartFormat chart="7" format="2" series="1">
      <pivotArea type="data" outline="0" fieldPosition="0">
        <references count="2">
          <reference field="4294967294" count="1" selected="0">
            <x v="0"/>
          </reference>
          <reference field="7" count="1" selected="0">
            <x v="0"/>
          </reference>
        </references>
      </pivotArea>
    </chartFormat>
    <chartFormat chart="7" format="3" series="1">
      <pivotArea type="data" outline="0" fieldPosition="0">
        <references count="2">
          <reference field="4294967294" count="1" selected="0">
            <x v="0"/>
          </reference>
          <reference field="7" count="1" selected="0">
            <x v="1"/>
          </reference>
        </references>
      </pivotArea>
    </chartFormat>
    <chartFormat chart="8" format="0" series="1">
      <pivotArea type="data" outline="0" fieldPosition="0">
        <references count="2">
          <reference field="4294967294" count="1" selected="0">
            <x v="0"/>
          </reference>
          <reference field="7" count="1" selected="0">
            <x v="0"/>
          </reference>
        </references>
      </pivotArea>
    </chartFormat>
    <chartFormat chart="8" format="1" series="1">
      <pivotArea type="data" outline="0" fieldPosition="0">
        <references count="2">
          <reference field="4294967294" count="1" selected="0">
            <x v="0"/>
          </reference>
          <reference field="7" count="1" selected="0">
            <x v="1"/>
          </reference>
        </references>
      </pivotArea>
    </chartFormat>
    <chartFormat chart="12" format="4" series="1">
      <pivotArea type="data" outline="0" fieldPosition="0">
        <references count="2">
          <reference field="4294967294" count="1" selected="0">
            <x v="0"/>
          </reference>
          <reference field="7" count="1" selected="0">
            <x v="0"/>
          </reference>
        </references>
      </pivotArea>
    </chartFormat>
    <chartFormat chart="12" format="5" series="1">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B6F36680-49E9-4CA5-8AE9-A4E5B4CACC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13:N17" firstHeaderRow="1" firstDataRow="2" firstDataCol="1"/>
  <pivotFields count="69">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Extreme preterm (&lt;28 weeks): NO" x="0"/>
        <item n="Extreme preterm (&lt;28 weeks): YE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1"/>
  </rowFields>
  <rowItems count="3">
    <i>
      <x/>
    </i>
    <i>
      <x v="1"/>
    </i>
    <i t="grand">
      <x/>
    </i>
  </rowItems>
  <colFields count="1">
    <field x="7"/>
  </colFields>
  <colItems count="3">
    <i>
      <x/>
    </i>
    <i>
      <x v="1"/>
    </i>
    <i t="grand">
      <x/>
    </i>
  </colItems>
  <dataFields count="1">
    <dataField name="Count of Extreme preterm (&lt;28 weeks)" fld="41"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7" format="2" series="1">
      <pivotArea type="data" outline="0" fieldPosition="0">
        <references count="2">
          <reference field="4294967294" count="1" selected="0">
            <x v="0"/>
          </reference>
          <reference field="7" count="1" selected="0">
            <x v="0"/>
          </reference>
        </references>
      </pivotArea>
    </chartFormat>
    <chartFormat chart="7" format="3" series="1">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1A80E812-AC70-4D6B-8A22-3F5AF2DBAF5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U13:X17" firstHeaderRow="1" firstDataRow="2" firstDataCol="1"/>
  <pivotFields count="69">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Morderate Premature (&lt;32-33 weeks): NO" x="1"/>
        <item n="Morderate Premature (&lt;32-33 weeks): YES"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3"/>
  </rowFields>
  <rowItems count="3">
    <i>
      <x/>
    </i>
    <i>
      <x v="1"/>
    </i>
    <i t="grand">
      <x/>
    </i>
  </rowItems>
  <colFields count="1">
    <field x="7"/>
  </colFields>
  <colItems count="3">
    <i>
      <x/>
    </i>
    <i>
      <x v="1"/>
    </i>
    <i t="grand">
      <x/>
    </i>
  </colItems>
  <dataFields count="1">
    <dataField name="Count of Morderate Premature (&lt;32-33 weeks)" fld="43" subtotal="count" baseField="0" baseItem="0"/>
  </dataFields>
  <chartFormats count="2">
    <chartFormat chart="4" format="2" series="1">
      <pivotArea type="data" outline="0" fieldPosition="0">
        <references count="2">
          <reference field="4294967294" count="1" selected="0">
            <x v="0"/>
          </reference>
          <reference field="7" count="1" selected="0">
            <x v="0"/>
          </reference>
        </references>
      </pivotArea>
    </chartFormat>
    <chartFormat chart="4" format="3" series="1">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6814E3DE-5227-4105-8C21-1059B6D97D2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Z21:AC25" firstHeaderRow="1" firstDataRow="2" firstDataCol="1"/>
  <pivotFields count="69">
    <pivotField showAll="0"/>
    <pivotField showAll="0"/>
    <pivotField showAll="0"/>
    <pivotField showAll="0"/>
    <pivotField showAll="0"/>
    <pivotField showAll="0"/>
    <pivotField showAll="0"/>
    <pivotField axis="axisCol" dataField="1" showAll="0">
      <items count="3">
        <item x="1"/>
        <item x="0"/>
        <item t="default"/>
      </items>
    </pivotField>
    <pivotField showAll="0"/>
    <pivotField showAll="0"/>
    <pivotField showAll="0"/>
    <pivotField axis="axisRow" showAll="0">
      <items count="3">
        <item n="Without Hypertensive disorder" x="0"/>
        <item n="With Hypertensive disorder"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7"/>
  </colFields>
  <colItems count="3">
    <i>
      <x/>
    </i>
    <i>
      <x v="1"/>
    </i>
    <i t="grand">
      <x/>
    </i>
  </colItems>
  <dataFields count="1">
    <dataField name="Count of Death category" fld="7" subtotal="count" baseField="0" baseItem="0"/>
  </dataFields>
  <chartFormats count="6">
    <chartFormat chart="4" format="2" series="1">
      <pivotArea type="data" outline="0" fieldPosition="0">
        <references count="2">
          <reference field="4294967294" count="1" selected="0">
            <x v="0"/>
          </reference>
          <reference field="7" count="1" selected="0">
            <x v="0"/>
          </reference>
        </references>
      </pivotArea>
    </chartFormat>
    <chartFormat chart="4" format="3" series="1">
      <pivotArea type="data" outline="0" fieldPosition="0">
        <references count="2">
          <reference field="4294967294" count="1" selected="0">
            <x v="0"/>
          </reference>
          <reference field="7" count="1" selected="0">
            <x v="1"/>
          </reference>
        </references>
      </pivotArea>
    </chartFormat>
    <chartFormat chart="4" format="4">
      <pivotArea type="data" outline="0" fieldPosition="0">
        <references count="3">
          <reference field="4294967294" count="1" selected="0">
            <x v="0"/>
          </reference>
          <reference field="7" count="1" selected="0">
            <x v="1"/>
          </reference>
          <reference field="11" count="1" selected="0">
            <x v="1"/>
          </reference>
        </references>
      </pivotArea>
    </chartFormat>
    <chartFormat chart="4" format="5">
      <pivotArea type="data" outline="0" fieldPosition="0">
        <references count="3">
          <reference field="4294967294" count="1" selected="0">
            <x v="0"/>
          </reference>
          <reference field="7" count="1" selected="0">
            <x v="0"/>
          </reference>
          <reference field="11" count="1" selected="0">
            <x v="1"/>
          </reference>
        </references>
      </pivotArea>
    </chartFormat>
    <chartFormat chart="4" format="6">
      <pivotArea type="data" outline="0" fieldPosition="0">
        <references count="3">
          <reference field="4294967294" count="1" selected="0">
            <x v="0"/>
          </reference>
          <reference field="7" count="1" selected="0">
            <x v="1"/>
          </reference>
          <reference field="11" count="1" selected="0">
            <x v="0"/>
          </reference>
        </references>
      </pivotArea>
    </chartFormat>
    <chartFormat chart="4" format="7">
      <pivotArea type="data" outline="0" fieldPosition="0">
        <references count="3">
          <reference field="4294967294" count="1" selected="0">
            <x v="0"/>
          </reference>
          <reference field="7" count="1" selected="0">
            <x v="0"/>
          </reference>
          <reference field="11"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CE1CB7BA-BE2C-423B-9362-8BD88EE8A9B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21:N25" firstHeaderRow="1" firstDataRow="2" firstDataCol="1"/>
  <pivotFields count="69">
    <pivotField showAll="0"/>
    <pivotField showAll="0"/>
    <pivotField showAll="0"/>
    <pivotField showAll="0"/>
    <pivotField showAll="0"/>
    <pivotField showAll="0"/>
    <pivotField axis="axisCol" showAll="0">
      <items count="3">
        <item x="0"/>
        <item x="1"/>
        <item t="default"/>
      </items>
    </pivotField>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Fields count="1">
    <field x="6"/>
  </colFields>
  <colItems count="3">
    <i>
      <x/>
    </i>
    <i>
      <x v="1"/>
    </i>
    <i t="grand">
      <x/>
    </i>
  </colItems>
  <dataFields count="1">
    <dataField name="Count of Death category" fld="7" subtotal="count" baseField="0" baseItem="0"/>
  </dataFields>
  <chartFormats count="6">
    <chartFormat chart="5" format="6" series="1">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3">
          <reference field="4294967294" count="1" selected="0">
            <x v="0"/>
          </reference>
          <reference field="6" count="1" selected="0">
            <x v="0"/>
          </reference>
          <reference field="7" count="1" selected="0">
            <x v="0"/>
          </reference>
        </references>
      </pivotArea>
    </chartFormat>
    <chartFormat chart="5" format="8">
      <pivotArea type="data" outline="0" fieldPosition="0">
        <references count="3">
          <reference field="4294967294" count="1" selected="0">
            <x v="0"/>
          </reference>
          <reference field="6" count="1" selected="0">
            <x v="0"/>
          </reference>
          <reference field="7" count="1" selected="0">
            <x v="1"/>
          </reference>
        </references>
      </pivotArea>
    </chartFormat>
    <chartFormat chart="5" format="9" series="1">
      <pivotArea type="data" outline="0" fieldPosition="0">
        <references count="2">
          <reference field="4294967294" count="1" selected="0">
            <x v="0"/>
          </reference>
          <reference field="6" count="1" selected="0">
            <x v="1"/>
          </reference>
        </references>
      </pivotArea>
    </chartFormat>
    <chartFormat chart="5" format="10">
      <pivotArea type="data" outline="0" fieldPosition="0">
        <references count="3">
          <reference field="4294967294" count="1" selected="0">
            <x v="0"/>
          </reference>
          <reference field="6" count="1" selected="0">
            <x v="1"/>
          </reference>
          <reference field="7" count="1" selected="0">
            <x v="0"/>
          </reference>
        </references>
      </pivotArea>
    </chartFormat>
    <chartFormat chart="5" format="11">
      <pivotArea type="data" outline="0" fieldPosition="0">
        <references count="3">
          <reference field="4294967294" count="1" selected="0">
            <x v="0"/>
          </reference>
          <reference field="6" count="1" selected="0">
            <x v="1"/>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D17E347B-100B-41FC-8FA3-37CE4DCF5DF0}"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N6" firstHeaderRow="1" firstDataRow="2" firstDataCol="1"/>
  <pivotFields count="69">
    <pivotField axis="axisRow" showAll="0">
      <items count="4">
        <item x="2"/>
        <item x="0"/>
        <item x="1"/>
        <item t="default"/>
      </items>
    </pivotField>
    <pivotField showAll="0"/>
    <pivotField showAll="0"/>
    <pivotField showAll="0"/>
    <pivotField showAll="0"/>
    <pivotField showAll="0"/>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Fields count="1">
    <field x="7"/>
  </colFields>
  <colItems count="3">
    <i>
      <x/>
    </i>
    <i>
      <x v="1"/>
    </i>
    <i t="grand">
      <x/>
    </i>
  </colItems>
  <dataFields count="1">
    <dataField name="Count of Death category" fld="7"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81A32E70-2F78-473E-BA6C-558A57B2C85D}"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S6" firstHeaderRow="1" firstDataRow="2" firstDataCol="1"/>
  <pivotFields count="69">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s>
  <rowFields count="1">
    <field x="0"/>
  </rowFields>
  <rowItems count="4">
    <i>
      <x/>
    </i>
    <i>
      <x v="1"/>
    </i>
    <i>
      <x v="2"/>
    </i>
    <i t="grand">
      <x/>
    </i>
  </rowItems>
  <colFields count="1">
    <field x="68"/>
  </colFields>
  <colItems count="3">
    <i>
      <x/>
    </i>
    <i>
      <x v="1"/>
    </i>
    <i t="grand">
      <x/>
    </i>
  </colItems>
  <dataFields count="1">
    <dataField name="Count of Preventable _x000a_(Yes / No)" fld="68"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88EB6110-2C85-4191-B680-7899BBC5AAA7}"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I6" firstHeaderRow="1" firstDataRow="2" firstDataCol="1"/>
  <pivotFields count="69">
    <pivotField axis="axisRow" showAll="0">
      <items count="4">
        <item x="2"/>
        <item x="0"/>
        <item x="1"/>
        <item t="default"/>
      </items>
    </pivotField>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Fields count="1">
    <field x="5"/>
  </colFields>
  <colItems count="3">
    <i>
      <x/>
    </i>
    <i>
      <x v="1"/>
    </i>
    <i t="grand">
      <x/>
    </i>
  </colItems>
  <dataFields count="1">
    <dataField name="Count of Delivery Type (LSCS / Norma)" fld="5"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1218ACFC-9576-4BBE-AFA5-6CE0653B9E7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21:S25" firstHeaderRow="1" firstDataRow="2" firstDataCol="1"/>
  <pivotFields count="69">
    <pivotField showAll="0"/>
    <pivotField showAll="0"/>
    <pivotField showAll="0"/>
    <pivotField showAll="0"/>
    <pivotField showAll="0"/>
    <pivotField showAll="0"/>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n="Non-Preventable" x="0"/>
        <item n="Preventable" x="1"/>
        <item t="default"/>
      </items>
    </pivotField>
  </pivotFields>
  <rowFields count="1">
    <field x="68"/>
  </rowFields>
  <rowItems count="3">
    <i>
      <x/>
    </i>
    <i>
      <x v="1"/>
    </i>
    <i t="grand">
      <x/>
    </i>
  </rowItems>
  <colFields count="1">
    <field x="7"/>
  </colFields>
  <colItems count="3">
    <i>
      <x/>
    </i>
    <i>
      <x v="1"/>
    </i>
    <i t="grand">
      <x/>
    </i>
  </colItems>
  <dataFields count="1">
    <dataField name="Count of Death category" fld="7" subtotal="count" baseField="0" baseItem="0"/>
  </dataFields>
  <chartFormats count="2">
    <chartFormat chart="5" format="2" series="1">
      <pivotArea type="data" outline="0" fieldPosition="0">
        <references count="2">
          <reference field="4294967294" count="1" selected="0">
            <x v="0"/>
          </reference>
          <reference field="7" count="1" selected="0">
            <x v="0"/>
          </reference>
        </references>
      </pivotArea>
    </chartFormat>
    <chartFormat chart="5" format="3" series="1">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C3D1EDB0-1446-471F-B549-D16809CDE44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13:S17" firstHeaderRow="1" firstDataRow="2" firstDataCol="1"/>
  <pivotFields count="69">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Early Premature (28-31 weeks): NO" x="0"/>
        <item n="Early Premature (28-31 weeks): YE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2"/>
  </rowFields>
  <rowItems count="3">
    <i>
      <x/>
    </i>
    <i>
      <x v="1"/>
    </i>
    <i t="grand">
      <x/>
    </i>
  </rowItems>
  <colFields count="1">
    <field x="7"/>
  </colFields>
  <colItems count="3">
    <i>
      <x/>
    </i>
    <i>
      <x v="1"/>
    </i>
    <i t="grand">
      <x/>
    </i>
  </colItems>
  <dataFields count="1">
    <dataField name="Count of Early Premature (28-31 weeks)" fld="42" subtotal="count" baseField="0" baseItem="0"/>
  </dataFields>
  <chartFormats count="2">
    <chartFormat chart="5" format="2" series="1">
      <pivotArea type="data" outline="0" fieldPosition="0">
        <references count="2">
          <reference field="4294967294" count="1" selected="0">
            <x v="0"/>
          </reference>
          <reference field="7" count="1" selected="0">
            <x v="0"/>
          </reference>
        </references>
      </pivotArea>
    </chartFormat>
    <chartFormat chart="5" format="3" series="1">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5ABF1993-85F1-442D-8C88-045DB38DAF4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21:I25" firstHeaderRow="1" firstDataRow="2" firstDataCol="1"/>
  <pivotFields count="69">
    <pivotField showAll="0"/>
    <pivotField showAll="0"/>
    <pivotField showAll="0"/>
    <pivotField showAll="0"/>
    <pivotField showAll="0"/>
    <pivotField axis="axisRow" showAll="0">
      <items count="3">
        <item x="0"/>
        <item x="1"/>
        <item t="default"/>
      </items>
    </pivotField>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7"/>
  </colFields>
  <colItems count="3">
    <i>
      <x/>
    </i>
    <i>
      <x v="1"/>
    </i>
    <i t="grand">
      <x/>
    </i>
  </colItems>
  <dataFields count="1">
    <dataField name="Count of Death category" fld="7" subtotal="count" baseField="0" baseItem="0"/>
  </dataFields>
  <chartFormats count="10">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4" format="0" series="1">
      <pivotArea type="data" outline="0" fieldPosition="0">
        <references count="2">
          <reference field="4294967294" count="1" selected="0">
            <x v="0"/>
          </reference>
          <reference field="7" count="1" selected="0">
            <x v="0"/>
          </reference>
        </references>
      </pivotArea>
    </chartFormat>
    <chartFormat chart="4" format="1" series="1">
      <pivotArea type="data" outline="0" fieldPosition="0">
        <references count="2">
          <reference field="4294967294" count="1" selected="0">
            <x v="0"/>
          </reference>
          <reference field="7" count="1" selected="0">
            <x v="1"/>
          </reference>
        </references>
      </pivotArea>
    </chartFormat>
    <chartFormat chart="9" format="2" series="1">
      <pivotArea type="data" outline="0" fieldPosition="0">
        <references count="2">
          <reference field="4294967294" count="1" selected="0">
            <x v="0"/>
          </reference>
          <reference field="7" count="1" selected="0">
            <x v="0"/>
          </reference>
        </references>
      </pivotArea>
    </chartFormat>
    <chartFormat chart="9" format="3" series="1">
      <pivotArea type="data" outline="0" fieldPosition="0">
        <references count="2">
          <reference field="4294967294" count="1" selected="0">
            <x v="0"/>
          </reference>
          <reference field="7" count="1" selected="0">
            <x v="1"/>
          </reference>
        </references>
      </pivotArea>
    </chartFormat>
    <chartFormat chart="9" format="4">
      <pivotArea type="data" outline="0" fieldPosition="0">
        <references count="3">
          <reference field="4294967294" count="1" selected="0">
            <x v="0"/>
          </reference>
          <reference field="5" count="1" selected="0">
            <x v="0"/>
          </reference>
          <reference field="7" count="1" selected="0">
            <x v="1"/>
          </reference>
        </references>
      </pivotArea>
    </chartFormat>
    <chartFormat chart="9" format="5">
      <pivotArea type="data" outline="0" fieldPosition="0">
        <references count="3">
          <reference field="4294967294" count="1" selected="0">
            <x v="0"/>
          </reference>
          <reference field="5" count="1" selected="0">
            <x v="0"/>
          </reference>
          <reference field="7" count="1" selected="0">
            <x v="0"/>
          </reference>
        </references>
      </pivotArea>
    </chartFormat>
    <chartFormat chart="9" format="6">
      <pivotArea type="data" outline="0" fieldPosition="0">
        <references count="3">
          <reference field="4294967294" count="1" selected="0">
            <x v="0"/>
          </reference>
          <reference field="5" count="1" selected="0">
            <x v="1"/>
          </reference>
          <reference field="7" count="1" selected="0">
            <x v="0"/>
          </reference>
        </references>
      </pivotArea>
    </chartFormat>
    <chartFormat chart="9" format="7">
      <pivotArea type="data" outline="0" fieldPosition="0">
        <references count="3">
          <reference field="4294967294" count="1" selected="0">
            <x v="0"/>
          </reference>
          <reference field="5" count="1" selected="0">
            <x v="1"/>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C" xr10:uid="{D9A8FF32-3B8F-476D-B771-A7F9D4482BFB}" sourceName="PHC">
  <pivotTables>
    <pivotTable tabId="15" name="Extreme_Kr"/>
    <pivotTable tabId="15" name="Delivary_type(K1)"/>
    <pivotTable tabId="15" name="Early_Kr"/>
    <pivotTable tabId="15" name="Gender(K1)"/>
    <pivotTable tabId="15" name="High_risk(K1)"/>
    <pivotTable tabId="15" name="HR_death(K1)"/>
    <pivotTable tabId="15" name="Hypertension(K1)"/>
    <pivotTable tabId="15" name="Late_Kr"/>
    <pivotTable tabId="15" name="LBW_kr"/>
    <pivotTable tabId="15" name="Moderate_Kr"/>
    <pivotTable tabId="15" name="Preventable(K1)"/>
    <pivotTable tabId="15" name="Total_Death_kr"/>
    <pivotTable tabId="15" name="Total_Delivary_kr"/>
    <pivotTable tabId="15" name="Total_HRP_kr"/>
    <pivotTable tabId="15" name="Total_prevent"/>
  </pivotTables>
  <data>
    <tabular pivotCacheId="1979429420">
      <items count="11">
        <i x="4" s="1"/>
        <i x="8" s="1"/>
        <i x="6" s="1"/>
        <i x="2" s="1"/>
        <i x="7" s="1"/>
        <i x="0" s="1"/>
        <i x="1" s="1"/>
        <i x="10" s="1"/>
        <i x="3" s="1"/>
        <i x="5"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igion" xr10:uid="{F05FC0DB-020D-4055-B363-F7D4F1543A4E}" sourceName="Religion">
  <pivotTables>
    <pivotTable tabId="15" name="Extreme_Kr"/>
    <pivotTable tabId="15" name="Delivary_type(K1)"/>
    <pivotTable tabId="15" name="Early_Kr"/>
    <pivotTable tabId="15" name="Gender(K1)"/>
    <pivotTable tabId="15" name="High_risk(K1)"/>
    <pivotTable tabId="15" name="HR_death(K1)"/>
    <pivotTable tabId="15" name="Hypertension(K1)"/>
    <pivotTable tabId="15" name="Late_Kr"/>
    <pivotTable tabId="15" name="LBW_kr"/>
    <pivotTable tabId="15" name="Moderate_Kr"/>
    <pivotTable tabId="15" name="Preventable(K1)"/>
    <pivotTable tabId="15" name="Total_Death_kr"/>
    <pivotTable tabId="15" name="Total_Delivary_kr"/>
    <pivotTable tabId="15" name="Total_HRP_kr"/>
    <pivotTable tabId="15" name="Total_prevent"/>
  </pivotTables>
  <data>
    <tabular pivotCacheId="197942942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nity" xr10:uid="{D9FE94E6-1275-4DC8-89FD-7B8D428EDF13}" sourceName="Community">
  <pivotTables>
    <pivotTable tabId="15" name="Extreme_Kr"/>
    <pivotTable tabId="15" name="Delivary_type(K1)"/>
    <pivotTable tabId="15" name="Early_Kr"/>
    <pivotTable tabId="15" name="Gender(K1)"/>
    <pivotTable tabId="15" name="High_risk(K1)"/>
    <pivotTable tabId="15" name="HR_death(K1)"/>
    <pivotTable tabId="15" name="Hypertension(K1)"/>
    <pivotTable tabId="15" name="Late_Kr"/>
    <pivotTable tabId="15" name="LBW_kr"/>
    <pivotTable tabId="15" name="Moderate_Kr"/>
    <pivotTable tabId="15" name="Preventable(K1)"/>
    <pivotTable tabId="15" name="Total_Death_kr"/>
    <pivotTable tabId="15" name="Total_Delivary_kr"/>
    <pivotTable tabId="15" name="Total_HRP_kr"/>
    <pivotTable tabId="15" name="Total_prevent"/>
  </pivotTables>
  <data>
    <tabular pivotCacheId="1979429420">
      <items count="8">
        <i x="1" s="1"/>
        <i x="7" s="1"/>
        <i x="0" s="1"/>
        <i x="5" s="1"/>
        <i x="3" s="1"/>
        <i x="6"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C1" xr10:uid="{AEBDE9F3-A799-4AAD-8851-99BCC0FC9D3B}" sourceName="PHC">
  <pivotTables>
    <pivotTable tabId="18" name="Delivary_type(K2)"/>
    <pivotTable tabId="18" name="gender(K2)"/>
    <pivotTable tabId="18" name="High_risk(K2)"/>
    <pivotTable tabId="18" name="HR_death(K2)"/>
    <pivotTable tabId="18" name="Hypertension(K1)"/>
    <pivotTable tabId="18" name="Preventable(K2)"/>
    <pivotTable tabId="18" name="Total_death_ku"/>
    <pivotTable tabId="18" name="Total_Delivary_ku"/>
    <pivotTable tabId="18" name="Total_HRP_ku"/>
    <pivotTable tabId="18" name="Total_preventable_ku"/>
  </pivotTables>
  <data>
    <tabular pivotCacheId="601519746">
      <items count="15">
        <i x="11" s="1"/>
        <i x="13" s="1"/>
        <i x="12" s="1"/>
        <i x="0" s="1"/>
        <i x="8" s="1"/>
        <i x="14" s="1"/>
        <i x="10" s="1"/>
        <i x="3" s="1"/>
        <i x="9" s="1"/>
        <i x="6" s="1"/>
        <i x="1" s="1"/>
        <i x="4" s="1"/>
        <i x="7" s="1"/>
        <i x="2"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igion1" xr10:uid="{694D87F0-EF1C-44E7-B9DD-ADA638FD4F5F}" sourceName="Religion">
  <pivotTables>
    <pivotTable tabId="18" name="Delivary_type(K2)"/>
    <pivotTable tabId="18" name="gender(K2)"/>
    <pivotTable tabId="18" name="High_risk(K2)"/>
    <pivotTable tabId="18" name="HR_death(K2)"/>
    <pivotTable tabId="18" name="Hypertension(K1)"/>
    <pivotTable tabId="18" name="Preventable(K2)"/>
    <pivotTable tabId="18" name="Total_death_ku"/>
    <pivotTable tabId="18" name="Total_Delivary_ku"/>
    <pivotTable tabId="18" name="Total_HRP_ku"/>
    <pivotTable tabId="18" name="Total_preventable_ku"/>
  </pivotTables>
  <data>
    <tabular pivotCacheId="601519746">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nity1" xr10:uid="{17D2C3DF-F694-47F8-AB63-CEEC7F027A8D}" sourceName="Community">
  <pivotTables>
    <pivotTable tabId="18" name="Delivary_type(K2)"/>
    <pivotTable tabId="18" name="gender(K2)"/>
    <pivotTable tabId="18" name="High_risk(K2)"/>
    <pivotTable tabId="18" name="HR_death(K2)"/>
    <pivotTable tabId="18" name="Hypertension(K1)"/>
    <pivotTable tabId="18" name="Preventable(K2)"/>
    <pivotTable tabId="18" name="Total_death_ku"/>
    <pivotTable tabId="18" name="Total_Delivary_ku"/>
    <pivotTable tabId="18" name="Total_HRP_ku"/>
    <pivotTable tabId="18" name="Total_preventable_ku"/>
    <pivotTable tabId="18" name="Early_ku"/>
    <pivotTable tabId="18" name="Extreme_kr"/>
    <pivotTable tabId="18" name="Late_ku"/>
    <pivotTable tabId="18" name="LBW_ku"/>
    <pivotTable tabId="18" name="Moderate_ku"/>
  </pivotTables>
  <data>
    <tabular pivotCacheId="601519746">
      <items count="15">
        <i x="2" s="1"/>
        <i x="13" s="1"/>
        <i x="11" s="1"/>
        <i x="5" s="1"/>
        <i x="8" s="1"/>
        <i x="0" s="1"/>
        <i x="7" s="1"/>
        <i x="9" s="1"/>
        <i x="14" s="1"/>
        <i x="3" s="1"/>
        <i x="6" s="1"/>
        <i x="1" s="1"/>
        <i x="4" s="1"/>
        <i x="10" s="1"/>
        <i x="1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C2" xr10:uid="{D30ADF74-4438-4BFF-A1D0-8F77A82B2ABA}" sourceName="PHC">
  <pivotTables>
    <pivotTable tabId="19" name="High_risk(Ud)"/>
    <pivotTable tabId="19" name="Delivary_type(Ud)"/>
    <pivotTable tabId="19" name="Early_ud"/>
    <pivotTable tabId="19" name="extreme_ud"/>
    <pivotTable tabId="19" name="Gender(Ud)"/>
    <pivotTable tabId="19" name="Hypertension(Ud)"/>
    <pivotTable tabId="19" name="Late_ud"/>
    <pivotTable tabId="19" name="LBW_ud"/>
    <pivotTable tabId="19" name="Moderate_ud"/>
    <pivotTable tabId="19" name="PivotTable22"/>
    <pivotTable tabId="19" name="Preventable(Ud)"/>
    <pivotTable tabId="19" name="Total_death_ud"/>
    <pivotTable tabId="19" name="Total_delivary_ud"/>
    <pivotTable tabId="19" name="Total_HPR_ud"/>
    <pivotTable tabId="19" name="Total_preventable_ud"/>
  </pivotTables>
  <data>
    <tabular pivotCacheId="1750721276">
      <items count="18">
        <i x="5" s="1"/>
        <i x="1" s="1"/>
        <i x="7" s="1"/>
        <i x="10" s="1"/>
        <i x="0" s="1"/>
        <i x="3" s="1"/>
        <i x="6" s="1"/>
        <i x="2" s="1"/>
        <i x="4" s="1"/>
        <i x="15" s="1"/>
        <i x="9" s="1"/>
        <i x="12" s="1"/>
        <i x="17" s="1"/>
        <i x="16" s="1"/>
        <i x="13" s="1"/>
        <i x="8" s="1"/>
        <i x="11" s="1"/>
        <i x="1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igion2" xr10:uid="{82082DA9-1E1E-467D-A1FA-2B20163A1E43}" sourceName="Religion">
  <pivotTables>
    <pivotTable tabId="19" name="High_risk(Ud)"/>
    <pivotTable tabId="19" name="Delivary_type(Ud)"/>
    <pivotTable tabId="19" name="Early_ud"/>
    <pivotTable tabId="19" name="extreme_ud"/>
    <pivotTable tabId="19" name="Gender(Ud)"/>
    <pivotTable tabId="19" name="Hypertension(Ud)"/>
    <pivotTable tabId="19" name="Late_ud"/>
    <pivotTable tabId="19" name="LBW_ud"/>
    <pivotTable tabId="19" name="Moderate_ud"/>
    <pivotTable tabId="19" name="PivotTable22"/>
    <pivotTable tabId="19" name="Preventable(Ud)"/>
    <pivotTable tabId="19" name="Total_death_ud"/>
    <pivotTable tabId="19" name="Total_delivary_ud"/>
    <pivotTable tabId="19" name="Total_HPR_ud"/>
    <pivotTable tabId="19" name="Total_preventable_ud"/>
  </pivotTables>
  <data>
    <tabular pivotCacheId="1750721276">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nity2" xr10:uid="{6526EF5E-749D-4508-AB11-A357C9305DCE}" sourceName="Community">
  <pivotTables>
    <pivotTable tabId="19" name="High_risk(Ud)"/>
    <pivotTable tabId="19" name="Delivary_type(Ud)"/>
    <pivotTable tabId="19" name="Early_ud"/>
    <pivotTable tabId="19" name="extreme_ud"/>
    <pivotTable tabId="19" name="Gender(Ud)"/>
    <pivotTable tabId="19" name="Hypertension(Ud)"/>
    <pivotTable tabId="19" name="Late_ud"/>
    <pivotTable tabId="19" name="LBW_ud"/>
    <pivotTable tabId="19" name="Moderate_ud"/>
    <pivotTable tabId="19" name="PivotTable22"/>
    <pivotTable tabId="19" name="Preventable(Ud)"/>
    <pivotTable tabId="19" name="Total_death_ud"/>
    <pivotTable tabId="19" name="Total_delivary_ud"/>
    <pivotTable tabId="19" name="Total_HPR_ud"/>
    <pivotTable tabId="19" name="Total_preventable_ud"/>
  </pivotTables>
  <data>
    <tabular pivotCacheId="1750721276">
      <items count="11">
        <i x="8" s="1"/>
        <i x="4" s="1"/>
        <i x="3" s="1"/>
        <i x="5" s="1"/>
        <i x="0" s="1"/>
        <i x="9" s="1"/>
        <i x="6" s="1"/>
        <i x="10" s="1"/>
        <i x="1" s="1"/>
        <i x="2" s="1"/>
        <i x="7"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ABA29BED-EE37-4BD6-9FCC-3C3106298911}" sourceName="Column1">
  <extLst>
    <x:ext xmlns:x15="http://schemas.microsoft.com/office/spreadsheetml/2010/11/main" uri="{2F2917AC-EB37-4324-AD4E-5DD8C200BD13}">
      <x15:tableSlicerCache tableId="8"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HC_1" xr10:uid="{EC7F776B-F558-4BC9-96B7-DB8BE4D49F2E}" cache="Slicer_PHC" caption="PHC" style="PHC" rowHeight="234950"/>
  <slicer name="PHC 4" xr10:uid="{4604FBA7-6D09-46CC-ADCF-4822DB043ADC}" cache="Slicer_PHC" caption="PHC" style="PHC" rowHeight="234950"/>
  <slicer name="Religion 1" xr10:uid="{C912EF73-5859-426D-AA29-980E523FC8C3}" cache="Slicer_Religion" caption="Religion" style="PHC" rowHeight="234950"/>
  <slicer name="Religion 4" xr10:uid="{3D34F690-002C-485D-9EBE-C65E7A58F7F6}" cache="Slicer_Religion" caption="Religion" style="PHC" rowHeight="234950"/>
  <slicer name="Community 1" xr10:uid="{DB8F1B96-03BE-487F-BACB-6CD8F705DD71}" cache="Slicer_Community" caption="Community" style="PHC" rowHeight="234950"/>
  <slicer name="Community 4" xr10:uid="{D48AF11C-6A0D-4E90-936E-F4C2933D206D}" cache="Slicer_Community" caption="Community" style="PHC"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HC" xr10:uid="{DA8B9A2F-FD9A-4788-AE89-AD8FAB99F88F}" cache="Slicer_PHC1" caption="PHC" style="PHC" rowHeight="234950"/>
  <slicer name="PHC 1" xr10:uid="{31AA5F1F-627C-4F4D-A92F-70A80372F125}" cache="Slicer_PHC1" caption="PHC" style="PHC" rowHeight="234950"/>
  <slicer name="Religion" xr10:uid="{BB0C263A-69C4-4C35-8A35-76B81EE5FB26}" cache="Slicer_Religion1" caption="Religion" style="PHC" rowHeight="234950"/>
  <slicer name="Religion 2" xr10:uid="{514BBB54-F526-41A7-866D-33EA4C499A0C}" cache="Slicer_Religion1" caption="Religion" style="PHC" rowHeight="234950"/>
  <slicer name="Community" xr10:uid="{44DC64AC-D6BA-42BF-97CC-7522DDB519D6}" cache="Slicer_Community1" caption="Community" style="PHC" rowHeight="234950"/>
  <slicer name="Community 2" xr10:uid="{A6C8CD4F-78CB-47BB-BA95-DB200701FD63}" cache="Slicer_Community1" caption="Community" style="PHC"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HC 2" xr10:uid="{063A734F-D718-4967-B75D-7DC755770898}" cache="Slicer_PHC2" caption="PHC" style="PHC" rowHeight="234950"/>
  <slicer name="PHC 3" xr10:uid="{19EAC03D-4046-4F6A-9707-DC78F521EEB6}" cache="Slicer_PHC2" caption="PHC" style="PHC" rowHeight="234950"/>
  <slicer name="Religion 3" xr10:uid="{2E4EEF0D-E98E-4D4A-8FAD-CA1054E88F0B}" cache="Slicer_Religion2" caption="Religion" style="PHC" rowHeight="234950"/>
  <slicer name="Religion 5" xr10:uid="{57E53AFA-1511-4F16-B797-1E877447B791}" cache="Slicer_Religion2" caption="Religion" style="PHC" rowHeight="234950"/>
  <slicer name="Community 3" xr10:uid="{6E844D50-0370-430E-9334-9B732E4090F9}" cache="Slicer_Community2" caption="Community" style="PHC" rowHeight="234950"/>
  <slicer name="Community 5" xr10:uid="{80EAC3A3-70C1-48AE-8F28-373056E581CE}" cache="Slicer_Community2" caption="Community" style="PHC"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xr10:uid="{DD9F0368-787B-4BDB-BC2B-8B5BD33A18FB}" cache="Slicer_Column1" caption="Column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721B27-C467-4638-AC46-018DE6092974}" name="Karkal" displayName="Karkal" ref="A4:AX23" totalsRowShown="0">
  <autoFilter ref="A4:AX23" xr:uid="{48721B27-C467-4638-AC46-018DE6092974}"/>
  <tableColumns count="50">
    <tableColumn id="1" xr3:uid="{0845D6F6-7450-4E95-A0FA-B5774A49B001}" name="Taluk"/>
    <tableColumn id="2" xr3:uid="{E8C93F6B-D654-4B56-859E-8B1E94689E37}" name="PHC"/>
    <tableColumn id="3" xr3:uid="{A469BD39-6032-41BA-9BBA-568FA0B981BF}" name="Religion"/>
    <tableColumn id="4" xr3:uid="{BD0FCF16-34F7-486C-9158-58E2E8893FD8}" name="Community"/>
    <tableColumn id="5" xr3:uid="{6A7087C4-AF84-4FF9-9E93-4A4F2B606AEA}" name="High Risk (Yes / No)"/>
    <tableColumn id="6" xr3:uid="{A4E1820C-D889-4C2C-A73E-AB2ADA7B1404}" name="Delivery Type (LSCS / Norma)"/>
    <tableColumn id="7" xr3:uid="{D3925FCC-0A66-4D5A-BC80-04824E62A5B0}" name="Gender"/>
    <tableColumn id="8" xr3:uid="{FFEE1B5C-3A04-4A06-B386-F08DA0F4B2EA}" name="Death category"/>
    <tableColumn id="9" xr3:uid="{5B4E3048-77EA-415A-A5D5-8AB5DABCB05B}" name="Place of Birth"/>
    <tableColumn id="10" xr3:uid="{51D70AF6-8E16-434E-A53F-E4858A79B18A}" name="Place of Death"/>
    <tableColumn id="11" xr3:uid="{908A904B-6FCB-4654-A29C-7A85D3DC93D0}" name="Preventable _x000a_(Yes / No)"/>
    <tableColumn id="12" xr3:uid="{42450D19-A253-4FE7-8D54-9A02B72ECB37}" name="Diabetes mellitus"/>
    <tableColumn id="13" xr3:uid="{135D1FF3-65B6-4768-A31E-3A9CE4F72F66}" name="RH '- ve'"/>
    <tableColumn id="14" xr3:uid="{8AE81E7A-E992-4C6F-AEAD-8B3683F180CF}" name="Elderly Primi"/>
    <tableColumn id="15" xr3:uid="{B7799D00-8A48-4D3A-8FF5-BA5727438206}" name="Hypertensive Diorders"/>
    <tableColumn id="16" xr3:uid="{99822863-46FC-472B-9ABE-9353682E21B5}" name="Mild Aneamia"/>
    <tableColumn id="17" xr3:uid="{4B44A1FE-552B-4F06-BB1C-D6A8928BEE8F}" name="Morderate Aneamia"/>
    <tableColumn id="18" xr3:uid="{AACC4B7A-0D4C-43EE-85BD-1539D218BD13}" name="Sevre Aneamia"/>
    <tableColumn id="19" xr3:uid="{7DE6E378-1AAD-4AF8-AB4B-32F21FEBBDCA}" name="BMI &lt; 18"/>
    <tableColumn id="20" xr3:uid="{EA4D5FE9-7BFB-4FF2-B55F-0B2F6883FA84}" name="Previous LSCS"/>
    <tableColumn id="21" xr3:uid="{B6BB9C0F-9B63-406A-BC9B-C472BDE37DC6}" name="Heigh &lt;145 cms"/>
    <tableColumn id="22" xr3:uid="{2808675F-32AE-4340-9C5D-3C7ECD10B4E9}" name="Multi Gravida"/>
    <tableColumn id="23" xr3:uid="{9F1125DA-492E-4B85-AC00-3299AFE7513D}" name="Previous Abortion"/>
    <tableColumn id="24" xr3:uid="{51172F1C-24BF-4D70-AD7C-F8A6472C9F06}" name="Tyroid Disease"/>
    <tableColumn id="25" xr3:uid="{B2A72543-560B-41C5-A538-43136CF90990}" name="Psychiatric Illness"/>
    <tableColumn id="26" xr3:uid="{D7EBC4AD-074F-4174-B6E1-A10D4B7085E9}" name="Twins / Triplets etc"/>
    <tableColumn id="27" xr3:uid="{0E26DA0B-A42A-4187-8DD6-B9A9C139B834}" name="Months"/>
    <tableColumn id="28" xr3:uid="{7A2F46FB-5DD8-49AD-AF55-351B1059D45B}" name="Days"/>
    <tableColumn id="29" xr3:uid="{21FFD375-24A0-40EB-8E2D-7C30D09CCC1A}" name="Hours"/>
    <tableColumn id="30" xr3:uid="{69A4442A-643F-4F85-83F2-886EFEB9DF10}" name="Total days"/>
    <tableColumn id="31" xr3:uid="{6DB3AF39-5745-4ECE-B0A3-1889BB76C1BC}" name="LBW"/>
    <tableColumn id="32" xr3:uid="{F63A8B98-03B8-4C4A-8ECE-28E135D5F122}" name="Extreme preterm _x000a_(&lt;28 weeks)"/>
    <tableColumn id="33" xr3:uid="{5D400225-27DD-433D-82C1-82EC43CBD008}" name="Early Premature _x000a_(28-31 weeks)"/>
    <tableColumn id="34" xr3:uid="{35A65DFF-3A8D-491B-B280-DD6403FA741A}" name="Morderate Premature _x000a_(&lt;32-33 weeks)"/>
    <tableColumn id="35" xr3:uid="{DBAC8C41-CF86-4DAC-AD3A-37FC1224C711}" name="Late Pre-term _x000a_(34-36 weeks)"/>
    <tableColumn id="36" xr3:uid="{6B51DB0B-61D0-4DB0-8B24-048DB14DDEDA}" name="Aspitartion Pneumonia"/>
    <tableColumn id="37" xr3:uid="{8F86CDC9-AA5C-45DC-88EC-DE549487B3CB}" name="Broncho Pneumonia"/>
    <tableColumn id="38" xr3:uid="{AF326C7B-657C-4CB5-961C-93ABD344F094}" name="Congenitall Pneumonia"/>
    <tableColumn id="39" xr3:uid="{A78A1F50-2AF8-4287-9161-0A55054FFAFF}" name="Cardiac Anomoly"/>
    <tableColumn id="40" xr3:uid="{91BEF256-908F-4425-A980-86BA6B310819}" name="CHD"/>
    <tableColumn id="41" xr3:uid="{55B15E55-593E-4386-BF9C-C81D610301D9}" name="Sepsis"/>
    <tableColumn id="42" xr3:uid="{2E4748B7-0B0C-4BC0-8C86-7227E4A54E48}" name="Respiratory Distress"/>
    <tableColumn id="43" xr3:uid="{88FA036B-4D02-4C42-A2CE-9618E8E22768}" name="Pulmonary Hypertension"/>
    <tableColumn id="44" xr3:uid="{7B4DF21D-8FEA-4B84-8DAD-C281FF2357F1}" name="Neonatal Asphyxia"/>
    <tableColumn id="45" xr3:uid="{07F6C3DF-8BB6-41DB-AA3E-5E730B899884}" name="Meconium Aspiration Syndrome"/>
    <tableColumn id="46" xr3:uid="{30AAEDF1-CB78-4F37-B839-C74EDB0EC2C4}" name="Milk Aspiration"/>
    <tableColumn id="47" xr3:uid="{6407CDE2-D796-403F-9A4D-4E683CA9916F}" name="SIDS"/>
    <tableColumn id="48" xr3:uid="{E00D9730-9F3F-4F88-92AC-1232C1403D1C}" name="Twins / Multiple etc"/>
    <tableColumn id="49" xr3:uid="{C76D0B17-71DC-4E14-8AA9-675F9FB9A2E1}" name="Others"/>
    <tableColumn id="50" xr3:uid="{41CE7CAD-D121-47DD-8840-0248B09878C0}" name="Reason for Others / Othe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DCB95D-42ED-4275-A17E-586C1E7612CD}" name="Kundapura" displayName="Kundapura" ref="A36:AX67" totalsRowShown="0">
  <autoFilter ref="A36:AX67" xr:uid="{0FDCB95D-42ED-4275-A17E-586C1E7612CD}"/>
  <tableColumns count="50">
    <tableColumn id="1" xr3:uid="{C59A1E7B-CBD8-424D-8776-4231D027C42D}" name="Taluk"/>
    <tableColumn id="2" xr3:uid="{6B0E55A1-826E-4E6C-B169-4B3ACEA958C9}" name="PHC"/>
    <tableColumn id="3" xr3:uid="{11A9A502-F56B-4D8E-8B21-900B2943753F}" name="Religion"/>
    <tableColumn id="4" xr3:uid="{18560559-FF0C-4C82-8117-FFE717A0D6B8}" name="Community"/>
    <tableColumn id="5" xr3:uid="{4AF693D2-F0C8-48F1-BA8A-0EEBDB19F8A0}" name="High Risk (Yes / No)"/>
    <tableColumn id="6" xr3:uid="{884A6F40-A86F-4D51-8F70-9E566240F3E4}" name="Delivery Type (LSCS / Norma)"/>
    <tableColumn id="7" xr3:uid="{8E61CBDA-CE16-43B0-B6B0-80E897D1A7CF}" name="Gender"/>
    <tableColumn id="8" xr3:uid="{EF2C3F5B-2FB7-45D6-BA1A-11BA7C233441}" name="Death category"/>
    <tableColumn id="9" xr3:uid="{DEEE6BEE-9CAD-46F7-9036-A79B32EC274B}" name="Place of Birth"/>
    <tableColumn id="10" xr3:uid="{E5F35B7F-FF5B-492D-BAFE-38D45A4D9C1E}" name="Place of Death"/>
    <tableColumn id="11" xr3:uid="{B9960D9C-5A23-4BD1-9DDB-50EB549BA6DA}" name="Preventable _x000a_(Yes / No)"/>
    <tableColumn id="12" xr3:uid="{DEC8AD2B-9B85-40EB-96C8-8337C0CAB100}" name="Diabetes mellitus"/>
    <tableColumn id="13" xr3:uid="{B6E73936-C854-4077-A649-83F90E4AD28D}" name="RH '- ve'"/>
    <tableColumn id="14" xr3:uid="{87589CC2-F3E0-42FA-83CF-C5F90B55DEDC}" name="Elderly Primi"/>
    <tableColumn id="15" xr3:uid="{7E5950D4-C80D-463C-8B5A-71E83C9024D7}" name="Hypertensive Diorders"/>
    <tableColumn id="16" xr3:uid="{B56D1297-45FD-4946-A815-EEC357EEEB3C}" name="Mild"/>
    <tableColumn id="17" xr3:uid="{81B81860-DF2E-4235-8024-F16C487F5031}" name="Morderate"/>
    <tableColumn id="18" xr3:uid="{7B7A289B-C1A8-4B5E-B213-A595581107F3}" name="Sevre Aneamia"/>
    <tableColumn id="19" xr3:uid="{A18C2390-8CB5-4337-9105-E3634CF878C7}" name="BMI &lt; 18"/>
    <tableColumn id="20" xr3:uid="{4FED45D7-583E-4D2F-BC3B-1A26A9342242}" name="Previous LSCS"/>
    <tableColumn id="21" xr3:uid="{A99941A6-D3B1-4778-8DB7-7F06DDE2C4C1}" name="Heigh &lt;145 cms"/>
    <tableColumn id="22" xr3:uid="{83EC17FE-25D7-447A-A1B4-63F85CC4F819}" name="Multi Gravida"/>
    <tableColumn id="23" xr3:uid="{F7B8B88C-85D5-4F7A-B0E2-5410F87E8BF0}" name="Previous Abortion"/>
    <tableColumn id="24" xr3:uid="{D8E1AE14-F970-49EA-AFFF-17255C629BB8}" name="Tyroid Disease"/>
    <tableColumn id="25" xr3:uid="{774574FC-5BB4-47CB-8A7C-63248193D773}" name="Psychiatric Illness"/>
    <tableColumn id="26" xr3:uid="{78896168-1B14-422A-A477-7D027829E24D}" name="Twins / Triplets etc"/>
    <tableColumn id="27" xr3:uid="{1B978BD6-816A-4091-ADE7-096C53A23EE9}" name="Months"/>
    <tableColumn id="28" xr3:uid="{C0489C17-8C25-4F48-A27C-92338F2CD0BB}" name="Days"/>
    <tableColumn id="29" xr3:uid="{622DA276-76D3-485A-BCDB-5F32F74CB63D}" name="Hours"/>
    <tableColumn id="30" xr3:uid="{DA725F64-CE5D-4FF4-B50A-3EB1F0A53A99}" name="Total days"/>
    <tableColumn id="31" xr3:uid="{C9DC505A-49C0-467F-9BC4-B1DAE75825BE}" name="LBW"/>
    <tableColumn id="32" xr3:uid="{4815A41A-1734-4975-9508-8E5F8E0CA76C}" name="Extreme preterm _x000a_(&lt;28 weeks)"/>
    <tableColumn id="33" xr3:uid="{F44FB6D4-F536-46F0-AA5E-D0A6E35C9F24}" name="Early Premature _x000a_(28-31 weeks)"/>
    <tableColumn id="34" xr3:uid="{867B4B56-4A49-4C63-BAC0-F0E2996EEE51}" name="Morderate Premature _x000a_(&lt;32-33 weeks)"/>
    <tableColumn id="35" xr3:uid="{4BF0A054-F162-4B21-9803-3D2BE59C6D15}" name="Late Pre-term _x000a_(34-36 weeks)"/>
    <tableColumn id="36" xr3:uid="{421539E8-765D-4E81-AA17-DA5F1D271558}" name="Aspitartion Pneumonia"/>
    <tableColumn id="37" xr3:uid="{353FFE88-77AC-46AA-B5F5-93114CB18888}" name="Broncho Pneumonia"/>
    <tableColumn id="38" xr3:uid="{76E18435-73BF-4A74-A4E9-D0EEE7BBD40F}" name="Congenitall Pneumonia"/>
    <tableColumn id="39" xr3:uid="{9323A863-8A93-49F8-9742-70E523E7183E}" name="Cardiac Anomoly"/>
    <tableColumn id="40" xr3:uid="{F3210ED6-E1CD-4BE4-A495-1C8ED8724B7E}" name="CHD"/>
    <tableColumn id="41" xr3:uid="{09F643B3-88CB-43B4-A148-1A7358676790}" name="Sepsis"/>
    <tableColumn id="42" xr3:uid="{575DD3F7-BF4E-403F-B706-AEA82CEB8185}" name="Respiratory Distress"/>
    <tableColumn id="43" xr3:uid="{F4F7C309-4934-4F2B-AEF3-683C76430D19}" name="Pulmonary Hypertension"/>
    <tableColumn id="44" xr3:uid="{AD3AA014-A5D8-455F-8E28-C9E2D619EA76}" name="Neonatal Asphyxia"/>
    <tableColumn id="45" xr3:uid="{D1FDA15F-EF70-4763-95A3-5D471CF6BCF0}" name="Meconium Aspiration Syndrome"/>
    <tableColumn id="46" xr3:uid="{7E16C07E-E7F5-47DC-9527-D04A618DFF6D}" name="Milk Aspiration"/>
    <tableColumn id="47" xr3:uid="{235214B4-E61F-4D8E-AEFB-625D0DD85B94}" name="SIDS"/>
    <tableColumn id="48" xr3:uid="{B92819D9-C146-4232-BE4B-E7FAF082ED15}" name="Twins / Multiple etc"/>
    <tableColumn id="49" xr3:uid="{3C49C830-2980-4E5B-85B5-FA2FBAE76B7F}" name="Others"/>
    <tableColumn id="50" xr3:uid="{2F524226-B985-4D95-8093-823EDCB358B8}" name="Reason for Others / Other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A6E779-6EF1-4128-A92B-07A2456F4777}" name="Udupi" displayName="Udupi" ref="A73:AX96" totalsRowShown="0">
  <autoFilter ref="A73:AX96" xr:uid="{5CA6E779-6EF1-4128-A92B-07A2456F4777}"/>
  <tableColumns count="50">
    <tableColumn id="1" xr3:uid="{4F809B19-8198-4250-86D4-6FA0E405942B}" name="Taluk"/>
    <tableColumn id="2" xr3:uid="{53D2BD76-C4A0-4680-B725-058AF4474439}" name="PHC"/>
    <tableColumn id="3" xr3:uid="{D3A01CC4-62D1-4BAE-B1E6-3749A82A5798}" name="Religion"/>
    <tableColumn id="4" xr3:uid="{C8B67A46-D7C4-4E43-A1E0-5888ABA20039}" name="Community"/>
    <tableColumn id="5" xr3:uid="{E6E844FE-7EEC-42B3-91E7-2DFC2C6ECED9}" name="High Risk (Yes / No)"/>
    <tableColumn id="6" xr3:uid="{C8127B72-8CA1-45AD-B5B3-1D11B7D80688}" name="Delivery Type (LSCS / Norma)"/>
    <tableColumn id="7" xr3:uid="{60645998-1EA5-4E55-A7ED-9D4940CB1D44}" name="Gender"/>
    <tableColumn id="8" xr3:uid="{85F564F2-CB1F-41BE-B36E-AD43BAB206A0}" name="Death category"/>
    <tableColumn id="9" xr3:uid="{CA296783-0EFE-4605-A8DD-15FD96A7AA35}" name="Place of Birth"/>
    <tableColumn id="10" xr3:uid="{FCA5A63A-B086-4891-A64E-29DEE1B47F48}" name="Place of Death"/>
    <tableColumn id="11" xr3:uid="{AC8AF04C-84B5-495A-9437-FFB317D1ACC2}" name="Preventable _x000a_(Yes / No)"/>
    <tableColumn id="12" xr3:uid="{37D4913F-AA6E-4041-98E4-B1054971A460}" name="Diabetes mellitus"/>
    <tableColumn id="13" xr3:uid="{FC1C9D6B-4B4F-4C60-82F7-0AC4CB33A980}" name="RH '- ve'"/>
    <tableColumn id="14" xr3:uid="{6D648C73-491A-4D80-AADE-B8DCD03F6EF8}" name="Elderly Primi"/>
    <tableColumn id="15" xr3:uid="{651307D7-4438-431B-A70B-68797F56276A}" name="Hypertensive Diorders"/>
    <tableColumn id="16" xr3:uid="{16660E67-1C6C-4AA5-B464-E8ED38823984}" name="Mild"/>
    <tableColumn id="17" xr3:uid="{8F67E8CC-B9B1-405B-BC2A-599B97EFE392}" name="Morderate"/>
    <tableColumn id="18" xr3:uid="{11BFCDBC-75B0-4C2F-8559-02D524DE0F3F}" name="Sevre Aneamia"/>
    <tableColumn id="19" xr3:uid="{B0C2DE7F-E6B2-44C9-9030-2C249AC638F2}" name="BMI &lt; 18"/>
    <tableColumn id="20" xr3:uid="{42B6061A-6F67-4625-A18D-BDDDDAC411AA}" name="Previous LSCS"/>
    <tableColumn id="21" xr3:uid="{D3F9826C-52CD-4EBD-AB92-8941EFA9D8AB}" name="Heigh &lt;145 cms"/>
    <tableColumn id="22" xr3:uid="{F736593C-14B7-47C5-B05A-016091279E3B}" name="Multi Gravida"/>
    <tableColumn id="23" xr3:uid="{9099C620-F3ED-4487-89E9-D877E14EB71A}" name="Previous Abortion"/>
    <tableColumn id="24" xr3:uid="{421E992C-DFCD-4F1E-8D77-0243E4071715}" name="Tyroid Disease"/>
    <tableColumn id="25" xr3:uid="{67EF198D-F24B-4596-B902-21BE8089F751}" name="Psychiatric Illness"/>
    <tableColumn id="26" xr3:uid="{5B949A54-8FD1-4301-BC8A-37796EA2A16E}" name="Twins / Triplets etc"/>
    <tableColumn id="27" xr3:uid="{B6A7B04A-0856-4199-9AC4-A8DCE91521BE}" name="Months"/>
    <tableColumn id="28" xr3:uid="{741A2006-1C94-463C-8799-0B18CD240C74}" name="Days"/>
    <tableColumn id="29" xr3:uid="{EC263245-92C8-467C-AAF4-9E95B32A251B}" name="Hours"/>
    <tableColumn id="30" xr3:uid="{02E0B191-DA1A-4CF9-9F9A-B51071C4540A}" name="Total days"/>
    <tableColumn id="31" xr3:uid="{293FB326-07AB-498B-ACC8-3556F320293F}" name="LBW"/>
    <tableColumn id="32" xr3:uid="{0AB786F9-6719-42CF-816F-F041CD8253FB}" name="Extreme preterm _x000a_(&lt;28 weeks)"/>
    <tableColumn id="33" xr3:uid="{9D92F30E-9651-46AA-AB60-F49255BCDF22}" name="Early Premature _x000a_(28-31 weeks)"/>
    <tableColumn id="34" xr3:uid="{9C7E482B-A100-4660-B831-A3D44BA93B0D}" name="Morderate Premature _x000a_(&lt;32-33 weeks)"/>
    <tableColumn id="35" xr3:uid="{FF299F46-BA75-42D0-B1CD-4B0D71A63781}" name="Late Pre-term _x000a_(34-36 weeks)"/>
    <tableColumn id="36" xr3:uid="{9B0560A1-B217-41BB-B1F4-1F74797B782F}" name="Aspitartion Pneumonia"/>
    <tableColumn id="37" xr3:uid="{E9641FCE-0FD1-4791-BCF3-9FD71E33EC52}" name="Broncho Pneumonia"/>
    <tableColumn id="38" xr3:uid="{8A1E6C27-92EE-4856-A08F-123712C59E67}" name="Congenitall Pneumonia"/>
    <tableColumn id="39" xr3:uid="{3AD47229-7479-45DA-8654-7E53CB325DCF}" name="Cardiac Anomoly"/>
    <tableColumn id="40" xr3:uid="{C89A07C2-A493-4439-B8CD-FB1529D9527D}" name="CHD"/>
    <tableColumn id="41" xr3:uid="{E76E5843-47A4-436E-BE41-5F0C7F7F8318}" name="Sepsis"/>
    <tableColumn id="42" xr3:uid="{733A673D-FB8F-4DA5-8ADE-AFF00096A1C1}" name="Respiratory Distress"/>
    <tableColumn id="43" xr3:uid="{A65F3EAB-3AEB-45D8-AF40-33D7E24CD920}" name="Pulmonary Hypertension"/>
    <tableColumn id="44" xr3:uid="{1936347D-DC65-45B9-A13D-9DBFCCA95583}" name="Neonatal Asphyxia"/>
    <tableColumn id="45" xr3:uid="{4D0496C0-B17A-4180-9CE3-2A697B134060}" name="Meconium Aspiration Syndrome"/>
    <tableColumn id="46" xr3:uid="{BC3853C8-19A6-41F6-9AD3-662CCC341471}" name="Milk Aspiration"/>
    <tableColumn id="47" xr3:uid="{B7682821-757D-46CF-B6BE-6E4489E24C2C}" name="SIDS"/>
    <tableColumn id="48" xr3:uid="{B34F8B82-8D94-4869-90BD-343F3FE9954F}" name="Twins / Multiple etc"/>
    <tableColumn id="49" xr3:uid="{1CC0147E-5E5B-4BF1-AC6E-F71D74E47348}" name="Others"/>
    <tableColumn id="50" xr3:uid="{3F2A9E00-F5A4-4520-BE91-063C96E43AC2}" name="Reason for Others / Other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C6EAB7-E44C-40AE-AD2F-2DC27175F9F7}" name="Table8" displayName="Table8" ref="F1:H15" totalsRowShown="0" headerRowDxfId="5" tableBorderDxfId="4">
  <autoFilter ref="F1:H15" xr:uid="{3BC6EAB7-E44C-40AE-AD2F-2DC27175F9F7}"/>
  <tableColumns count="3">
    <tableColumn id="1" xr3:uid="{3C07EAE6-9F2B-4B1E-B46B-CF23403A635A}" name="Column1"/>
    <tableColumn id="2" xr3:uid="{4EF7C094-C2CA-45EE-B95A-CD4EB24A140E}" name="Count"/>
    <tableColumn id="3" xr3:uid="{37DD63D7-4B45-4846-A8FA-E379F6122302}" name="Percentag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E7295E-F5B6-451C-A0FF-F33E7F34BDB7}" name="Infant_data" displayName="Infant_data" ref="A3:BR76" totalsRowShown="0">
  <autoFilter ref="A3:BR76" xr:uid="{EDE7295E-F5B6-451C-A0FF-F33E7F34BDB7}"/>
  <tableColumns count="70">
    <tableColumn id="1" xr3:uid="{244E4937-A691-419C-96EA-FD0FB1E297CC}" name="Taluk"/>
    <tableColumn id="2" xr3:uid="{99E1898F-7E77-43F7-9B5C-2892D3AA0D18}" name="PHC"/>
    <tableColumn id="3" xr3:uid="{EE4A3703-A5BE-4034-9AD0-FC30DB258CE6}" name="Religion"/>
    <tableColumn id="4" xr3:uid="{C79AFBB8-2960-4ED3-AC66-B406D00CF565}" name="Community"/>
    <tableColumn id="5" xr3:uid="{3F0BC578-B71C-480F-A82B-890968943E54}" name="High Risk (Yes / No)"/>
    <tableColumn id="70" xr3:uid="{4B62F1CB-0C70-46B7-84FD-351AD0480B98}" name="Delivery Type (LSCS / Norma)"/>
    <tableColumn id="68" xr3:uid="{0DDADA32-B5F7-4A59-9C3A-BB14906A8E51}" name="Gender"/>
    <tableColumn id="67" xr3:uid="{704A79FB-2A26-4804-8C12-9AB440176F5E}" name="Death category">
      <calculatedColumnFormula>IF('Infant dataset'!$AJ4&lt;=28,"Neonatal Death","Infant Death")</calculatedColumnFormula>
    </tableColumn>
    <tableColumn id="6" xr3:uid="{F44D1445-F95B-4D3F-B657-71ABF0BCB154}" name="Diabetes mellitus"/>
    <tableColumn id="7" xr3:uid="{8E982976-F44A-4845-B7A2-D7034DFBBAD6}" name="RH '- ve'"/>
    <tableColumn id="8" xr3:uid="{10053178-C215-4EE5-918E-DB26CC74F9E1}" name="Elderly Primi"/>
    <tableColumn id="9" xr3:uid="{32AFA0E5-A468-4C6E-84D1-0E64C436C695}" name="Hypertensive Diorders"/>
    <tableColumn id="10" xr3:uid="{D53A8400-C112-46B8-974D-85E2335C8170}" name="Mild  Aneamia"/>
    <tableColumn id="11" xr3:uid="{98691D14-0B96-454A-84E0-3B70A399B36D}" name="Morderate  Aneamia"/>
    <tableColumn id="12" xr3:uid="{A8790D57-C209-4739-87E3-A5AA4DF85368}" name="Sevre Aneamia"/>
    <tableColumn id="13" xr3:uid="{C3D599BD-D9E5-4444-A01E-655FE6622AE6}" name="BMI &lt; 18"/>
    <tableColumn id="14" xr3:uid="{D04148A4-EF2D-4694-A6D1-721A1810B6F0}" name="Previous LSCS"/>
    <tableColumn id="15" xr3:uid="{78525B37-D4D4-4BEB-8DCC-51614EA54883}" name="Heigh &lt;145 cms"/>
    <tableColumn id="16" xr3:uid="{10847B96-88C2-433A-AAD9-56DF117A1A97}" name="Infectitons like HIV, Sypholiis"/>
    <tableColumn id="17" xr3:uid="{98034AB0-D897-4F35-A06E-B2A2F7389CAD}" name="Epilpsy / Asthama / Any other Disease"/>
    <tableColumn id="18" xr3:uid="{A0BBA7B6-A6BD-46E8-96C8-CDBF755C2E7A}" name="4 / More Pregnancies"/>
    <tableColumn id="19" xr3:uid="{2A972FAA-1D83-4E9F-9E90-80331B91EBF3}" name="Multi Gravida"/>
    <tableColumn id="20" xr3:uid="{F0FEBF89-A365-446E-A7B4-F75BEFABAAFC}" name="Previous Abortion"/>
    <tableColumn id="21" xr3:uid="{1090B860-E7A6-4389-8F7C-70A9A8F78D87}" name="Transverse lie of featus"/>
    <tableColumn id="22" xr3:uid="{DAC06ABB-6109-4A8F-81F8-29D94B0719A7}" name="Tyroid Disease"/>
    <tableColumn id="23" xr3:uid="{E9000732-27EE-469D-986E-6AA4ACEC268D}" name="Psychiatric Illness"/>
    <tableColumn id="24" xr3:uid="{7E420E45-8A5C-4226-AAF8-B2B4D46973BF}" name="IUGR"/>
    <tableColumn id="25" xr3:uid="{27596B48-7BE5-4789-B021-50FF10A90129}" name="Twins / Triplets etc"/>
    <tableColumn id="26" xr3:uid="{04E5374A-E7D4-4514-8FED-0DE969622F54}" name="Fetal developmental abnormalaitis"/>
    <tableColumn id="27" xr3:uid="{AAF4AC80-7F65-422A-9BB5-FDAECDF05C84}" name="Delivery Type (LSCS / Norma)2"/>
    <tableColumn id="28" xr3:uid="{4C0201DE-EE92-4B4F-9D6E-8F6EF3EF75D8}" name="Gender2"/>
    <tableColumn id="29" xr3:uid="{26B14533-D3AD-408E-AA1A-951C532A27C6}" name="Months"/>
    <tableColumn id="30" xr3:uid="{726C8BF9-1291-4651-AD6E-7B0096744BDC}" name="Months to days">
      <calculatedColumnFormula>('Infant dataset'!$AF4 * 30)</calculatedColumnFormula>
    </tableColumn>
    <tableColumn id="31" xr3:uid="{CE664EEF-68CD-45A4-B806-5B4A03039A58}" name="Days"/>
    <tableColumn id="32" xr3:uid="{6224CFD3-92BA-49F6-A40D-E5AFD57D4855}" name="Hours"/>
    <tableColumn id="33" xr3:uid="{CA986170-794F-4EC4-86F8-E929608E5481}" name="Total days">
      <calculatedColumnFormula>'Infant dataset'!$AG4+'Infant dataset'!$AH4</calculatedColumnFormula>
    </tableColumn>
    <tableColumn id="34" xr3:uid="{C301783D-C7EE-46A1-A890-2CCB098E9AFA}" name="Death category2">
      <calculatedColumnFormula>IF('Infant dataset'!$AJ4&lt;=28,"Neonatal Death","Infant Death")</calculatedColumnFormula>
    </tableColumn>
    <tableColumn id="35" xr3:uid="{ED1A1F34-8CCC-4FEC-B183-0C2FF8E20320}" name="Place of Birth"/>
    <tableColumn id="36" xr3:uid="{D2BE1E86-F7EA-47AD-96B9-A5AC4F3F57A9}" name="Place of Death"/>
    <tableColumn id="53" xr3:uid="{44116520-4423-4162-B27C-19EB488CF7B6}" name="Weight (gms)" dataDxfId="3" dataCellStyle="Normal"/>
    <tableColumn id="69" xr3:uid="{3A049457-778F-4D08-96B9-1A63D113ABC5}" name="Weight_Category" dataDxfId="2"/>
    <tableColumn id="37" xr3:uid="{6E69E5F5-2766-41B1-966D-A6A0291D20DE}" name="LBW"/>
    <tableColumn id="38" xr3:uid="{3DDFA383-181A-4610-A563-6A95DFD05420}" name="Extreme preterm _x000a_(&lt;28 weeks)"/>
    <tableColumn id="39" xr3:uid="{4F47152A-4044-4A4B-8317-6E522D3978EF}" name="Early Premature _x000a_(28-31 weeks)"/>
    <tableColumn id="40" xr3:uid="{4435B2B1-4D25-468A-A749-F05FDDB1C28D}" name="Morderate Premature _x000a_(&lt;32-33 weeks)"/>
    <tableColumn id="41" xr3:uid="{DBC242E2-30E4-4D6D-9A5E-74F9B113B5F0}" name="Late Pre-term _x000a_(34-36 weeks)"/>
    <tableColumn id="42" xr3:uid="{D1EEACD3-733E-49E1-89DC-3D23F982A5C2}" name="Aspitartion Pneumonia"/>
    <tableColumn id="43" xr3:uid="{A5E929F9-DE16-435C-9169-922B75E8378E}" name="Broncho Pneumonia"/>
    <tableColumn id="44" xr3:uid="{ADB66A61-14AE-45F0-9974-B885EB56306F}" name="Congenitall Pneumonia"/>
    <tableColumn id="45" xr3:uid="{2F0C064B-BEDE-4C00-9FD4-4A5B6D6B169E}" name="Myocarditis"/>
    <tableColumn id="46" xr3:uid="{F3C477CA-7944-4E99-A474-F6C5892538B6}" name="Cardiac Anomoly"/>
    <tableColumn id="47" xr3:uid="{2E43F932-64DC-45DD-9E69-448E6F96BA6D}" name="CHD"/>
    <tableColumn id="48" xr3:uid="{97067778-0AA5-4EB5-A69A-F37AD8267829}" name="Sepsis"/>
    <tableColumn id="49" xr3:uid="{F57E8CC2-1970-4491-A878-A97C75071EEE}" name="Respiratory Distress"/>
    <tableColumn id="50" xr3:uid="{DB16539D-983F-4344-AE51-14127AF7E5B3}" name="Pulmonary Hypertension"/>
    <tableColumn id="51" xr3:uid="{BD51A232-0A05-497E-A3EF-816D4B49F91D}" name="Neonatal Asphyxia"/>
    <tableColumn id="52" xr3:uid="{53205880-D8EE-4CB1-937B-17957AC3B411}" name="Meconium Aspiration Syndrome"/>
    <tableColumn id="54" xr3:uid="{61A43DFE-3097-48B0-9F45-9CCFE8494426}" name="Necrotinsing Enterocolitis"/>
    <tableColumn id="55" xr3:uid="{1ECF8F19-6A1A-4750-A2E0-450918A32B6D}" name="Hepatic Cause"/>
    <tableColumn id="56" xr3:uid="{EFEA0F88-8C90-4BAE-BC3D-655C5DC94B1E}" name="Pneumothorax"/>
    <tableColumn id="57" xr3:uid="{DC0C9B21-891A-4ECE-9CB3-A397D40257CF}" name="Milk Aspiration"/>
    <tableColumn id="58" xr3:uid="{EFF66093-79DA-4E2B-80E1-35503078EE8D}" name="SIDS"/>
    <tableColumn id="59" xr3:uid="{8D573011-1CFF-4271-BD11-ED7FA41FFCB6}" name="IUGR2"/>
    <tableColumn id="60" xr3:uid="{841D7994-2EED-41B0-912E-EA66B2055F05}" name="Twins / Multiple etc"/>
    <tableColumn id="61" xr3:uid="{00E5F515-377C-472E-BF31-24A82D37AFD5}" name="Hemophagocytic "/>
    <tableColumn id="62" xr3:uid="{770A40F9-428F-453D-8315-176557BF0AAF}" name="Milk Aspiration3"/>
    <tableColumn id="63" xr3:uid="{8765BF77-7D6C-4B01-9D5F-1D092C33F32E}" name="Cronic Liver Disease"/>
    <tableColumn id="64" xr3:uid="{DE98A412-4E76-4829-A8BD-B96FBECB8F21}" name="Others"/>
    <tableColumn id="65" xr3:uid="{A5B397F8-FCCA-4EE8-B892-D80FF576A074}" name="Reason for Others / Others"/>
    <tableColumn id="66" xr3:uid="{CC61E094-F48F-4302-B92B-140723074C91}" name="Preventable _x000a_(Yes / No)"/>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3.xml"/><Relationship Id="rId13" Type="http://schemas.openxmlformats.org/officeDocument/2006/relationships/pivotTable" Target="../pivotTables/pivotTable28.xml"/><Relationship Id="rId3" Type="http://schemas.openxmlformats.org/officeDocument/2006/relationships/pivotTable" Target="../pivotTables/pivotTable18.xml"/><Relationship Id="rId7" Type="http://schemas.openxmlformats.org/officeDocument/2006/relationships/pivotTable" Target="../pivotTables/pivotTable22.xml"/><Relationship Id="rId12" Type="http://schemas.openxmlformats.org/officeDocument/2006/relationships/pivotTable" Target="../pivotTables/pivotTable27.xml"/><Relationship Id="rId2" Type="http://schemas.openxmlformats.org/officeDocument/2006/relationships/pivotTable" Target="../pivotTables/pivotTable17.xml"/><Relationship Id="rId16" Type="http://schemas.openxmlformats.org/officeDocument/2006/relationships/drawing" Target="../drawings/drawing2.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5" Type="http://schemas.openxmlformats.org/officeDocument/2006/relationships/pivotTable" Target="../pivotTables/pivotTable30.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 Id="rId14" Type="http://schemas.openxmlformats.org/officeDocument/2006/relationships/pivotTable" Target="../pivotTables/pivotTable29.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38.xml"/><Relationship Id="rId13" Type="http://schemas.openxmlformats.org/officeDocument/2006/relationships/pivotTable" Target="../pivotTables/pivotTable43.xml"/><Relationship Id="rId3" Type="http://schemas.openxmlformats.org/officeDocument/2006/relationships/pivotTable" Target="../pivotTables/pivotTable33.xml"/><Relationship Id="rId7" Type="http://schemas.openxmlformats.org/officeDocument/2006/relationships/pivotTable" Target="../pivotTables/pivotTable37.xml"/><Relationship Id="rId12" Type="http://schemas.openxmlformats.org/officeDocument/2006/relationships/pivotTable" Target="../pivotTables/pivotTable42.xml"/><Relationship Id="rId2" Type="http://schemas.openxmlformats.org/officeDocument/2006/relationships/pivotTable" Target="../pivotTables/pivotTable32.xml"/><Relationship Id="rId16" Type="http://schemas.openxmlformats.org/officeDocument/2006/relationships/drawing" Target="../drawings/drawing3.xml"/><Relationship Id="rId1" Type="http://schemas.openxmlformats.org/officeDocument/2006/relationships/pivotTable" Target="../pivotTables/pivotTable31.xml"/><Relationship Id="rId6" Type="http://schemas.openxmlformats.org/officeDocument/2006/relationships/pivotTable" Target="../pivotTables/pivotTable36.xml"/><Relationship Id="rId11" Type="http://schemas.openxmlformats.org/officeDocument/2006/relationships/pivotTable" Target="../pivotTables/pivotTable41.xml"/><Relationship Id="rId5" Type="http://schemas.openxmlformats.org/officeDocument/2006/relationships/pivotTable" Target="../pivotTables/pivotTable35.xml"/><Relationship Id="rId15" Type="http://schemas.openxmlformats.org/officeDocument/2006/relationships/pivotTable" Target="../pivotTables/pivotTable45.xml"/><Relationship Id="rId10" Type="http://schemas.openxmlformats.org/officeDocument/2006/relationships/pivotTable" Target="../pivotTables/pivotTable40.xml"/><Relationship Id="rId4" Type="http://schemas.openxmlformats.org/officeDocument/2006/relationships/pivotTable" Target="../pivotTables/pivotTable34.xml"/><Relationship Id="rId9" Type="http://schemas.openxmlformats.org/officeDocument/2006/relationships/pivotTable" Target="../pivotTables/pivotTable39.xml"/><Relationship Id="rId14" Type="http://schemas.openxmlformats.org/officeDocument/2006/relationships/pivotTable" Target="../pivotTables/pivotTable44.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53.xml"/><Relationship Id="rId13" Type="http://schemas.openxmlformats.org/officeDocument/2006/relationships/pivotTable" Target="../pivotTables/pivotTable58.xml"/><Relationship Id="rId3" Type="http://schemas.openxmlformats.org/officeDocument/2006/relationships/pivotTable" Target="../pivotTables/pivotTable48.xml"/><Relationship Id="rId7" Type="http://schemas.openxmlformats.org/officeDocument/2006/relationships/pivotTable" Target="../pivotTables/pivotTable52.xml"/><Relationship Id="rId12" Type="http://schemas.openxmlformats.org/officeDocument/2006/relationships/pivotTable" Target="../pivotTables/pivotTable57.xml"/><Relationship Id="rId2" Type="http://schemas.openxmlformats.org/officeDocument/2006/relationships/pivotTable" Target="../pivotTables/pivotTable47.xml"/><Relationship Id="rId16" Type="http://schemas.openxmlformats.org/officeDocument/2006/relationships/drawing" Target="../drawings/drawing4.xml"/><Relationship Id="rId1" Type="http://schemas.openxmlformats.org/officeDocument/2006/relationships/pivotTable" Target="../pivotTables/pivotTable46.xml"/><Relationship Id="rId6" Type="http://schemas.openxmlformats.org/officeDocument/2006/relationships/pivotTable" Target="../pivotTables/pivotTable51.xml"/><Relationship Id="rId11" Type="http://schemas.openxmlformats.org/officeDocument/2006/relationships/pivotTable" Target="../pivotTables/pivotTable56.xml"/><Relationship Id="rId5" Type="http://schemas.openxmlformats.org/officeDocument/2006/relationships/pivotTable" Target="../pivotTables/pivotTable50.xml"/><Relationship Id="rId15" Type="http://schemas.openxmlformats.org/officeDocument/2006/relationships/pivotTable" Target="../pivotTables/pivotTable60.xml"/><Relationship Id="rId10" Type="http://schemas.openxmlformats.org/officeDocument/2006/relationships/pivotTable" Target="../pivotTables/pivotTable55.xml"/><Relationship Id="rId4" Type="http://schemas.openxmlformats.org/officeDocument/2006/relationships/pivotTable" Target="../pivotTables/pivotTable49.xml"/><Relationship Id="rId9" Type="http://schemas.openxmlformats.org/officeDocument/2006/relationships/pivotTable" Target="../pivotTables/pivotTable54.xml"/><Relationship Id="rId14" Type="http://schemas.openxmlformats.org/officeDocument/2006/relationships/pivotTable" Target="../pivotTables/pivotTable5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4.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J97"/>
  <sheetViews>
    <sheetView workbookViewId="0">
      <selection activeCell="A2" sqref="A2:A3"/>
    </sheetView>
  </sheetViews>
  <sheetFormatPr defaultRowHeight="13.2" x14ac:dyDescent="0.25"/>
  <cols>
    <col min="1" max="1" width="4.33203125" style="5" customWidth="1"/>
    <col min="2" max="2" width="4.88671875" style="5" customWidth="1"/>
    <col min="3" max="3" width="20" style="61" customWidth="1"/>
    <col min="4" max="4" width="4" style="5" customWidth="1"/>
    <col min="5" max="9" width="5" style="5" customWidth="1"/>
    <col min="10" max="10" width="7.5546875" style="5" customWidth="1"/>
    <col min="11" max="11" width="5" style="5" customWidth="1"/>
    <col min="12" max="12" width="5.88671875" style="5" customWidth="1"/>
    <col min="13" max="13" width="5" style="5" customWidth="1"/>
    <col min="14" max="14" width="29" style="5" customWidth="1"/>
    <col min="15" max="24" width="3.6640625" style="5" customWidth="1"/>
    <col min="25" max="25" width="3.6640625" style="61" customWidth="1"/>
    <col min="26" max="27" width="3.6640625" style="5" customWidth="1"/>
    <col min="28" max="28" width="3.6640625" style="62" customWidth="1"/>
    <col min="29" max="33" width="3.6640625" style="5" customWidth="1"/>
    <col min="34" max="34" width="5.109375" style="5" customWidth="1"/>
    <col min="35" max="35" width="17.33203125" style="5" customWidth="1"/>
    <col min="36" max="253" width="9.109375" style="5"/>
    <col min="254" max="254" width="3.6640625" style="5" customWidth="1"/>
    <col min="255" max="255" width="5.5546875" style="5" customWidth="1"/>
    <col min="256" max="256" width="4.33203125" style="5" customWidth="1"/>
    <col min="257" max="257" width="4.88671875" style="5" customWidth="1"/>
    <col min="258" max="258" width="20" style="5" customWidth="1"/>
    <col min="259" max="259" width="4" style="5" customWidth="1"/>
    <col min="260" max="264" width="5" style="5" customWidth="1"/>
    <col min="265" max="265" width="7.5546875" style="5" customWidth="1"/>
    <col min="266" max="266" width="5" style="5" customWidth="1"/>
    <col min="267" max="267" width="5.88671875" style="5" customWidth="1"/>
    <col min="268" max="268" width="5" style="5" customWidth="1"/>
    <col min="269" max="269" width="29" style="5" customWidth="1"/>
    <col min="270" max="288" width="3.6640625" style="5" customWidth="1"/>
    <col min="289" max="289" width="5.109375" style="5" customWidth="1"/>
    <col min="290" max="290" width="4.33203125" style="5" customWidth="1"/>
    <col min="291" max="291" width="17.33203125" style="5" customWidth="1"/>
    <col min="292" max="509" width="9.109375" style="5"/>
    <col min="510" max="510" width="3.6640625" style="5" customWidth="1"/>
    <col min="511" max="511" width="5.5546875" style="5" customWidth="1"/>
    <col min="512" max="512" width="4.33203125" style="5" customWidth="1"/>
    <col min="513" max="513" width="4.88671875" style="5" customWidth="1"/>
    <col min="514" max="514" width="20" style="5" customWidth="1"/>
    <col min="515" max="515" width="4" style="5" customWidth="1"/>
    <col min="516" max="520" width="5" style="5" customWidth="1"/>
    <col min="521" max="521" width="7.5546875" style="5" customWidth="1"/>
    <col min="522" max="522" width="5" style="5" customWidth="1"/>
    <col min="523" max="523" width="5.88671875" style="5" customWidth="1"/>
    <col min="524" max="524" width="5" style="5" customWidth="1"/>
    <col min="525" max="525" width="29" style="5" customWidth="1"/>
    <col min="526" max="544" width="3.6640625" style="5" customWidth="1"/>
    <col min="545" max="545" width="5.109375" style="5" customWidth="1"/>
    <col min="546" max="546" width="4.33203125" style="5" customWidth="1"/>
    <col min="547" max="547" width="17.33203125" style="5" customWidth="1"/>
    <col min="548" max="765" width="9.109375" style="5"/>
    <col min="766" max="766" width="3.6640625" style="5" customWidth="1"/>
    <col min="767" max="767" width="5.5546875" style="5" customWidth="1"/>
    <col min="768" max="768" width="4.33203125" style="5" customWidth="1"/>
    <col min="769" max="769" width="4.88671875" style="5" customWidth="1"/>
    <col min="770" max="770" width="20" style="5" customWidth="1"/>
    <col min="771" max="771" width="4" style="5" customWidth="1"/>
    <col min="772" max="776" width="5" style="5" customWidth="1"/>
    <col min="777" max="777" width="7.5546875" style="5" customWidth="1"/>
    <col min="778" max="778" width="5" style="5" customWidth="1"/>
    <col min="779" max="779" width="5.88671875" style="5" customWidth="1"/>
    <col min="780" max="780" width="5" style="5" customWidth="1"/>
    <col min="781" max="781" width="29" style="5" customWidth="1"/>
    <col min="782" max="800" width="3.6640625" style="5" customWidth="1"/>
    <col min="801" max="801" width="5.109375" style="5" customWidth="1"/>
    <col min="802" max="802" width="4.33203125" style="5" customWidth="1"/>
    <col min="803" max="803" width="17.33203125" style="5" customWidth="1"/>
    <col min="804" max="1021" width="9.109375" style="5"/>
    <col min="1022" max="1022" width="3.6640625" style="5" customWidth="1"/>
    <col min="1023" max="1023" width="5.5546875" style="5" customWidth="1"/>
    <col min="1024" max="1024" width="4.33203125" style="5" customWidth="1"/>
    <col min="1025" max="1025" width="4.88671875" style="5" customWidth="1"/>
    <col min="1026" max="1026" width="20" style="5" customWidth="1"/>
    <col min="1027" max="1027" width="4" style="5" customWidth="1"/>
    <col min="1028" max="1032" width="5" style="5" customWidth="1"/>
    <col min="1033" max="1033" width="7.5546875" style="5" customWidth="1"/>
    <col min="1034" max="1034" width="5" style="5" customWidth="1"/>
    <col min="1035" max="1035" width="5.88671875" style="5" customWidth="1"/>
    <col min="1036" max="1036" width="5" style="5" customWidth="1"/>
    <col min="1037" max="1037" width="29" style="5" customWidth="1"/>
    <col min="1038" max="1056" width="3.6640625" style="5" customWidth="1"/>
    <col min="1057" max="1057" width="5.109375" style="5" customWidth="1"/>
    <col min="1058" max="1058" width="4.33203125" style="5" customWidth="1"/>
    <col min="1059" max="1059" width="17.33203125" style="5" customWidth="1"/>
    <col min="1060" max="1277" width="9.109375" style="5"/>
    <col min="1278" max="1278" width="3.6640625" style="5" customWidth="1"/>
    <col min="1279" max="1279" width="5.5546875" style="5" customWidth="1"/>
    <col min="1280" max="1280" width="4.33203125" style="5" customWidth="1"/>
    <col min="1281" max="1281" width="4.88671875" style="5" customWidth="1"/>
    <col min="1282" max="1282" width="20" style="5" customWidth="1"/>
    <col min="1283" max="1283" width="4" style="5" customWidth="1"/>
    <col min="1284" max="1288" width="5" style="5" customWidth="1"/>
    <col min="1289" max="1289" width="7.5546875" style="5" customWidth="1"/>
    <col min="1290" max="1290" width="5" style="5" customWidth="1"/>
    <col min="1291" max="1291" width="5.88671875" style="5" customWidth="1"/>
    <col min="1292" max="1292" width="5" style="5" customWidth="1"/>
    <col min="1293" max="1293" width="29" style="5" customWidth="1"/>
    <col min="1294" max="1312" width="3.6640625" style="5" customWidth="1"/>
    <col min="1313" max="1313" width="5.109375" style="5" customWidth="1"/>
    <col min="1314" max="1314" width="4.33203125" style="5" customWidth="1"/>
    <col min="1315" max="1315" width="17.33203125" style="5" customWidth="1"/>
    <col min="1316" max="1533" width="9.109375" style="5"/>
    <col min="1534" max="1534" width="3.6640625" style="5" customWidth="1"/>
    <col min="1535" max="1535" width="5.5546875" style="5" customWidth="1"/>
    <col min="1536" max="1536" width="4.33203125" style="5" customWidth="1"/>
    <col min="1537" max="1537" width="4.88671875" style="5" customWidth="1"/>
    <col min="1538" max="1538" width="20" style="5" customWidth="1"/>
    <col min="1539" max="1539" width="4" style="5" customWidth="1"/>
    <col min="1540" max="1544" width="5" style="5" customWidth="1"/>
    <col min="1545" max="1545" width="7.5546875" style="5" customWidth="1"/>
    <col min="1546" max="1546" width="5" style="5" customWidth="1"/>
    <col min="1547" max="1547" width="5.88671875" style="5" customWidth="1"/>
    <col min="1548" max="1548" width="5" style="5" customWidth="1"/>
    <col min="1549" max="1549" width="29" style="5" customWidth="1"/>
    <col min="1550" max="1568" width="3.6640625" style="5" customWidth="1"/>
    <col min="1569" max="1569" width="5.109375" style="5" customWidth="1"/>
    <col min="1570" max="1570" width="4.33203125" style="5" customWidth="1"/>
    <col min="1571" max="1571" width="17.33203125" style="5" customWidth="1"/>
    <col min="1572" max="1789" width="9.109375" style="5"/>
    <col min="1790" max="1790" width="3.6640625" style="5" customWidth="1"/>
    <col min="1791" max="1791" width="5.5546875" style="5" customWidth="1"/>
    <col min="1792" max="1792" width="4.33203125" style="5" customWidth="1"/>
    <col min="1793" max="1793" width="4.88671875" style="5" customWidth="1"/>
    <col min="1794" max="1794" width="20" style="5" customWidth="1"/>
    <col min="1795" max="1795" width="4" style="5" customWidth="1"/>
    <col min="1796" max="1800" width="5" style="5" customWidth="1"/>
    <col min="1801" max="1801" width="7.5546875" style="5" customWidth="1"/>
    <col min="1802" max="1802" width="5" style="5" customWidth="1"/>
    <col min="1803" max="1803" width="5.88671875" style="5" customWidth="1"/>
    <col min="1804" max="1804" width="5" style="5" customWidth="1"/>
    <col min="1805" max="1805" width="29" style="5" customWidth="1"/>
    <col min="1806" max="1824" width="3.6640625" style="5" customWidth="1"/>
    <col min="1825" max="1825" width="5.109375" style="5" customWidth="1"/>
    <col min="1826" max="1826" width="4.33203125" style="5" customWidth="1"/>
    <col min="1827" max="1827" width="17.33203125" style="5" customWidth="1"/>
    <col min="1828" max="2045" width="9.109375" style="5"/>
    <col min="2046" max="2046" width="3.6640625" style="5" customWidth="1"/>
    <col min="2047" max="2047" width="5.5546875" style="5" customWidth="1"/>
    <col min="2048" max="2048" width="4.33203125" style="5" customWidth="1"/>
    <col min="2049" max="2049" width="4.88671875" style="5" customWidth="1"/>
    <col min="2050" max="2050" width="20" style="5" customWidth="1"/>
    <col min="2051" max="2051" width="4" style="5" customWidth="1"/>
    <col min="2052" max="2056" width="5" style="5" customWidth="1"/>
    <col min="2057" max="2057" width="7.5546875" style="5" customWidth="1"/>
    <col min="2058" max="2058" width="5" style="5" customWidth="1"/>
    <col min="2059" max="2059" width="5.88671875" style="5" customWidth="1"/>
    <col min="2060" max="2060" width="5" style="5" customWidth="1"/>
    <col min="2061" max="2061" width="29" style="5" customWidth="1"/>
    <col min="2062" max="2080" width="3.6640625" style="5" customWidth="1"/>
    <col min="2081" max="2081" width="5.109375" style="5" customWidth="1"/>
    <col min="2082" max="2082" width="4.33203125" style="5" customWidth="1"/>
    <col min="2083" max="2083" width="17.33203125" style="5" customWidth="1"/>
    <col min="2084" max="2301" width="9.109375" style="5"/>
    <col min="2302" max="2302" width="3.6640625" style="5" customWidth="1"/>
    <col min="2303" max="2303" width="5.5546875" style="5" customWidth="1"/>
    <col min="2304" max="2304" width="4.33203125" style="5" customWidth="1"/>
    <col min="2305" max="2305" width="4.88671875" style="5" customWidth="1"/>
    <col min="2306" max="2306" width="20" style="5" customWidth="1"/>
    <col min="2307" max="2307" width="4" style="5" customWidth="1"/>
    <col min="2308" max="2312" width="5" style="5" customWidth="1"/>
    <col min="2313" max="2313" width="7.5546875" style="5" customWidth="1"/>
    <col min="2314" max="2314" width="5" style="5" customWidth="1"/>
    <col min="2315" max="2315" width="5.88671875" style="5" customWidth="1"/>
    <col min="2316" max="2316" width="5" style="5" customWidth="1"/>
    <col min="2317" max="2317" width="29" style="5" customWidth="1"/>
    <col min="2318" max="2336" width="3.6640625" style="5" customWidth="1"/>
    <col min="2337" max="2337" width="5.109375" style="5" customWidth="1"/>
    <col min="2338" max="2338" width="4.33203125" style="5" customWidth="1"/>
    <col min="2339" max="2339" width="17.33203125" style="5" customWidth="1"/>
    <col min="2340" max="2557" width="9.109375" style="5"/>
    <col min="2558" max="2558" width="3.6640625" style="5" customWidth="1"/>
    <col min="2559" max="2559" width="5.5546875" style="5" customWidth="1"/>
    <col min="2560" max="2560" width="4.33203125" style="5" customWidth="1"/>
    <col min="2561" max="2561" width="4.88671875" style="5" customWidth="1"/>
    <col min="2562" max="2562" width="20" style="5" customWidth="1"/>
    <col min="2563" max="2563" width="4" style="5" customWidth="1"/>
    <col min="2564" max="2568" width="5" style="5" customWidth="1"/>
    <col min="2569" max="2569" width="7.5546875" style="5" customWidth="1"/>
    <col min="2570" max="2570" width="5" style="5" customWidth="1"/>
    <col min="2571" max="2571" width="5.88671875" style="5" customWidth="1"/>
    <col min="2572" max="2572" width="5" style="5" customWidth="1"/>
    <col min="2573" max="2573" width="29" style="5" customWidth="1"/>
    <col min="2574" max="2592" width="3.6640625" style="5" customWidth="1"/>
    <col min="2593" max="2593" width="5.109375" style="5" customWidth="1"/>
    <col min="2594" max="2594" width="4.33203125" style="5" customWidth="1"/>
    <col min="2595" max="2595" width="17.33203125" style="5" customWidth="1"/>
    <col min="2596" max="2813" width="9.109375" style="5"/>
    <col min="2814" max="2814" width="3.6640625" style="5" customWidth="1"/>
    <col min="2815" max="2815" width="5.5546875" style="5" customWidth="1"/>
    <col min="2816" max="2816" width="4.33203125" style="5" customWidth="1"/>
    <col min="2817" max="2817" width="4.88671875" style="5" customWidth="1"/>
    <col min="2818" max="2818" width="20" style="5" customWidth="1"/>
    <col min="2819" max="2819" width="4" style="5" customWidth="1"/>
    <col min="2820" max="2824" width="5" style="5" customWidth="1"/>
    <col min="2825" max="2825" width="7.5546875" style="5" customWidth="1"/>
    <col min="2826" max="2826" width="5" style="5" customWidth="1"/>
    <col min="2827" max="2827" width="5.88671875" style="5" customWidth="1"/>
    <col min="2828" max="2828" width="5" style="5" customWidth="1"/>
    <col min="2829" max="2829" width="29" style="5" customWidth="1"/>
    <col min="2830" max="2848" width="3.6640625" style="5" customWidth="1"/>
    <col min="2849" max="2849" width="5.109375" style="5" customWidth="1"/>
    <col min="2850" max="2850" width="4.33203125" style="5" customWidth="1"/>
    <col min="2851" max="2851" width="17.33203125" style="5" customWidth="1"/>
    <col min="2852" max="3069" width="9.109375" style="5"/>
    <col min="3070" max="3070" width="3.6640625" style="5" customWidth="1"/>
    <col min="3071" max="3071" width="5.5546875" style="5" customWidth="1"/>
    <col min="3072" max="3072" width="4.33203125" style="5" customWidth="1"/>
    <col min="3073" max="3073" width="4.88671875" style="5" customWidth="1"/>
    <col min="3074" max="3074" width="20" style="5" customWidth="1"/>
    <col min="3075" max="3075" width="4" style="5" customWidth="1"/>
    <col min="3076" max="3080" width="5" style="5" customWidth="1"/>
    <col min="3081" max="3081" width="7.5546875" style="5" customWidth="1"/>
    <col min="3082" max="3082" width="5" style="5" customWidth="1"/>
    <col min="3083" max="3083" width="5.88671875" style="5" customWidth="1"/>
    <col min="3084" max="3084" width="5" style="5" customWidth="1"/>
    <col min="3085" max="3085" width="29" style="5" customWidth="1"/>
    <col min="3086" max="3104" width="3.6640625" style="5" customWidth="1"/>
    <col min="3105" max="3105" width="5.109375" style="5" customWidth="1"/>
    <col min="3106" max="3106" width="4.33203125" style="5" customWidth="1"/>
    <col min="3107" max="3107" width="17.33203125" style="5" customWidth="1"/>
    <col min="3108" max="3325" width="9.109375" style="5"/>
    <col min="3326" max="3326" width="3.6640625" style="5" customWidth="1"/>
    <col min="3327" max="3327" width="5.5546875" style="5" customWidth="1"/>
    <col min="3328" max="3328" width="4.33203125" style="5" customWidth="1"/>
    <col min="3329" max="3329" width="4.88671875" style="5" customWidth="1"/>
    <col min="3330" max="3330" width="20" style="5" customWidth="1"/>
    <col min="3331" max="3331" width="4" style="5" customWidth="1"/>
    <col min="3332" max="3336" width="5" style="5" customWidth="1"/>
    <col min="3337" max="3337" width="7.5546875" style="5" customWidth="1"/>
    <col min="3338" max="3338" width="5" style="5" customWidth="1"/>
    <col min="3339" max="3339" width="5.88671875" style="5" customWidth="1"/>
    <col min="3340" max="3340" width="5" style="5" customWidth="1"/>
    <col min="3341" max="3341" width="29" style="5" customWidth="1"/>
    <col min="3342" max="3360" width="3.6640625" style="5" customWidth="1"/>
    <col min="3361" max="3361" width="5.109375" style="5" customWidth="1"/>
    <col min="3362" max="3362" width="4.33203125" style="5" customWidth="1"/>
    <col min="3363" max="3363" width="17.33203125" style="5" customWidth="1"/>
    <col min="3364" max="3581" width="9.109375" style="5"/>
    <col min="3582" max="3582" width="3.6640625" style="5" customWidth="1"/>
    <col min="3583" max="3583" width="5.5546875" style="5" customWidth="1"/>
    <col min="3584" max="3584" width="4.33203125" style="5" customWidth="1"/>
    <col min="3585" max="3585" width="4.88671875" style="5" customWidth="1"/>
    <col min="3586" max="3586" width="20" style="5" customWidth="1"/>
    <col min="3587" max="3587" width="4" style="5" customWidth="1"/>
    <col min="3588" max="3592" width="5" style="5" customWidth="1"/>
    <col min="3593" max="3593" width="7.5546875" style="5" customWidth="1"/>
    <col min="3594" max="3594" width="5" style="5" customWidth="1"/>
    <col min="3595" max="3595" width="5.88671875" style="5" customWidth="1"/>
    <col min="3596" max="3596" width="5" style="5" customWidth="1"/>
    <col min="3597" max="3597" width="29" style="5" customWidth="1"/>
    <col min="3598" max="3616" width="3.6640625" style="5" customWidth="1"/>
    <col min="3617" max="3617" width="5.109375" style="5" customWidth="1"/>
    <col min="3618" max="3618" width="4.33203125" style="5" customWidth="1"/>
    <col min="3619" max="3619" width="17.33203125" style="5" customWidth="1"/>
    <col min="3620" max="3837" width="9.109375" style="5"/>
    <col min="3838" max="3838" width="3.6640625" style="5" customWidth="1"/>
    <col min="3839" max="3839" width="5.5546875" style="5" customWidth="1"/>
    <col min="3840" max="3840" width="4.33203125" style="5" customWidth="1"/>
    <col min="3841" max="3841" width="4.88671875" style="5" customWidth="1"/>
    <col min="3842" max="3842" width="20" style="5" customWidth="1"/>
    <col min="3843" max="3843" width="4" style="5" customWidth="1"/>
    <col min="3844" max="3848" width="5" style="5" customWidth="1"/>
    <col min="3849" max="3849" width="7.5546875" style="5" customWidth="1"/>
    <col min="3850" max="3850" width="5" style="5" customWidth="1"/>
    <col min="3851" max="3851" width="5.88671875" style="5" customWidth="1"/>
    <col min="3852" max="3852" width="5" style="5" customWidth="1"/>
    <col min="3853" max="3853" width="29" style="5" customWidth="1"/>
    <col min="3854" max="3872" width="3.6640625" style="5" customWidth="1"/>
    <col min="3873" max="3873" width="5.109375" style="5" customWidth="1"/>
    <col min="3874" max="3874" width="4.33203125" style="5" customWidth="1"/>
    <col min="3875" max="3875" width="17.33203125" style="5" customWidth="1"/>
    <col min="3876" max="4093" width="9.109375" style="5"/>
    <col min="4094" max="4094" width="3.6640625" style="5" customWidth="1"/>
    <col min="4095" max="4095" width="5.5546875" style="5" customWidth="1"/>
    <col min="4096" max="4096" width="4.33203125" style="5" customWidth="1"/>
    <col min="4097" max="4097" width="4.88671875" style="5" customWidth="1"/>
    <col min="4098" max="4098" width="20" style="5" customWidth="1"/>
    <col min="4099" max="4099" width="4" style="5" customWidth="1"/>
    <col min="4100" max="4104" width="5" style="5" customWidth="1"/>
    <col min="4105" max="4105" width="7.5546875" style="5" customWidth="1"/>
    <col min="4106" max="4106" width="5" style="5" customWidth="1"/>
    <col min="4107" max="4107" width="5.88671875" style="5" customWidth="1"/>
    <col min="4108" max="4108" width="5" style="5" customWidth="1"/>
    <col min="4109" max="4109" width="29" style="5" customWidth="1"/>
    <col min="4110" max="4128" width="3.6640625" style="5" customWidth="1"/>
    <col min="4129" max="4129" width="5.109375" style="5" customWidth="1"/>
    <col min="4130" max="4130" width="4.33203125" style="5" customWidth="1"/>
    <col min="4131" max="4131" width="17.33203125" style="5" customWidth="1"/>
    <col min="4132" max="4349" width="9.109375" style="5"/>
    <col min="4350" max="4350" width="3.6640625" style="5" customWidth="1"/>
    <col min="4351" max="4351" width="5.5546875" style="5" customWidth="1"/>
    <col min="4352" max="4352" width="4.33203125" style="5" customWidth="1"/>
    <col min="4353" max="4353" width="4.88671875" style="5" customWidth="1"/>
    <col min="4354" max="4354" width="20" style="5" customWidth="1"/>
    <col min="4355" max="4355" width="4" style="5" customWidth="1"/>
    <col min="4356" max="4360" width="5" style="5" customWidth="1"/>
    <col min="4361" max="4361" width="7.5546875" style="5" customWidth="1"/>
    <col min="4362" max="4362" width="5" style="5" customWidth="1"/>
    <col min="4363" max="4363" width="5.88671875" style="5" customWidth="1"/>
    <col min="4364" max="4364" width="5" style="5" customWidth="1"/>
    <col min="4365" max="4365" width="29" style="5" customWidth="1"/>
    <col min="4366" max="4384" width="3.6640625" style="5" customWidth="1"/>
    <col min="4385" max="4385" width="5.109375" style="5" customWidth="1"/>
    <col min="4386" max="4386" width="4.33203125" style="5" customWidth="1"/>
    <col min="4387" max="4387" width="17.33203125" style="5" customWidth="1"/>
    <col min="4388" max="4605" width="9.109375" style="5"/>
    <col min="4606" max="4606" width="3.6640625" style="5" customWidth="1"/>
    <col min="4607" max="4607" width="5.5546875" style="5" customWidth="1"/>
    <col min="4608" max="4608" width="4.33203125" style="5" customWidth="1"/>
    <col min="4609" max="4609" width="4.88671875" style="5" customWidth="1"/>
    <col min="4610" max="4610" width="20" style="5" customWidth="1"/>
    <col min="4611" max="4611" width="4" style="5" customWidth="1"/>
    <col min="4612" max="4616" width="5" style="5" customWidth="1"/>
    <col min="4617" max="4617" width="7.5546875" style="5" customWidth="1"/>
    <col min="4618" max="4618" width="5" style="5" customWidth="1"/>
    <col min="4619" max="4619" width="5.88671875" style="5" customWidth="1"/>
    <col min="4620" max="4620" width="5" style="5" customWidth="1"/>
    <col min="4621" max="4621" width="29" style="5" customWidth="1"/>
    <col min="4622" max="4640" width="3.6640625" style="5" customWidth="1"/>
    <col min="4641" max="4641" width="5.109375" style="5" customWidth="1"/>
    <col min="4642" max="4642" width="4.33203125" style="5" customWidth="1"/>
    <col min="4643" max="4643" width="17.33203125" style="5" customWidth="1"/>
    <col min="4644" max="4861" width="9.109375" style="5"/>
    <col min="4862" max="4862" width="3.6640625" style="5" customWidth="1"/>
    <col min="4863" max="4863" width="5.5546875" style="5" customWidth="1"/>
    <col min="4864" max="4864" width="4.33203125" style="5" customWidth="1"/>
    <col min="4865" max="4865" width="4.88671875" style="5" customWidth="1"/>
    <col min="4866" max="4866" width="20" style="5" customWidth="1"/>
    <col min="4867" max="4867" width="4" style="5" customWidth="1"/>
    <col min="4868" max="4872" width="5" style="5" customWidth="1"/>
    <col min="4873" max="4873" width="7.5546875" style="5" customWidth="1"/>
    <col min="4874" max="4874" width="5" style="5" customWidth="1"/>
    <col min="4875" max="4875" width="5.88671875" style="5" customWidth="1"/>
    <col min="4876" max="4876" width="5" style="5" customWidth="1"/>
    <col min="4877" max="4877" width="29" style="5" customWidth="1"/>
    <col min="4878" max="4896" width="3.6640625" style="5" customWidth="1"/>
    <col min="4897" max="4897" width="5.109375" style="5" customWidth="1"/>
    <col min="4898" max="4898" width="4.33203125" style="5" customWidth="1"/>
    <col min="4899" max="4899" width="17.33203125" style="5" customWidth="1"/>
    <col min="4900" max="5117" width="9.109375" style="5"/>
    <col min="5118" max="5118" width="3.6640625" style="5" customWidth="1"/>
    <col min="5119" max="5119" width="5.5546875" style="5" customWidth="1"/>
    <col min="5120" max="5120" width="4.33203125" style="5" customWidth="1"/>
    <col min="5121" max="5121" width="4.88671875" style="5" customWidth="1"/>
    <col min="5122" max="5122" width="20" style="5" customWidth="1"/>
    <col min="5123" max="5123" width="4" style="5" customWidth="1"/>
    <col min="5124" max="5128" width="5" style="5" customWidth="1"/>
    <col min="5129" max="5129" width="7.5546875" style="5" customWidth="1"/>
    <col min="5130" max="5130" width="5" style="5" customWidth="1"/>
    <col min="5131" max="5131" width="5.88671875" style="5" customWidth="1"/>
    <col min="5132" max="5132" width="5" style="5" customWidth="1"/>
    <col min="5133" max="5133" width="29" style="5" customWidth="1"/>
    <col min="5134" max="5152" width="3.6640625" style="5" customWidth="1"/>
    <col min="5153" max="5153" width="5.109375" style="5" customWidth="1"/>
    <col min="5154" max="5154" width="4.33203125" style="5" customWidth="1"/>
    <col min="5155" max="5155" width="17.33203125" style="5" customWidth="1"/>
    <col min="5156" max="5373" width="9.109375" style="5"/>
    <col min="5374" max="5374" width="3.6640625" style="5" customWidth="1"/>
    <col min="5375" max="5375" width="5.5546875" style="5" customWidth="1"/>
    <col min="5376" max="5376" width="4.33203125" style="5" customWidth="1"/>
    <col min="5377" max="5377" width="4.88671875" style="5" customWidth="1"/>
    <col min="5378" max="5378" width="20" style="5" customWidth="1"/>
    <col min="5379" max="5379" width="4" style="5" customWidth="1"/>
    <col min="5380" max="5384" width="5" style="5" customWidth="1"/>
    <col min="5385" max="5385" width="7.5546875" style="5" customWidth="1"/>
    <col min="5386" max="5386" width="5" style="5" customWidth="1"/>
    <col min="5387" max="5387" width="5.88671875" style="5" customWidth="1"/>
    <col min="5388" max="5388" width="5" style="5" customWidth="1"/>
    <col min="5389" max="5389" width="29" style="5" customWidth="1"/>
    <col min="5390" max="5408" width="3.6640625" style="5" customWidth="1"/>
    <col min="5409" max="5409" width="5.109375" style="5" customWidth="1"/>
    <col min="5410" max="5410" width="4.33203125" style="5" customWidth="1"/>
    <col min="5411" max="5411" width="17.33203125" style="5" customWidth="1"/>
    <col min="5412" max="5629" width="9.109375" style="5"/>
    <col min="5630" max="5630" width="3.6640625" style="5" customWidth="1"/>
    <col min="5631" max="5631" width="5.5546875" style="5" customWidth="1"/>
    <col min="5632" max="5632" width="4.33203125" style="5" customWidth="1"/>
    <col min="5633" max="5633" width="4.88671875" style="5" customWidth="1"/>
    <col min="5634" max="5634" width="20" style="5" customWidth="1"/>
    <col min="5635" max="5635" width="4" style="5" customWidth="1"/>
    <col min="5636" max="5640" width="5" style="5" customWidth="1"/>
    <col min="5641" max="5641" width="7.5546875" style="5" customWidth="1"/>
    <col min="5642" max="5642" width="5" style="5" customWidth="1"/>
    <col min="5643" max="5643" width="5.88671875" style="5" customWidth="1"/>
    <col min="5644" max="5644" width="5" style="5" customWidth="1"/>
    <col min="5645" max="5645" width="29" style="5" customWidth="1"/>
    <col min="5646" max="5664" width="3.6640625" style="5" customWidth="1"/>
    <col min="5665" max="5665" width="5.109375" style="5" customWidth="1"/>
    <col min="5666" max="5666" width="4.33203125" style="5" customWidth="1"/>
    <col min="5667" max="5667" width="17.33203125" style="5" customWidth="1"/>
    <col min="5668" max="5885" width="9.109375" style="5"/>
    <col min="5886" max="5886" width="3.6640625" style="5" customWidth="1"/>
    <col min="5887" max="5887" width="5.5546875" style="5" customWidth="1"/>
    <col min="5888" max="5888" width="4.33203125" style="5" customWidth="1"/>
    <col min="5889" max="5889" width="4.88671875" style="5" customWidth="1"/>
    <col min="5890" max="5890" width="20" style="5" customWidth="1"/>
    <col min="5891" max="5891" width="4" style="5" customWidth="1"/>
    <col min="5892" max="5896" width="5" style="5" customWidth="1"/>
    <col min="5897" max="5897" width="7.5546875" style="5" customWidth="1"/>
    <col min="5898" max="5898" width="5" style="5" customWidth="1"/>
    <col min="5899" max="5899" width="5.88671875" style="5" customWidth="1"/>
    <col min="5900" max="5900" width="5" style="5" customWidth="1"/>
    <col min="5901" max="5901" width="29" style="5" customWidth="1"/>
    <col min="5902" max="5920" width="3.6640625" style="5" customWidth="1"/>
    <col min="5921" max="5921" width="5.109375" style="5" customWidth="1"/>
    <col min="5922" max="5922" width="4.33203125" style="5" customWidth="1"/>
    <col min="5923" max="5923" width="17.33203125" style="5" customWidth="1"/>
    <col min="5924" max="6141" width="9.109375" style="5"/>
    <col min="6142" max="6142" width="3.6640625" style="5" customWidth="1"/>
    <col min="6143" max="6143" width="5.5546875" style="5" customWidth="1"/>
    <col min="6144" max="6144" width="4.33203125" style="5" customWidth="1"/>
    <col min="6145" max="6145" width="4.88671875" style="5" customWidth="1"/>
    <col min="6146" max="6146" width="20" style="5" customWidth="1"/>
    <col min="6147" max="6147" width="4" style="5" customWidth="1"/>
    <col min="6148" max="6152" width="5" style="5" customWidth="1"/>
    <col min="6153" max="6153" width="7.5546875" style="5" customWidth="1"/>
    <col min="6154" max="6154" width="5" style="5" customWidth="1"/>
    <col min="6155" max="6155" width="5.88671875" style="5" customWidth="1"/>
    <col min="6156" max="6156" width="5" style="5" customWidth="1"/>
    <col min="6157" max="6157" width="29" style="5" customWidth="1"/>
    <col min="6158" max="6176" width="3.6640625" style="5" customWidth="1"/>
    <col min="6177" max="6177" width="5.109375" style="5" customWidth="1"/>
    <col min="6178" max="6178" width="4.33203125" style="5" customWidth="1"/>
    <col min="6179" max="6179" width="17.33203125" style="5" customWidth="1"/>
    <col min="6180" max="6397" width="9.109375" style="5"/>
    <col min="6398" max="6398" width="3.6640625" style="5" customWidth="1"/>
    <col min="6399" max="6399" width="5.5546875" style="5" customWidth="1"/>
    <col min="6400" max="6400" width="4.33203125" style="5" customWidth="1"/>
    <col min="6401" max="6401" width="4.88671875" style="5" customWidth="1"/>
    <col min="6402" max="6402" width="20" style="5" customWidth="1"/>
    <col min="6403" max="6403" width="4" style="5" customWidth="1"/>
    <col min="6404" max="6408" width="5" style="5" customWidth="1"/>
    <col min="6409" max="6409" width="7.5546875" style="5" customWidth="1"/>
    <col min="6410" max="6410" width="5" style="5" customWidth="1"/>
    <col min="6411" max="6411" width="5.88671875" style="5" customWidth="1"/>
    <col min="6412" max="6412" width="5" style="5" customWidth="1"/>
    <col min="6413" max="6413" width="29" style="5" customWidth="1"/>
    <col min="6414" max="6432" width="3.6640625" style="5" customWidth="1"/>
    <col min="6433" max="6433" width="5.109375" style="5" customWidth="1"/>
    <col min="6434" max="6434" width="4.33203125" style="5" customWidth="1"/>
    <col min="6435" max="6435" width="17.33203125" style="5" customWidth="1"/>
    <col min="6436" max="6653" width="9.109375" style="5"/>
    <col min="6654" max="6654" width="3.6640625" style="5" customWidth="1"/>
    <col min="6655" max="6655" width="5.5546875" style="5" customWidth="1"/>
    <col min="6656" max="6656" width="4.33203125" style="5" customWidth="1"/>
    <col min="6657" max="6657" width="4.88671875" style="5" customWidth="1"/>
    <col min="6658" max="6658" width="20" style="5" customWidth="1"/>
    <col min="6659" max="6659" width="4" style="5" customWidth="1"/>
    <col min="6660" max="6664" width="5" style="5" customWidth="1"/>
    <col min="6665" max="6665" width="7.5546875" style="5" customWidth="1"/>
    <col min="6666" max="6666" width="5" style="5" customWidth="1"/>
    <col min="6667" max="6667" width="5.88671875" style="5" customWidth="1"/>
    <col min="6668" max="6668" width="5" style="5" customWidth="1"/>
    <col min="6669" max="6669" width="29" style="5" customWidth="1"/>
    <col min="6670" max="6688" width="3.6640625" style="5" customWidth="1"/>
    <col min="6689" max="6689" width="5.109375" style="5" customWidth="1"/>
    <col min="6690" max="6690" width="4.33203125" style="5" customWidth="1"/>
    <col min="6691" max="6691" width="17.33203125" style="5" customWidth="1"/>
    <col min="6692" max="6909" width="9.109375" style="5"/>
    <col min="6910" max="6910" width="3.6640625" style="5" customWidth="1"/>
    <col min="6911" max="6911" width="5.5546875" style="5" customWidth="1"/>
    <col min="6912" max="6912" width="4.33203125" style="5" customWidth="1"/>
    <col min="6913" max="6913" width="4.88671875" style="5" customWidth="1"/>
    <col min="6914" max="6914" width="20" style="5" customWidth="1"/>
    <col min="6915" max="6915" width="4" style="5" customWidth="1"/>
    <col min="6916" max="6920" width="5" style="5" customWidth="1"/>
    <col min="6921" max="6921" width="7.5546875" style="5" customWidth="1"/>
    <col min="6922" max="6922" width="5" style="5" customWidth="1"/>
    <col min="6923" max="6923" width="5.88671875" style="5" customWidth="1"/>
    <col min="6924" max="6924" width="5" style="5" customWidth="1"/>
    <col min="6925" max="6925" width="29" style="5" customWidth="1"/>
    <col min="6926" max="6944" width="3.6640625" style="5" customWidth="1"/>
    <col min="6945" max="6945" width="5.109375" style="5" customWidth="1"/>
    <col min="6946" max="6946" width="4.33203125" style="5" customWidth="1"/>
    <col min="6947" max="6947" width="17.33203125" style="5" customWidth="1"/>
    <col min="6948" max="7165" width="9.109375" style="5"/>
    <col min="7166" max="7166" width="3.6640625" style="5" customWidth="1"/>
    <col min="7167" max="7167" width="5.5546875" style="5" customWidth="1"/>
    <col min="7168" max="7168" width="4.33203125" style="5" customWidth="1"/>
    <col min="7169" max="7169" width="4.88671875" style="5" customWidth="1"/>
    <col min="7170" max="7170" width="20" style="5" customWidth="1"/>
    <col min="7171" max="7171" width="4" style="5" customWidth="1"/>
    <col min="7172" max="7176" width="5" style="5" customWidth="1"/>
    <col min="7177" max="7177" width="7.5546875" style="5" customWidth="1"/>
    <col min="7178" max="7178" width="5" style="5" customWidth="1"/>
    <col min="7179" max="7179" width="5.88671875" style="5" customWidth="1"/>
    <col min="7180" max="7180" width="5" style="5" customWidth="1"/>
    <col min="7181" max="7181" width="29" style="5" customWidth="1"/>
    <col min="7182" max="7200" width="3.6640625" style="5" customWidth="1"/>
    <col min="7201" max="7201" width="5.109375" style="5" customWidth="1"/>
    <col min="7202" max="7202" width="4.33203125" style="5" customWidth="1"/>
    <col min="7203" max="7203" width="17.33203125" style="5" customWidth="1"/>
    <col min="7204" max="7421" width="9.109375" style="5"/>
    <col min="7422" max="7422" width="3.6640625" style="5" customWidth="1"/>
    <col min="7423" max="7423" width="5.5546875" style="5" customWidth="1"/>
    <col min="7424" max="7424" width="4.33203125" style="5" customWidth="1"/>
    <col min="7425" max="7425" width="4.88671875" style="5" customWidth="1"/>
    <col min="7426" max="7426" width="20" style="5" customWidth="1"/>
    <col min="7427" max="7427" width="4" style="5" customWidth="1"/>
    <col min="7428" max="7432" width="5" style="5" customWidth="1"/>
    <col min="7433" max="7433" width="7.5546875" style="5" customWidth="1"/>
    <col min="7434" max="7434" width="5" style="5" customWidth="1"/>
    <col min="7435" max="7435" width="5.88671875" style="5" customWidth="1"/>
    <col min="7436" max="7436" width="5" style="5" customWidth="1"/>
    <col min="7437" max="7437" width="29" style="5" customWidth="1"/>
    <col min="7438" max="7456" width="3.6640625" style="5" customWidth="1"/>
    <col min="7457" max="7457" width="5.109375" style="5" customWidth="1"/>
    <col min="7458" max="7458" width="4.33203125" style="5" customWidth="1"/>
    <col min="7459" max="7459" width="17.33203125" style="5" customWidth="1"/>
    <col min="7460" max="7677" width="9.109375" style="5"/>
    <col min="7678" max="7678" width="3.6640625" style="5" customWidth="1"/>
    <col min="7679" max="7679" width="5.5546875" style="5" customWidth="1"/>
    <col min="7680" max="7680" width="4.33203125" style="5" customWidth="1"/>
    <col min="7681" max="7681" width="4.88671875" style="5" customWidth="1"/>
    <col min="7682" max="7682" width="20" style="5" customWidth="1"/>
    <col min="7683" max="7683" width="4" style="5" customWidth="1"/>
    <col min="7684" max="7688" width="5" style="5" customWidth="1"/>
    <col min="7689" max="7689" width="7.5546875" style="5" customWidth="1"/>
    <col min="7690" max="7690" width="5" style="5" customWidth="1"/>
    <col min="7691" max="7691" width="5.88671875" style="5" customWidth="1"/>
    <col min="7692" max="7692" width="5" style="5" customWidth="1"/>
    <col min="7693" max="7693" width="29" style="5" customWidth="1"/>
    <col min="7694" max="7712" width="3.6640625" style="5" customWidth="1"/>
    <col min="7713" max="7713" width="5.109375" style="5" customWidth="1"/>
    <col min="7714" max="7714" width="4.33203125" style="5" customWidth="1"/>
    <col min="7715" max="7715" width="17.33203125" style="5" customWidth="1"/>
    <col min="7716" max="7933" width="9.109375" style="5"/>
    <col min="7934" max="7934" width="3.6640625" style="5" customWidth="1"/>
    <col min="7935" max="7935" width="5.5546875" style="5" customWidth="1"/>
    <col min="7936" max="7936" width="4.33203125" style="5" customWidth="1"/>
    <col min="7937" max="7937" width="4.88671875" style="5" customWidth="1"/>
    <col min="7938" max="7938" width="20" style="5" customWidth="1"/>
    <col min="7939" max="7939" width="4" style="5" customWidth="1"/>
    <col min="7940" max="7944" width="5" style="5" customWidth="1"/>
    <col min="7945" max="7945" width="7.5546875" style="5" customWidth="1"/>
    <col min="7946" max="7946" width="5" style="5" customWidth="1"/>
    <col min="7947" max="7947" width="5.88671875" style="5" customWidth="1"/>
    <col min="7948" max="7948" width="5" style="5" customWidth="1"/>
    <col min="7949" max="7949" width="29" style="5" customWidth="1"/>
    <col min="7950" max="7968" width="3.6640625" style="5" customWidth="1"/>
    <col min="7969" max="7969" width="5.109375" style="5" customWidth="1"/>
    <col min="7970" max="7970" width="4.33203125" style="5" customWidth="1"/>
    <col min="7971" max="7971" width="17.33203125" style="5" customWidth="1"/>
    <col min="7972" max="8189" width="9.109375" style="5"/>
    <col min="8190" max="8190" width="3.6640625" style="5" customWidth="1"/>
    <col min="8191" max="8191" width="5.5546875" style="5" customWidth="1"/>
    <col min="8192" max="8192" width="4.33203125" style="5" customWidth="1"/>
    <col min="8193" max="8193" width="4.88671875" style="5" customWidth="1"/>
    <col min="8194" max="8194" width="20" style="5" customWidth="1"/>
    <col min="8195" max="8195" width="4" style="5" customWidth="1"/>
    <col min="8196" max="8200" width="5" style="5" customWidth="1"/>
    <col min="8201" max="8201" width="7.5546875" style="5" customWidth="1"/>
    <col min="8202" max="8202" width="5" style="5" customWidth="1"/>
    <col min="8203" max="8203" width="5.88671875" style="5" customWidth="1"/>
    <col min="8204" max="8204" width="5" style="5" customWidth="1"/>
    <col min="8205" max="8205" width="29" style="5" customWidth="1"/>
    <col min="8206" max="8224" width="3.6640625" style="5" customWidth="1"/>
    <col min="8225" max="8225" width="5.109375" style="5" customWidth="1"/>
    <col min="8226" max="8226" width="4.33203125" style="5" customWidth="1"/>
    <col min="8227" max="8227" width="17.33203125" style="5" customWidth="1"/>
    <col min="8228" max="8445" width="9.109375" style="5"/>
    <col min="8446" max="8446" width="3.6640625" style="5" customWidth="1"/>
    <col min="8447" max="8447" width="5.5546875" style="5" customWidth="1"/>
    <col min="8448" max="8448" width="4.33203125" style="5" customWidth="1"/>
    <col min="8449" max="8449" width="4.88671875" style="5" customWidth="1"/>
    <col min="8450" max="8450" width="20" style="5" customWidth="1"/>
    <col min="8451" max="8451" width="4" style="5" customWidth="1"/>
    <col min="8452" max="8456" width="5" style="5" customWidth="1"/>
    <col min="8457" max="8457" width="7.5546875" style="5" customWidth="1"/>
    <col min="8458" max="8458" width="5" style="5" customWidth="1"/>
    <col min="8459" max="8459" width="5.88671875" style="5" customWidth="1"/>
    <col min="8460" max="8460" width="5" style="5" customWidth="1"/>
    <col min="8461" max="8461" width="29" style="5" customWidth="1"/>
    <col min="8462" max="8480" width="3.6640625" style="5" customWidth="1"/>
    <col min="8481" max="8481" width="5.109375" style="5" customWidth="1"/>
    <col min="8482" max="8482" width="4.33203125" style="5" customWidth="1"/>
    <col min="8483" max="8483" width="17.33203125" style="5" customWidth="1"/>
    <col min="8484" max="8701" width="9.109375" style="5"/>
    <col min="8702" max="8702" width="3.6640625" style="5" customWidth="1"/>
    <col min="8703" max="8703" width="5.5546875" style="5" customWidth="1"/>
    <col min="8704" max="8704" width="4.33203125" style="5" customWidth="1"/>
    <col min="8705" max="8705" width="4.88671875" style="5" customWidth="1"/>
    <col min="8706" max="8706" width="20" style="5" customWidth="1"/>
    <col min="8707" max="8707" width="4" style="5" customWidth="1"/>
    <col min="8708" max="8712" width="5" style="5" customWidth="1"/>
    <col min="8713" max="8713" width="7.5546875" style="5" customWidth="1"/>
    <col min="8714" max="8714" width="5" style="5" customWidth="1"/>
    <col min="8715" max="8715" width="5.88671875" style="5" customWidth="1"/>
    <col min="8716" max="8716" width="5" style="5" customWidth="1"/>
    <col min="8717" max="8717" width="29" style="5" customWidth="1"/>
    <col min="8718" max="8736" width="3.6640625" style="5" customWidth="1"/>
    <col min="8737" max="8737" width="5.109375" style="5" customWidth="1"/>
    <col min="8738" max="8738" width="4.33203125" style="5" customWidth="1"/>
    <col min="8739" max="8739" width="17.33203125" style="5" customWidth="1"/>
    <col min="8740" max="8957" width="9.109375" style="5"/>
    <col min="8958" max="8958" width="3.6640625" style="5" customWidth="1"/>
    <col min="8959" max="8959" width="5.5546875" style="5" customWidth="1"/>
    <col min="8960" max="8960" width="4.33203125" style="5" customWidth="1"/>
    <col min="8961" max="8961" width="4.88671875" style="5" customWidth="1"/>
    <col min="8962" max="8962" width="20" style="5" customWidth="1"/>
    <col min="8963" max="8963" width="4" style="5" customWidth="1"/>
    <col min="8964" max="8968" width="5" style="5" customWidth="1"/>
    <col min="8969" max="8969" width="7.5546875" style="5" customWidth="1"/>
    <col min="8970" max="8970" width="5" style="5" customWidth="1"/>
    <col min="8971" max="8971" width="5.88671875" style="5" customWidth="1"/>
    <col min="8972" max="8972" width="5" style="5" customWidth="1"/>
    <col min="8973" max="8973" width="29" style="5" customWidth="1"/>
    <col min="8974" max="8992" width="3.6640625" style="5" customWidth="1"/>
    <col min="8993" max="8993" width="5.109375" style="5" customWidth="1"/>
    <col min="8994" max="8994" width="4.33203125" style="5" customWidth="1"/>
    <col min="8995" max="8995" width="17.33203125" style="5" customWidth="1"/>
    <col min="8996" max="9213" width="9.109375" style="5"/>
    <col min="9214" max="9214" width="3.6640625" style="5" customWidth="1"/>
    <col min="9215" max="9215" width="5.5546875" style="5" customWidth="1"/>
    <col min="9216" max="9216" width="4.33203125" style="5" customWidth="1"/>
    <col min="9217" max="9217" width="4.88671875" style="5" customWidth="1"/>
    <col min="9218" max="9218" width="20" style="5" customWidth="1"/>
    <col min="9219" max="9219" width="4" style="5" customWidth="1"/>
    <col min="9220" max="9224" width="5" style="5" customWidth="1"/>
    <col min="9225" max="9225" width="7.5546875" style="5" customWidth="1"/>
    <col min="9226" max="9226" width="5" style="5" customWidth="1"/>
    <col min="9227" max="9227" width="5.88671875" style="5" customWidth="1"/>
    <col min="9228" max="9228" width="5" style="5" customWidth="1"/>
    <col min="9229" max="9229" width="29" style="5" customWidth="1"/>
    <col min="9230" max="9248" width="3.6640625" style="5" customWidth="1"/>
    <col min="9249" max="9249" width="5.109375" style="5" customWidth="1"/>
    <col min="9250" max="9250" width="4.33203125" style="5" customWidth="1"/>
    <col min="9251" max="9251" width="17.33203125" style="5" customWidth="1"/>
    <col min="9252" max="9469" width="9.109375" style="5"/>
    <col min="9470" max="9470" width="3.6640625" style="5" customWidth="1"/>
    <col min="9471" max="9471" width="5.5546875" style="5" customWidth="1"/>
    <col min="9472" max="9472" width="4.33203125" style="5" customWidth="1"/>
    <col min="9473" max="9473" width="4.88671875" style="5" customWidth="1"/>
    <col min="9474" max="9474" width="20" style="5" customWidth="1"/>
    <col min="9475" max="9475" width="4" style="5" customWidth="1"/>
    <col min="9476" max="9480" width="5" style="5" customWidth="1"/>
    <col min="9481" max="9481" width="7.5546875" style="5" customWidth="1"/>
    <col min="9482" max="9482" width="5" style="5" customWidth="1"/>
    <col min="9483" max="9483" width="5.88671875" style="5" customWidth="1"/>
    <col min="9484" max="9484" width="5" style="5" customWidth="1"/>
    <col min="9485" max="9485" width="29" style="5" customWidth="1"/>
    <col min="9486" max="9504" width="3.6640625" style="5" customWidth="1"/>
    <col min="9505" max="9505" width="5.109375" style="5" customWidth="1"/>
    <col min="9506" max="9506" width="4.33203125" style="5" customWidth="1"/>
    <col min="9507" max="9507" width="17.33203125" style="5" customWidth="1"/>
    <col min="9508" max="9725" width="9.109375" style="5"/>
    <col min="9726" max="9726" width="3.6640625" style="5" customWidth="1"/>
    <col min="9727" max="9727" width="5.5546875" style="5" customWidth="1"/>
    <col min="9728" max="9728" width="4.33203125" style="5" customWidth="1"/>
    <col min="9729" max="9729" width="4.88671875" style="5" customWidth="1"/>
    <col min="9730" max="9730" width="20" style="5" customWidth="1"/>
    <col min="9731" max="9731" width="4" style="5" customWidth="1"/>
    <col min="9732" max="9736" width="5" style="5" customWidth="1"/>
    <col min="9737" max="9737" width="7.5546875" style="5" customWidth="1"/>
    <col min="9738" max="9738" width="5" style="5" customWidth="1"/>
    <col min="9739" max="9739" width="5.88671875" style="5" customWidth="1"/>
    <col min="9740" max="9740" width="5" style="5" customWidth="1"/>
    <col min="9741" max="9741" width="29" style="5" customWidth="1"/>
    <col min="9742" max="9760" width="3.6640625" style="5" customWidth="1"/>
    <col min="9761" max="9761" width="5.109375" style="5" customWidth="1"/>
    <col min="9762" max="9762" width="4.33203125" style="5" customWidth="1"/>
    <col min="9763" max="9763" width="17.33203125" style="5" customWidth="1"/>
    <col min="9764" max="9981" width="9.109375" style="5"/>
    <col min="9982" max="9982" width="3.6640625" style="5" customWidth="1"/>
    <col min="9983" max="9983" width="5.5546875" style="5" customWidth="1"/>
    <col min="9984" max="9984" width="4.33203125" style="5" customWidth="1"/>
    <col min="9985" max="9985" width="4.88671875" style="5" customWidth="1"/>
    <col min="9986" max="9986" width="20" style="5" customWidth="1"/>
    <col min="9987" max="9987" width="4" style="5" customWidth="1"/>
    <col min="9988" max="9992" width="5" style="5" customWidth="1"/>
    <col min="9993" max="9993" width="7.5546875" style="5" customWidth="1"/>
    <col min="9994" max="9994" width="5" style="5" customWidth="1"/>
    <col min="9995" max="9995" width="5.88671875" style="5" customWidth="1"/>
    <col min="9996" max="9996" width="5" style="5" customWidth="1"/>
    <col min="9997" max="9997" width="29" style="5" customWidth="1"/>
    <col min="9998" max="10016" width="3.6640625" style="5" customWidth="1"/>
    <col min="10017" max="10017" width="5.109375" style="5" customWidth="1"/>
    <col min="10018" max="10018" width="4.33203125" style="5" customWidth="1"/>
    <col min="10019" max="10019" width="17.33203125" style="5" customWidth="1"/>
    <col min="10020" max="10237" width="9.109375" style="5"/>
    <col min="10238" max="10238" width="3.6640625" style="5" customWidth="1"/>
    <col min="10239" max="10239" width="5.5546875" style="5" customWidth="1"/>
    <col min="10240" max="10240" width="4.33203125" style="5" customWidth="1"/>
    <col min="10241" max="10241" width="4.88671875" style="5" customWidth="1"/>
    <col min="10242" max="10242" width="20" style="5" customWidth="1"/>
    <col min="10243" max="10243" width="4" style="5" customWidth="1"/>
    <col min="10244" max="10248" width="5" style="5" customWidth="1"/>
    <col min="10249" max="10249" width="7.5546875" style="5" customWidth="1"/>
    <col min="10250" max="10250" width="5" style="5" customWidth="1"/>
    <col min="10251" max="10251" width="5.88671875" style="5" customWidth="1"/>
    <col min="10252" max="10252" width="5" style="5" customWidth="1"/>
    <col min="10253" max="10253" width="29" style="5" customWidth="1"/>
    <col min="10254" max="10272" width="3.6640625" style="5" customWidth="1"/>
    <col min="10273" max="10273" width="5.109375" style="5" customWidth="1"/>
    <col min="10274" max="10274" width="4.33203125" style="5" customWidth="1"/>
    <col min="10275" max="10275" width="17.33203125" style="5" customWidth="1"/>
    <col min="10276" max="10493" width="9.109375" style="5"/>
    <col min="10494" max="10494" width="3.6640625" style="5" customWidth="1"/>
    <col min="10495" max="10495" width="5.5546875" style="5" customWidth="1"/>
    <col min="10496" max="10496" width="4.33203125" style="5" customWidth="1"/>
    <col min="10497" max="10497" width="4.88671875" style="5" customWidth="1"/>
    <col min="10498" max="10498" width="20" style="5" customWidth="1"/>
    <col min="10499" max="10499" width="4" style="5" customWidth="1"/>
    <col min="10500" max="10504" width="5" style="5" customWidth="1"/>
    <col min="10505" max="10505" width="7.5546875" style="5" customWidth="1"/>
    <col min="10506" max="10506" width="5" style="5" customWidth="1"/>
    <col min="10507" max="10507" width="5.88671875" style="5" customWidth="1"/>
    <col min="10508" max="10508" width="5" style="5" customWidth="1"/>
    <col min="10509" max="10509" width="29" style="5" customWidth="1"/>
    <col min="10510" max="10528" width="3.6640625" style="5" customWidth="1"/>
    <col min="10529" max="10529" width="5.109375" style="5" customWidth="1"/>
    <col min="10530" max="10530" width="4.33203125" style="5" customWidth="1"/>
    <col min="10531" max="10531" width="17.33203125" style="5" customWidth="1"/>
    <col min="10532" max="10749" width="9.109375" style="5"/>
    <col min="10750" max="10750" width="3.6640625" style="5" customWidth="1"/>
    <col min="10751" max="10751" width="5.5546875" style="5" customWidth="1"/>
    <col min="10752" max="10752" width="4.33203125" style="5" customWidth="1"/>
    <col min="10753" max="10753" width="4.88671875" style="5" customWidth="1"/>
    <col min="10754" max="10754" width="20" style="5" customWidth="1"/>
    <col min="10755" max="10755" width="4" style="5" customWidth="1"/>
    <col min="10756" max="10760" width="5" style="5" customWidth="1"/>
    <col min="10761" max="10761" width="7.5546875" style="5" customWidth="1"/>
    <col min="10762" max="10762" width="5" style="5" customWidth="1"/>
    <col min="10763" max="10763" width="5.88671875" style="5" customWidth="1"/>
    <col min="10764" max="10764" width="5" style="5" customWidth="1"/>
    <col min="10765" max="10765" width="29" style="5" customWidth="1"/>
    <col min="10766" max="10784" width="3.6640625" style="5" customWidth="1"/>
    <col min="10785" max="10785" width="5.109375" style="5" customWidth="1"/>
    <col min="10786" max="10786" width="4.33203125" style="5" customWidth="1"/>
    <col min="10787" max="10787" width="17.33203125" style="5" customWidth="1"/>
    <col min="10788" max="11005" width="9.109375" style="5"/>
    <col min="11006" max="11006" width="3.6640625" style="5" customWidth="1"/>
    <col min="11007" max="11007" width="5.5546875" style="5" customWidth="1"/>
    <col min="11008" max="11008" width="4.33203125" style="5" customWidth="1"/>
    <col min="11009" max="11009" width="4.88671875" style="5" customWidth="1"/>
    <col min="11010" max="11010" width="20" style="5" customWidth="1"/>
    <col min="11011" max="11011" width="4" style="5" customWidth="1"/>
    <col min="11012" max="11016" width="5" style="5" customWidth="1"/>
    <col min="11017" max="11017" width="7.5546875" style="5" customWidth="1"/>
    <col min="11018" max="11018" width="5" style="5" customWidth="1"/>
    <col min="11019" max="11019" width="5.88671875" style="5" customWidth="1"/>
    <col min="11020" max="11020" width="5" style="5" customWidth="1"/>
    <col min="11021" max="11021" width="29" style="5" customWidth="1"/>
    <col min="11022" max="11040" width="3.6640625" style="5" customWidth="1"/>
    <col min="11041" max="11041" width="5.109375" style="5" customWidth="1"/>
    <col min="11042" max="11042" width="4.33203125" style="5" customWidth="1"/>
    <col min="11043" max="11043" width="17.33203125" style="5" customWidth="1"/>
    <col min="11044" max="11261" width="9.109375" style="5"/>
    <col min="11262" max="11262" width="3.6640625" style="5" customWidth="1"/>
    <col min="11263" max="11263" width="5.5546875" style="5" customWidth="1"/>
    <col min="11264" max="11264" width="4.33203125" style="5" customWidth="1"/>
    <col min="11265" max="11265" width="4.88671875" style="5" customWidth="1"/>
    <col min="11266" max="11266" width="20" style="5" customWidth="1"/>
    <col min="11267" max="11267" width="4" style="5" customWidth="1"/>
    <col min="11268" max="11272" width="5" style="5" customWidth="1"/>
    <col min="11273" max="11273" width="7.5546875" style="5" customWidth="1"/>
    <col min="11274" max="11274" width="5" style="5" customWidth="1"/>
    <col min="11275" max="11275" width="5.88671875" style="5" customWidth="1"/>
    <col min="11276" max="11276" width="5" style="5" customWidth="1"/>
    <col min="11277" max="11277" width="29" style="5" customWidth="1"/>
    <col min="11278" max="11296" width="3.6640625" style="5" customWidth="1"/>
    <col min="11297" max="11297" width="5.109375" style="5" customWidth="1"/>
    <col min="11298" max="11298" width="4.33203125" style="5" customWidth="1"/>
    <col min="11299" max="11299" width="17.33203125" style="5" customWidth="1"/>
    <col min="11300" max="11517" width="9.109375" style="5"/>
    <col min="11518" max="11518" width="3.6640625" style="5" customWidth="1"/>
    <col min="11519" max="11519" width="5.5546875" style="5" customWidth="1"/>
    <col min="11520" max="11520" width="4.33203125" style="5" customWidth="1"/>
    <col min="11521" max="11521" width="4.88671875" style="5" customWidth="1"/>
    <col min="11522" max="11522" width="20" style="5" customWidth="1"/>
    <col min="11523" max="11523" width="4" style="5" customWidth="1"/>
    <col min="11524" max="11528" width="5" style="5" customWidth="1"/>
    <col min="11529" max="11529" width="7.5546875" style="5" customWidth="1"/>
    <col min="11530" max="11530" width="5" style="5" customWidth="1"/>
    <col min="11531" max="11531" width="5.88671875" style="5" customWidth="1"/>
    <col min="11532" max="11532" width="5" style="5" customWidth="1"/>
    <col min="11533" max="11533" width="29" style="5" customWidth="1"/>
    <col min="11534" max="11552" width="3.6640625" style="5" customWidth="1"/>
    <col min="11553" max="11553" width="5.109375" style="5" customWidth="1"/>
    <col min="11554" max="11554" width="4.33203125" style="5" customWidth="1"/>
    <col min="11555" max="11555" width="17.33203125" style="5" customWidth="1"/>
    <col min="11556" max="11773" width="9.109375" style="5"/>
    <col min="11774" max="11774" width="3.6640625" style="5" customWidth="1"/>
    <col min="11775" max="11775" width="5.5546875" style="5" customWidth="1"/>
    <col min="11776" max="11776" width="4.33203125" style="5" customWidth="1"/>
    <col min="11777" max="11777" width="4.88671875" style="5" customWidth="1"/>
    <col min="11778" max="11778" width="20" style="5" customWidth="1"/>
    <col min="11779" max="11779" width="4" style="5" customWidth="1"/>
    <col min="11780" max="11784" width="5" style="5" customWidth="1"/>
    <col min="11785" max="11785" width="7.5546875" style="5" customWidth="1"/>
    <col min="11786" max="11786" width="5" style="5" customWidth="1"/>
    <col min="11787" max="11787" width="5.88671875" style="5" customWidth="1"/>
    <col min="11788" max="11788" width="5" style="5" customWidth="1"/>
    <col min="11789" max="11789" width="29" style="5" customWidth="1"/>
    <col min="11790" max="11808" width="3.6640625" style="5" customWidth="1"/>
    <col min="11809" max="11809" width="5.109375" style="5" customWidth="1"/>
    <col min="11810" max="11810" width="4.33203125" style="5" customWidth="1"/>
    <col min="11811" max="11811" width="17.33203125" style="5" customWidth="1"/>
    <col min="11812" max="12029" width="9.109375" style="5"/>
    <col min="12030" max="12030" width="3.6640625" style="5" customWidth="1"/>
    <col min="12031" max="12031" width="5.5546875" style="5" customWidth="1"/>
    <col min="12032" max="12032" width="4.33203125" style="5" customWidth="1"/>
    <col min="12033" max="12033" width="4.88671875" style="5" customWidth="1"/>
    <col min="12034" max="12034" width="20" style="5" customWidth="1"/>
    <col min="12035" max="12035" width="4" style="5" customWidth="1"/>
    <col min="12036" max="12040" width="5" style="5" customWidth="1"/>
    <col min="12041" max="12041" width="7.5546875" style="5" customWidth="1"/>
    <col min="12042" max="12042" width="5" style="5" customWidth="1"/>
    <col min="12043" max="12043" width="5.88671875" style="5" customWidth="1"/>
    <col min="12044" max="12044" width="5" style="5" customWidth="1"/>
    <col min="12045" max="12045" width="29" style="5" customWidth="1"/>
    <col min="12046" max="12064" width="3.6640625" style="5" customWidth="1"/>
    <col min="12065" max="12065" width="5.109375" style="5" customWidth="1"/>
    <col min="12066" max="12066" width="4.33203125" style="5" customWidth="1"/>
    <col min="12067" max="12067" width="17.33203125" style="5" customWidth="1"/>
    <col min="12068" max="12285" width="9.109375" style="5"/>
    <col min="12286" max="12286" width="3.6640625" style="5" customWidth="1"/>
    <col min="12287" max="12287" width="5.5546875" style="5" customWidth="1"/>
    <col min="12288" max="12288" width="4.33203125" style="5" customWidth="1"/>
    <col min="12289" max="12289" width="4.88671875" style="5" customWidth="1"/>
    <col min="12290" max="12290" width="20" style="5" customWidth="1"/>
    <col min="12291" max="12291" width="4" style="5" customWidth="1"/>
    <col min="12292" max="12296" width="5" style="5" customWidth="1"/>
    <col min="12297" max="12297" width="7.5546875" style="5" customWidth="1"/>
    <col min="12298" max="12298" width="5" style="5" customWidth="1"/>
    <col min="12299" max="12299" width="5.88671875" style="5" customWidth="1"/>
    <col min="12300" max="12300" width="5" style="5" customWidth="1"/>
    <col min="12301" max="12301" width="29" style="5" customWidth="1"/>
    <col min="12302" max="12320" width="3.6640625" style="5" customWidth="1"/>
    <col min="12321" max="12321" width="5.109375" style="5" customWidth="1"/>
    <col min="12322" max="12322" width="4.33203125" style="5" customWidth="1"/>
    <col min="12323" max="12323" width="17.33203125" style="5" customWidth="1"/>
    <col min="12324" max="12541" width="9.109375" style="5"/>
    <col min="12542" max="12542" width="3.6640625" style="5" customWidth="1"/>
    <col min="12543" max="12543" width="5.5546875" style="5" customWidth="1"/>
    <col min="12544" max="12544" width="4.33203125" style="5" customWidth="1"/>
    <col min="12545" max="12545" width="4.88671875" style="5" customWidth="1"/>
    <col min="12546" max="12546" width="20" style="5" customWidth="1"/>
    <col min="12547" max="12547" width="4" style="5" customWidth="1"/>
    <col min="12548" max="12552" width="5" style="5" customWidth="1"/>
    <col min="12553" max="12553" width="7.5546875" style="5" customWidth="1"/>
    <col min="12554" max="12554" width="5" style="5" customWidth="1"/>
    <col min="12555" max="12555" width="5.88671875" style="5" customWidth="1"/>
    <col min="12556" max="12556" width="5" style="5" customWidth="1"/>
    <col min="12557" max="12557" width="29" style="5" customWidth="1"/>
    <col min="12558" max="12576" width="3.6640625" style="5" customWidth="1"/>
    <col min="12577" max="12577" width="5.109375" style="5" customWidth="1"/>
    <col min="12578" max="12578" width="4.33203125" style="5" customWidth="1"/>
    <col min="12579" max="12579" width="17.33203125" style="5" customWidth="1"/>
    <col min="12580" max="12797" width="9.109375" style="5"/>
    <col min="12798" max="12798" width="3.6640625" style="5" customWidth="1"/>
    <col min="12799" max="12799" width="5.5546875" style="5" customWidth="1"/>
    <col min="12800" max="12800" width="4.33203125" style="5" customWidth="1"/>
    <col min="12801" max="12801" width="4.88671875" style="5" customWidth="1"/>
    <col min="12802" max="12802" width="20" style="5" customWidth="1"/>
    <col min="12803" max="12803" width="4" style="5" customWidth="1"/>
    <col min="12804" max="12808" width="5" style="5" customWidth="1"/>
    <col min="12809" max="12809" width="7.5546875" style="5" customWidth="1"/>
    <col min="12810" max="12810" width="5" style="5" customWidth="1"/>
    <col min="12811" max="12811" width="5.88671875" style="5" customWidth="1"/>
    <col min="12812" max="12812" width="5" style="5" customWidth="1"/>
    <col min="12813" max="12813" width="29" style="5" customWidth="1"/>
    <col min="12814" max="12832" width="3.6640625" style="5" customWidth="1"/>
    <col min="12833" max="12833" width="5.109375" style="5" customWidth="1"/>
    <col min="12834" max="12834" width="4.33203125" style="5" customWidth="1"/>
    <col min="12835" max="12835" width="17.33203125" style="5" customWidth="1"/>
    <col min="12836" max="13053" width="9.109375" style="5"/>
    <col min="13054" max="13054" width="3.6640625" style="5" customWidth="1"/>
    <col min="13055" max="13055" width="5.5546875" style="5" customWidth="1"/>
    <col min="13056" max="13056" width="4.33203125" style="5" customWidth="1"/>
    <col min="13057" max="13057" width="4.88671875" style="5" customWidth="1"/>
    <col min="13058" max="13058" width="20" style="5" customWidth="1"/>
    <col min="13059" max="13059" width="4" style="5" customWidth="1"/>
    <col min="13060" max="13064" width="5" style="5" customWidth="1"/>
    <col min="13065" max="13065" width="7.5546875" style="5" customWidth="1"/>
    <col min="13066" max="13066" width="5" style="5" customWidth="1"/>
    <col min="13067" max="13067" width="5.88671875" style="5" customWidth="1"/>
    <col min="13068" max="13068" width="5" style="5" customWidth="1"/>
    <col min="13069" max="13069" width="29" style="5" customWidth="1"/>
    <col min="13070" max="13088" width="3.6640625" style="5" customWidth="1"/>
    <col min="13089" max="13089" width="5.109375" style="5" customWidth="1"/>
    <col min="13090" max="13090" width="4.33203125" style="5" customWidth="1"/>
    <col min="13091" max="13091" width="17.33203125" style="5" customWidth="1"/>
    <col min="13092" max="13309" width="9.109375" style="5"/>
    <col min="13310" max="13310" width="3.6640625" style="5" customWidth="1"/>
    <col min="13311" max="13311" width="5.5546875" style="5" customWidth="1"/>
    <col min="13312" max="13312" width="4.33203125" style="5" customWidth="1"/>
    <col min="13313" max="13313" width="4.88671875" style="5" customWidth="1"/>
    <col min="13314" max="13314" width="20" style="5" customWidth="1"/>
    <col min="13315" max="13315" width="4" style="5" customWidth="1"/>
    <col min="13316" max="13320" width="5" style="5" customWidth="1"/>
    <col min="13321" max="13321" width="7.5546875" style="5" customWidth="1"/>
    <col min="13322" max="13322" width="5" style="5" customWidth="1"/>
    <col min="13323" max="13323" width="5.88671875" style="5" customWidth="1"/>
    <col min="13324" max="13324" width="5" style="5" customWidth="1"/>
    <col min="13325" max="13325" width="29" style="5" customWidth="1"/>
    <col min="13326" max="13344" width="3.6640625" style="5" customWidth="1"/>
    <col min="13345" max="13345" width="5.109375" style="5" customWidth="1"/>
    <col min="13346" max="13346" width="4.33203125" style="5" customWidth="1"/>
    <col min="13347" max="13347" width="17.33203125" style="5" customWidth="1"/>
    <col min="13348" max="13565" width="9.109375" style="5"/>
    <col min="13566" max="13566" width="3.6640625" style="5" customWidth="1"/>
    <col min="13567" max="13567" width="5.5546875" style="5" customWidth="1"/>
    <col min="13568" max="13568" width="4.33203125" style="5" customWidth="1"/>
    <col min="13569" max="13569" width="4.88671875" style="5" customWidth="1"/>
    <col min="13570" max="13570" width="20" style="5" customWidth="1"/>
    <col min="13571" max="13571" width="4" style="5" customWidth="1"/>
    <col min="13572" max="13576" width="5" style="5" customWidth="1"/>
    <col min="13577" max="13577" width="7.5546875" style="5" customWidth="1"/>
    <col min="13578" max="13578" width="5" style="5" customWidth="1"/>
    <col min="13579" max="13579" width="5.88671875" style="5" customWidth="1"/>
    <col min="13580" max="13580" width="5" style="5" customWidth="1"/>
    <col min="13581" max="13581" width="29" style="5" customWidth="1"/>
    <col min="13582" max="13600" width="3.6640625" style="5" customWidth="1"/>
    <col min="13601" max="13601" width="5.109375" style="5" customWidth="1"/>
    <col min="13602" max="13602" width="4.33203125" style="5" customWidth="1"/>
    <col min="13603" max="13603" width="17.33203125" style="5" customWidth="1"/>
    <col min="13604" max="13821" width="9.109375" style="5"/>
    <col min="13822" max="13822" width="3.6640625" style="5" customWidth="1"/>
    <col min="13823" max="13823" width="5.5546875" style="5" customWidth="1"/>
    <col min="13824" max="13824" width="4.33203125" style="5" customWidth="1"/>
    <col min="13825" max="13825" width="4.88671875" style="5" customWidth="1"/>
    <col min="13826" max="13826" width="20" style="5" customWidth="1"/>
    <col min="13827" max="13827" width="4" style="5" customWidth="1"/>
    <col min="13828" max="13832" width="5" style="5" customWidth="1"/>
    <col min="13833" max="13833" width="7.5546875" style="5" customWidth="1"/>
    <col min="13834" max="13834" width="5" style="5" customWidth="1"/>
    <col min="13835" max="13835" width="5.88671875" style="5" customWidth="1"/>
    <col min="13836" max="13836" width="5" style="5" customWidth="1"/>
    <col min="13837" max="13837" width="29" style="5" customWidth="1"/>
    <col min="13838" max="13856" width="3.6640625" style="5" customWidth="1"/>
    <col min="13857" max="13857" width="5.109375" style="5" customWidth="1"/>
    <col min="13858" max="13858" width="4.33203125" style="5" customWidth="1"/>
    <col min="13859" max="13859" width="17.33203125" style="5" customWidth="1"/>
    <col min="13860" max="14077" width="9.109375" style="5"/>
    <col min="14078" max="14078" width="3.6640625" style="5" customWidth="1"/>
    <col min="14079" max="14079" width="5.5546875" style="5" customWidth="1"/>
    <col min="14080" max="14080" width="4.33203125" style="5" customWidth="1"/>
    <col min="14081" max="14081" width="4.88671875" style="5" customWidth="1"/>
    <col min="14082" max="14082" width="20" style="5" customWidth="1"/>
    <col min="14083" max="14083" width="4" style="5" customWidth="1"/>
    <col min="14084" max="14088" width="5" style="5" customWidth="1"/>
    <col min="14089" max="14089" width="7.5546875" style="5" customWidth="1"/>
    <col min="14090" max="14090" width="5" style="5" customWidth="1"/>
    <col min="14091" max="14091" width="5.88671875" style="5" customWidth="1"/>
    <col min="14092" max="14092" width="5" style="5" customWidth="1"/>
    <col min="14093" max="14093" width="29" style="5" customWidth="1"/>
    <col min="14094" max="14112" width="3.6640625" style="5" customWidth="1"/>
    <col min="14113" max="14113" width="5.109375" style="5" customWidth="1"/>
    <col min="14114" max="14114" width="4.33203125" style="5" customWidth="1"/>
    <col min="14115" max="14115" width="17.33203125" style="5" customWidth="1"/>
    <col min="14116" max="14333" width="9.109375" style="5"/>
    <col min="14334" max="14334" width="3.6640625" style="5" customWidth="1"/>
    <col min="14335" max="14335" width="5.5546875" style="5" customWidth="1"/>
    <col min="14336" max="14336" width="4.33203125" style="5" customWidth="1"/>
    <col min="14337" max="14337" width="4.88671875" style="5" customWidth="1"/>
    <col min="14338" max="14338" width="20" style="5" customWidth="1"/>
    <col min="14339" max="14339" width="4" style="5" customWidth="1"/>
    <col min="14340" max="14344" width="5" style="5" customWidth="1"/>
    <col min="14345" max="14345" width="7.5546875" style="5" customWidth="1"/>
    <col min="14346" max="14346" width="5" style="5" customWidth="1"/>
    <col min="14347" max="14347" width="5.88671875" style="5" customWidth="1"/>
    <col min="14348" max="14348" width="5" style="5" customWidth="1"/>
    <col min="14349" max="14349" width="29" style="5" customWidth="1"/>
    <col min="14350" max="14368" width="3.6640625" style="5" customWidth="1"/>
    <col min="14369" max="14369" width="5.109375" style="5" customWidth="1"/>
    <col min="14370" max="14370" width="4.33203125" style="5" customWidth="1"/>
    <col min="14371" max="14371" width="17.33203125" style="5" customWidth="1"/>
    <col min="14372" max="14589" width="9.109375" style="5"/>
    <col min="14590" max="14590" width="3.6640625" style="5" customWidth="1"/>
    <col min="14591" max="14591" width="5.5546875" style="5" customWidth="1"/>
    <col min="14592" max="14592" width="4.33203125" style="5" customWidth="1"/>
    <col min="14593" max="14593" width="4.88671875" style="5" customWidth="1"/>
    <col min="14594" max="14594" width="20" style="5" customWidth="1"/>
    <col min="14595" max="14595" width="4" style="5" customWidth="1"/>
    <col min="14596" max="14600" width="5" style="5" customWidth="1"/>
    <col min="14601" max="14601" width="7.5546875" style="5" customWidth="1"/>
    <col min="14602" max="14602" width="5" style="5" customWidth="1"/>
    <col min="14603" max="14603" width="5.88671875" style="5" customWidth="1"/>
    <col min="14604" max="14604" width="5" style="5" customWidth="1"/>
    <col min="14605" max="14605" width="29" style="5" customWidth="1"/>
    <col min="14606" max="14624" width="3.6640625" style="5" customWidth="1"/>
    <col min="14625" max="14625" width="5.109375" style="5" customWidth="1"/>
    <col min="14626" max="14626" width="4.33203125" style="5" customWidth="1"/>
    <col min="14627" max="14627" width="17.33203125" style="5" customWidth="1"/>
    <col min="14628" max="14845" width="9.109375" style="5"/>
    <col min="14846" max="14846" width="3.6640625" style="5" customWidth="1"/>
    <col min="14847" max="14847" width="5.5546875" style="5" customWidth="1"/>
    <col min="14848" max="14848" width="4.33203125" style="5" customWidth="1"/>
    <col min="14849" max="14849" width="4.88671875" style="5" customWidth="1"/>
    <col min="14850" max="14850" width="20" style="5" customWidth="1"/>
    <col min="14851" max="14851" width="4" style="5" customWidth="1"/>
    <col min="14852" max="14856" width="5" style="5" customWidth="1"/>
    <col min="14857" max="14857" width="7.5546875" style="5" customWidth="1"/>
    <col min="14858" max="14858" width="5" style="5" customWidth="1"/>
    <col min="14859" max="14859" width="5.88671875" style="5" customWidth="1"/>
    <col min="14860" max="14860" width="5" style="5" customWidth="1"/>
    <col min="14861" max="14861" width="29" style="5" customWidth="1"/>
    <col min="14862" max="14880" width="3.6640625" style="5" customWidth="1"/>
    <col min="14881" max="14881" width="5.109375" style="5" customWidth="1"/>
    <col min="14882" max="14882" width="4.33203125" style="5" customWidth="1"/>
    <col min="14883" max="14883" width="17.33203125" style="5" customWidth="1"/>
    <col min="14884" max="15101" width="9.109375" style="5"/>
    <col min="15102" max="15102" width="3.6640625" style="5" customWidth="1"/>
    <col min="15103" max="15103" width="5.5546875" style="5" customWidth="1"/>
    <col min="15104" max="15104" width="4.33203125" style="5" customWidth="1"/>
    <col min="15105" max="15105" width="4.88671875" style="5" customWidth="1"/>
    <col min="15106" max="15106" width="20" style="5" customWidth="1"/>
    <col min="15107" max="15107" width="4" style="5" customWidth="1"/>
    <col min="15108" max="15112" width="5" style="5" customWidth="1"/>
    <col min="15113" max="15113" width="7.5546875" style="5" customWidth="1"/>
    <col min="15114" max="15114" width="5" style="5" customWidth="1"/>
    <col min="15115" max="15115" width="5.88671875" style="5" customWidth="1"/>
    <col min="15116" max="15116" width="5" style="5" customWidth="1"/>
    <col min="15117" max="15117" width="29" style="5" customWidth="1"/>
    <col min="15118" max="15136" width="3.6640625" style="5" customWidth="1"/>
    <col min="15137" max="15137" width="5.109375" style="5" customWidth="1"/>
    <col min="15138" max="15138" width="4.33203125" style="5" customWidth="1"/>
    <col min="15139" max="15139" width="17.33203125" style="5" customWidth="1"/>
    <col min="15140" max="15357" width="9.109375" style="5"/>
    <col min="15358" max="15358" width="3.6640625" style="5" customWidth="1"/>
    <col min="15359" max="15359" width="5.5546875" style="5" customWidth="1"/>
    <col min="15360" max="15360" width="4.33203125" style="5" customWidth="1"/>
    <col min="15361" max="15361" width="4.88671875" style="5" customWidth="1"/>
    <col min="15362" max="15362" width="20" style="5" customWidth="1"/>
    <col min="15363" max="15363" width="4" style="5" customWidth="1"/>
    <col min="15364" max="15368" width="5" style="5" customWidth="1"/>
    <col min="15369" max="15369" width="7.5546875" style="5" customWidth="1"/>
    <col min="15370" max="15370" width="5" style="5" customWidth="1"/>
    <col min="15371" max="15371" width="5.88671875" style="5" customWidth="1"/>
    <col min="15372" max="15372" width="5" style="5" customWidth="1"/>
    <col min="15373" max="15373" width="29" style="5" customWidth="1"/>
    <col min="15374" max="15392" width="3.6640625" style="5" customWidth="1"/>
    <col min="15393" max="15393" width="5.109375" style="5" customWidth="1"/>
    <col min="15394" max="15394" width="4.33203125" style="5" customWidth="1"/>
    <col min="15395" max="15395" width="17.33203125" style="5" customWidth="1"/>
    <col min="15396" max="15613" width="9.109375" style="5"/>
    <col min="15614" max="15614" width="3.6640625" style="5" customWidth="1"/>
    <col min="15615" max="15615" width="5.5546875" style="5" customWidth="1"/>
    <col min="15616" max="15616" width="4.33203125" style="5" customWidth="1"/>
    <col min="15617" max="15617" width="4.88671875" style="5" customWidth="1"/>
    <col min="15618" max="15618" width="20" style="5" customWidth="1"/>
    <col min="15619" max="15619" width="4" style="5" customWidth="1"/>
    <col min="15620" max="15624" width="5" style="5" customWidth="1"/>
    <col min="15625" max="15625" width="7.5546875" style="5" customWidth="1"/>
    <col min="15626" max="15626" width="5" style="5" customWidth="1"/>
    <col min="15627" max="15627" width="5.88671875" style="5" customWidth="1"/>
    <col min="15628" max="15628" width="5" style="5" customWidth="1"/>
    <col min="15629" max="15629" width="29" style="5" customWidth="1"/>
    <col min="15630" max="15648" width="3.6640625" style="5" customWidth="1"/>
    <col min="15649" max="15649" width="5.109375" style="5" customWidth="1"/>
    <col min="15650" max="15650" width="4.33203125" style="5" customWidth="1"/>
    <col min="15651" max="15651" width="17.33203125" style="5" customWidth="1"/>
    <col min="15652" max="15869" width="9.109375" style="5"/>
    <col min="15870" max="15870" width="3.6640625" style="5" customWidth="1"/>
    <col min="15871" max="15871" width="5.5546875" style="5" customWidth="1"/>
    <col min="15872" max="15872" width="4.33203125" style="5" customWidth="1"/>
    <col min="15873" max="15873" width="4.88671875" style="5" customWidth="1"/>
    <col min="15874" max="15874" width="20" style="5" customWidth="1"/>
    <col min="15875" max="15875" width="4" style="5" customWidth="1"/>
    <col min="15876" max="15880" width="5" style="5" customWidth="1"/>
    <col min="15881" max="15881" width="7.5546875" style="5" customWidth="1"/>
    <col min="15882" max="15882" width="5" style="5" customWidth="1"/>
    <col min="15883" max="15883" width="5.88671875" style="5" customWidth="1"/>
    <col min="15884" max="15884" width="5" style="5" customWidth="1"/>
    <col min="15885" max="15885" width="29" style="5" customWidth="1"/>
    <col min="15886" max="15904" width="3.6640625" style="5" customWidth="1"/>
    <col min="15905" max="15905" width="5.109375" style="5" customWidth="1"/>
    <col min="15906" max="15906" width="4.33203125" style="5" customWidth="1"/>
    <col min="15907" max="15907" width="17.33203125" style="5" customWidth="1"/>
    <col min="15908" max="16125" width="9.109375" style="5"/>
    <col min="16126" max="16126" width="3.6640625" style="5" customWidth="1"/>
    <col min="16127" max="16127" width="5.5546875" style="5" customWidth="1"/>
    <col min="16128" max="16128" width="4.33203125" style="5" customWidth="1"/>
    <col min="16129" max="16129" width="4.88671875" style="5" customWidth="1"/>
    <col min="16130" max="16130" width="20" style="5" customWidth="1"/>
    <col min="16131" max="16131" width="4" style="5" customWidth="1"/>
    <col min="16132" max="16136" width="5" style="5" customWidth="1"/>
    <col min="16137" max="16137" width="7.5546875" style="5" customWidth="1"/>
    <col min="16138" max="16138" width="5" style="5" customWidth="1"/>
    <col min="16139" max="16139" width="5.88671875" style="5" customWidth="1"/>
    <col min="16140" max="16140" width="5" style="5" customWidth="1"/>
    <col min="16141" max="16141" width="29" style="5" customWidth="1"/>
    <col min="16142" max="16160" width="3.6640625" style="5" customWidth="1"/>
    <col min="16161" max="16161" width="5.109375" style="5" customWidth="1"/>
    <col min="16162" max="16162" width="4.33203125" style="5" customWidth="1"/>
    <col min="16163" max="16163" width="17.33203125" style="5" customWidth="1"/>
    <col min="16164" max="16384" width="9.109375" style="5"/>
  </cols>
  <sheetData>
    <row r="1" spans="1:35" ht="24.75" customHeight="1" x14ac:dyDescent="0.25">
      <c r="A1" s="152" t="s">
        <v>0</v>
      </c>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2"/>
      <c r="AF1" s="2"/>
      <c r="AG1" s="3"/>
      <c r="AH1" s="2"/>
      <c r="AI1" s="4"/>
    </row>
    <row r="2" spans="1:35" ht="67.5" customHeight="1" x14ac:dyDescent="0.25">
      <c r="A2" s="145" t="s">
        <v>1</v>
      </c>
      <c r="B2" s="145" t="s">
        <v>2</v>
      </c>
      <c r="C2" s="150" t="s">
        <v>3</v>
      </c>
      <c r="D2" s="145" t="s">
        <v>4</v>
      </c>
      <c r="E2" s="153" t="s">
        <v>5</v>
      </c>
      <c r="F2" s="145" t="s">
        <v>6</v>
      </c>
      <c r="G2" s="145" t="s">
        <v>7</v>
      </c>
      <c r="H2" s="145" t="s">
        <v>8</v>
      </c>
      <c r="I2" s="145" t="s">
        <v>9</v>
      </c>
      <c r="J2" s="145" t="s">
        <v>10</v>
      </c>
      <c r="K2" s="145" t="s">
        <v>11</v>
      </c>
      <c r="L2" s="145" t="s">
        <v>12</v>
      </c>
      <c r="M2" s="145" t="s">
        <v>13</v>
      </c>
      <c r="N2" s="150" t="s">
        <v>14</v>
      </c>
      <c r="O2" s="145" t="s">
        <v>15</v>
      </c>
      <c r="P2" s="145" t="s">
        <v>16</v>
      </c>
      <c r="Q2" s="145" t="s">
        <v>17</v>
      </c>
      <c r="R2" s="145" t="s">
        <v>18</v>
      </c>
      <c r="S2" s="145" t="s">
        <v>19</v>
      </c>
      <c r="T2" s="145" t="s">
        <v>20</v>
      </c>
      <c r="U2" s="145" t="s">
        <v>21</v>
      </c>
      <c r="V2" s="145" t="s">
        <v>22</v>
      </c>
      <c r="W2" s="145"/>
      <c r="X2" s="145"/>
      <c r="Y2" s="145" t="s">
        <v>23</v>
      </c>
      <c r="Z2" s="145"/>
      <c r="AA2" s="145"/>
      <c r="AB2" s="148" t="s">
        <v>24</v>
      </c>
      <c r="AC2" s="145" t="s">
        <v>25</v>
      </c>
      <c r="AD2" s="145" t="s">
        <v>26</v>
      </c>
      <c r="AE2" s="145" t="s">
        <v>27</v>
      </c>
      <c r="AF2" s="146" t="s">
        <v>28</v>
      </c>
      <c r="AG2" s="145" t="s">
        <v>29</v>
      </c>
      <c r="AH2" s="143" t="s">
        <v>30</v>
      </c>
      <c r="AI2" s="4"/>
    </row>
    <row r="3" spans="1:35" ht="116.25" customHeight="1" x14ac:dyDescent="0.25">
      <c r="A3" s="146"/>
      <c r="B3" s="146"/>
      <c r="C3" s="151"/>
      <c r="D3" s="146"/>
      <c r="E3" s="154"/>
      <c r="F3" s="146"/>
      <c r="G3" s="146"/>
      <c r="H3" s="146"/>
      <c r="I3" s="146"/>
      <c r="J3" s="146"/>
      <c r="K3" s="146"/>
      <c r="L3" s="146"/>
      <c r="M3" s="146"/>
      <c r="N3" s="151"/>
      <c r="O3" s="146"/>
      <c r="P3" s="146"/>
      <c r="Q3" s="146"/>
      <c r="R3" s="146"/>
      <c r="S3" s="146"/>
      <c r="T3" s="146"/>
      <c r="U3" s="146"/>
      <c r="V3" s="10" t="s">
        <v>31</v>
      </c>
      <c r="W3" s="10" t="s">
        <v>32</v>
      </c>
      <c r="X3" s="14" t="s">
        <v>33</v>
      </c>
      <c r="Y3" s="10" t="s">
        <v>34</v>
      </c>
      <c r="Z3" s="10" t="s">
        <v>35</v>
      </c>
      <c r="AA3" s="15" t="s">
        <v>36</v>
      </c>
      <c r="AB3" s="149"/>
      <c r="AC3" s="146"/>
      <c r="AD3" s="146"/>
      <c r="AE3" s="146"/>
      <c r="AF3" s="147"/>
      <c r="AG3" s="146"/>
      <c r="AH3" s="144"/>
      <c r="AI3" s="4"/>
    </row>
    <row r="4" spans="1:35" ht="17.25" customHeight="1" x14ac:dyDescent="0.25">
      <c r="A4" s="141">
        <v>45017</v>
      </c>
      <c r="B4" s="141"/>
      <c r="C4" s="16"/>
      <c r="D4" s="17"/>
      <c r="E4" s="18"/>
      <c r="F4" s="17"/>
      <c r="G4" s="17"/>
      <c r="H4" s="17"/>
      <c r="I4" s="17"/>
      <c r="J4" s="16"/>
      <c r="K4" s="17"/>
      <c r="L4" s="16"/>
      <c r="M4" s="16"/>
      <c r="N4" s="17"/>
      <c r="O4" s="17"/>
      <c r="P4" s="17"/>
      <c r="Q4" s="17"/>
      <c r="R4" s="17"/>
      <c r="S4" s="17"/>
      <c r="T4" s="19"/>
      <c r="U4" s="16"/>
      <c r="V4" s="17"/>
      <c r="W4" s="17"/>
      <c r="X4" s="17"/>
      <c r="Y4" s="16"/>
      <c r="Z4" s="17"/>
      <c r="AA4" s="20"/>
      <c r="AB4" s="9"/>
      <c r="AC4" s="6"/>
      <c r="AD4" s="6"/>
      <c r="AE4" s="6"/>
      <c r="AF4" s="6"/>
      <c r="AG4" s="21"/>
      <c r="AH4" s="1"/>
      <c r="AI4" s="4"/>
    </row>
    <row r="5" spans="1:35" ht="105.75" customHeight="1" x14ac:dyDescent="0.25">
      <c r="A5" s="7">
        <v>1</v>
      </c>
      <c r="B5" s="6" t="s">
        <v>37</v>
      </c>
      <c r="C5" s="7" t="s">
        <v>38</v>
      </c>
      <c r="D5" s="7">
        <v>27</v>
      </c>
      <c r="E5" s="8">
        <v>129027481306</v>
      </c>
      <c r="F5" s="6" t="s">
        <v>39</v>
      </c>
      <c r="G5" s="6" t="s">
        <v>40</v>
      </c>
      <c r="H5" s="6" t="s">
        <v>40</v>
      </c>
      <c r="I5" s="6" t="s">
        <v>41</v>
      </c>
      <c r="J5" s="6" t="s">
        <v>42</v>
      </c>
      <c r="K5" s="6" t="s">
        <v>43</v>
      </c>
      <c r="L5" s="6" t="s">
        <v>44</v>
      </c>
      <c r="M5" s="6" t="s">
        <v>45</v>
      </c>
      <c r="N5" s="7" t="s">
        <v>46</v>
      </c>
      <c r="O5" s="6" t="s">
        <v>47</v>
      </c>
      <c r="P5" s="6" t="s">
        <v>48</v>
      </c>
      <c r="Q5" s="6" t="s">
        <v>49</v>
      </c>
      <c r="R5" s="6" t="s">
        <v>50</v>
      </c>
      <c r="S5" s="6" t="s">
        <v>51</v>
      </c>
      <c r="T5" s="6" t="s">
        <v>52</v>
      </c>
      <c r="U5" s="6" t="s">
        <v>53</v>
      </c>
      <c r="V5" s="6" t="s">
        <v>54</v>
      </c>
      <c r="W5" s="6" t="s">
        <v>55</v>
      </c>
      <c r="X5" s="22" t="s">
        <v>56</v>
      </c>
      <c r="Y5" s="6" t="s">
        <v>56</v>
      </c>
      <c r="Z5" s="6" t="s">
        <v>57</v>
      </c>
      <c r="AA5" s="23"/>
      <c r="AB5" s="24" t="s">
        <v>58</v>
      </c>
      <c r="AC5" s="6" t="s">
        <v>59</v>
      </c>
      <c r="AD5" s="6" t="s">
        <v>60</v>
      </c>
      <c r="AE5" s="6" t="s">
        <v>61</v>
      </c>
      <c r="AF5" s="6">
        <v>32</v>
      </c>
      <c r="AG5" s="6" t="s">
        <v>62</v>
      </c>
      <c r="AH5" s="6" t="s">
        <v>61</v>
      </c>
      <c r="AI5" s="4"/>
    </row>
    <row r="6" spans="1:35" s="31" customFormat="1" ht="102.75" customHeight="1" x14ac:dyDescent="0.3">
      <c r="A6" s="25">
        <v>2</v>
      </c>
      <c r="B6" s="6" t="s">
        <v>63</v>
      </c>
      <c r="C6" s="7" t="s">
        <v>64</v>
      </c>
      <c r="D6" s="8">
        <v>29</v>
      </c>
      <c r="E6" s="8">
        <v>129025963907</v>
      </c>
      <c r="F6" s="8" t="s">
        <v>39</v>
      </c>
      <c r="G6" s="8" t="s">
        <v>65</v>
      </c>
      <c r="H6" s="8" t="s">
        <v>66</v>
      </c>
      <c r="I6" s="8" t="s">
        <v>67</v>
      </c>
      <c r="J6" s="8" t="s">
        <v>68</v>
      </c>
      <c r="K6" s="8" t="s">
        <v>69</v>
      </c>
      <c r="L6" s="8" t="s">
        <v>70</v>
      </c>
      <c r="M6" s="26" t="s">
        <v>71</v>
      </c>
      <c r="N6" s="27" t="s">
        <v>72</v>
      </c>
      <c r="O6" s="8" t="s">
        <v>73</v>
      </c>
      <c r="P6" s="8" t="s">
        <v>74</v>
      </c>
      <c r="Q6" s="8" t="s">
        <v>75</v>
      </c>
      <c r="R6" s="8" t="s">
        <v>76</v>
      </c>
      <c r="S6" s="8" t="s">
        <v>77</v>
      </c>
      <c r="T6" s="8" t="s">
        <v>78</v>
      </c>
      <c r="U6" s="8" t="s">
        <v>79</v>
      </c>
      <c r="V6" s="8" t="s">
        <v>80</v>
      </c>
      <c r="W6" s="8" t="s">
        <v>81</v>
      </c>
      <c r="X6" s="22" t="s">
        <v>56</v>
      </c>
      <c r="Y6" s="8" t="s">
        <v>82</v>
      </c>
      <c r="Z6" s="8" t="s">
        <v>83</v>
      </c>
      <c r="AA6" s="8" t="s">
        <v>84</v>
      </c>
      <c r="AB6" s="9">
        <v>0.11</v>
      </c>
      <c r="AC6" s="28" t="s">
        <v>85</v>
      </c>
      <c r="AD6" s="6" t="s">
        <v>60</v>
      </c>
      <c r="AE6" s="6" t="s">
        <v>61</v>
      </c>
      <c r="AF6" s="25">
        <v>22</v>
      </c>
      <c r="AG6" s="29"/>
      <c r="AH6" s="6" t="s">
        <v>61</v>
      </c>
      <c r="AI6" s="30"/>
    </row>
    <row r="7" spans="1:35" s="31" customFormat="1" ht="103.2" x14ac:dyDescent="0.3">
      <c r="A7" s="25">
        <v>3</v>
      </c>
      <c r="B7" s="8" t="s">
        <v>87</v>
      </c>
      <c r="C7" s="32" t="s">
        <v>88</v>
      </c>
      <c r="D7" s="8">
        <v>29</v>
      </c>
      <c r="E7" s="8">
        <v>129027174413</v>
      </c>
      <c r="F7" s="8" t="s">
        <v>89</v>
      </c>
      <c r="G7" s="8" t="s">
        <v>90</v>
      </c>
      <c r="H7" s="8" t="s">
        <v>91</v>
      </c>
      <c r="I7" s="8" t="s">
        <v>92</v>
      </c>
      <c r="J7" s="8" t="s">
        <v>93</v>
      </c>
      <c r="K7" s="8" t="s">
        <v>94</v>
      </c>
      <c r="L7" s="8" t="s">
        <v>95</v>
      </c>
      <c r="M7" s="8" t="s">
        <v>71</v>
      </c>
      <c r="N7" s="32" t="s">
        <v>96</v>
      </c>
      <c r="O7" s="8" t="s">
        <v>97</v>
      </c>
      <c r="P7" s="6" t="s">
        <v>48</v>
      </c>
      <c r="Q7" s="8" t="s">
        <v>98</v>
      </c>
      <c r="R7" s="8" t="s">
        <v>43</v>
      </c>
      <c r="S7" s="33" t="s">
        <v>99</v>
      </c>
      <c r="T7" s="8" t="s">
        <v>52</v>
      </c>
      <c r="U7" s="8" t="s">
        <v>100</v>
      </c>
      <c r="V7" s="8" t="s">
        <v>101</v>
      </c>
      <c r="W7" s="8" t="s">
        <v>102</v>
      </c>
      <c r="X7" s="22" t="s">
        <v>56</v>
      </c>
      <c r="Y7" s="8" t="s">
        <v>103</v>
      </c>
      <c r="Z7" s="8" t="s">
        <v>104</v>
      </c>
      <c r="AA7" s="8" t="s">
        <v>105</v>
      </c>
      <c r="AB7" s="9">
        <v>0.126</v>
      </c>
      <c r="AC7" s="8" t="s">
        <v>106</v>
      </c>
      <c r="AD7" s="6" t="s">
        <v>60</v>
      </c>
      <c r="AE7" s="6" t="s">
        <v>61</v>
      </c>
      <c r="AF7" s="25">
        <v>26</v>
      </c>
      <c r="AG7" s="29"/>
      <c r="AH7" s="34" t="s">
        <v>107</v>
      </c>
      <c r="AI7" s="30"/>
    </row>
    <row r="8" spans="1:35" ht="19.5" customHeight="1" x14ac:dyDescent="0.25">
      <c r="A8" s="141">
        <v>45047</v>
      </c>
      <c r="B8" s="141"/>
      <c r="C8" s="16"/>
      <c r="D8" s="17"/>
      <c r="E8" s="18"/>
      <c r="F8" s="17"/>
      <c r="G8" s="17"/>
      <c r="H8" s="17"/>
      <c r="I8" s="17"/>
      <c r="J8" s="16"/>
      <c r="K8" s="17"/>
      <c r="L8" s="16"/>
      <c r="M8" s="16"/>
      <c r="N8" s="17"/>
      <c r="O8" s="17"/>
      <c r="P8" s="17"/>
      <c r="Q8" s="17"/>
      <c r="R8" s="17"/>
      <c r="S8" s="17"/>
      <c r="T8" s="19"/>
      <c r="U8" s="16"/>
      <c r="V8" s="17"/>
      <c r="W8" s="17"/>
      <c r="X8" s="17"/>
      <c r="Y8" s="16"/>
      <c r="Z8" s="17"/>
      <c r="AA8" s="20"/>
      <c r="AB8" s="9"/>
      <c r="AC8" s="6"/>
      <c r="AD8" s="6"/>
      <c r="AE8" s="6"/>
      <c r="AF8" s="6"/>
      <c r="AG8" s="21"/>
      <c r="AH8" s="1"/>
      <c r="AI8" s="4"/>
    </row>
    <row r="9" spans="1:35" ht="108.75" customHeight="1" x14ac:dyDescent="0.25">
      <c r="A9" s="7">
        <v>4</v>
      </c>
      <c r="B9" s="6" t="s">
        <v>108</v>
      </c>
      <c r="C9" s="7" t="s">
        <v>109</v>
      </c>
      <c r="D9" s="7">
        <v>30</v>
      </c>
      <c r="E9" s="8">
        <v>129027428961</v>
      </c>
      <c r="F9" s="6" t="s">
        <v>39</v>
      </c>
      <c r="G9" s="6" t="s">
        <v>66</v>
      </c>
      <c r="H9" s="6"/>
      <c r="I9" s="6" t="s">
        <v>110</v>
      </c>
      <c r="J9" s="6" t="s">
        <v>111</v>
      </c>
      <c r="K9" s="6" t="s">
        <v>110</v>
      </c>
      <c r="L9" s="6" t="s">
        <v>112</v>
      </c>
      <c r="M9" s="6" t="s">
        <v>113</v>
      </c>
      <c r="N9" s="7" t="s">
        <v>114</v>
      </c>
      <c r="O9" s="6" t="s">
        <v>115</v>
      </c>
      <c r="P9" s="6" t="s">
        <v>74</v>
      </c>
      <c r="Q9" s="6" t="s">
        <v>116</v>
      </c>
      <c r="R9" s="6" t="s">
        <v>117</v>
      </c>
      <c r="S9" s="6" t="s">
        <v>118</v>
      </c>
      <c r="T9" s="6" t="s">
        <v>119</v>
      </c>
      <c r="U9" s="6" t="s">
        <v>120</v>
      </c>
      <c r="V9" s="6" t="s">
        <v>121</v>
      </c>
      <c r="W9" s="6" t="s">
        <v>122</v>
      </c>
      <c r="X9" s="22" t="s">
        <v>56</v>
      </c>
      <c r="Y9" s="6" t="s">
        <v>121</v>
      </c>
      <c r="Z9" s="6" t="s">
        <v>122</v>
      </c>
      <c r="AA9" s="23" t="s">
        <v>123</v>
      </c>
      <c r="AB9" s="9">
        <v>0.12</v>
      </c>
      <c r="AC9" s="6" t="s">
        <v>59</v>
      </c>
      <c r="AD9" s="6" t="s">
        <v>60</v>
      </c>
      <c r="AE9" s="6" t="s">
        <v>61</v>
      </c>
      <c r="AF9" s="6">
        <v>21</v>
      </c>
      <c r="AG9" s="6"/>
      <c r="AH9" s="6" t="s">
        <v>61</v>
      </c>
      <c r="AI9" s="4"/>
    </row>
    <row r="10" spans="1:35" ht="101.25" customHeight="1" x14ac:dyDescent="0.25">
      <c r="A10" s="7">
        <v>5</v>
      </c>
      <c r="B10" s="6" t="s">
        <v>124</v>
      </c>
      <c r="C10" s="7" t="s">
        <v>125</v>
      </c>
      <c r="D10" s="7">
        <v>28</v>
      </c>
      <c r="E10" s="8">
        <v>129027157496</v>
      </c>
      <c r="F10" s="6" t="s">
        <v>89</v>
      </c>
      <c r="G10" s="6" t="s">
        <v>66</v>
      </c>
      <c r="H10" s="6"/>
      <c r="I10" s="6" t="s">
        <v>126</v>
      </c>
      <c r="J10" s="6" t="s">
        <v>127</v>
      </c>
      <c r="K10" s="6" t="s">
        <v>128</v>
      </c>
      <c r="L10" s="6" t="s">
        <v>127</v>
      </c>
      <c r="M10" s="6" t="s">
        <v>129</v>
      </c>
      <c r="N10" s="7" t="s">
        <v>130</v>
      </c>
      <c r="O10" s="6" t="s">
        <v>131</v>
      </c>
      <c r="P10" s="6" t="s">
        <v>48</v>
      </c>
      <c r="Q10" s="6" t="s">
        <v>132</v>
      </c>
      <c r="R10" s="6" t="s">
        <v>133</v>
      </c>
      <c r="S10" s="6" t="s">
        <v>134</v>
      </c>
      <c r="T10" s="6" t="s">
        <v>135</v>
      </c>
      <c r="U10" s="6" t="s">
        <v>136</v>
      </c>
      <c r="V10" s="6" t="s">
        <v>137</v>
      </c>
      <c r="W10" s="6" t="s">
        <v>138</v>
      </c>
      <c r="X10" s="22" t="s">
        <v>56</v>
      </c>
      <c r="Y10" s="6" t="s">
        <v>67</v>
      </c>
      <c r="Z10" s="6" t="s">
        <v>139</v>
      </c>
      <c r="AA10" s="23" t="s">
        <v>138</v>
      </c>
      <c r="AB10" s="9">
        <v>0.13500000000000001</v>
      </c>
      <c r="AC10" s="6" t="s">
        <v>140</v>
      </c>
      <c r="AD10" s="6" t="s">
        <v>60</v>
      </c>
      <c r="AE10" s="6" t="s">
        <v>61</v>
      </c>
      <c r="AF10" s="6">
        <v>26</v>
      </c>
      <c r="AG10" s="6"/>
      <c r="AH10" s="1" t="s">
        <v>141</v>
      </c>
      <c r="AI10" s="4"/>
    </row>
    <row r="11" spans="1:35" s="44" customFormat="1" ht="93.75" customHeight="1" x14ac:dyDescent="0.3">
      <c r="A11" s="7">
        <v>6</v>
      </c>
      <c r="B11" s="23" t="s">
        <v>143</v>
      </c>
      <c r="C11" s="36" t="s">
        <v>144</v>
      </c>
      <c r="D11" s="37">
        <v>32</v>
      </c>
      <c r="E11" s="38">
        <v>129020834647</v>
      </c>
      <c r="F11" s="39" t="s">
        <v>89</v>
      </c>
      <c r="G11" s="23" t="s">
        <v>66</v>
      </c>
      <c r="H11" s="23"/>
      <c r="I11" s="23" t="s">
        <v>145</v>
      </c>
      <c r="J11" s="23" t="s">
        <v>70</v>
      </c>
      <c r="K11" s="23" t="s">
        <v>146</v>
      </c>
      <c r="L11" s="23" t="s">
        <v>70</v>
      </c>
      <c r="M11" s="39" t="s">
        <v>147</v>
      </c>
      <c r="N11" s="40" t="s">
        <v>148</v>
      </c>
      <c r="O11" s="23" t="s">
        <v>149</v>
      </c>
      <c r="P11" s="23" t="s">
        <v>48</v>
      </c>
      <c r="Q11" s="23" t="s">
        <v>150</v>
      </c>
      <c r="R11" s="23" t="s">
        <v>151</v>
      </c>
      <c r="S11" s="23" t="s">
        <v>152</v>
      </c>
      <c r="T11" s="23" t="s">
        <v>135</v>
      </c>
      <c r="U11" s="23" t="s">
        <v>153</v>
      </c>
      <c r="V11" s="41" t="s">
        <v>105</v>
      </c>
      <c r="W11" s="41" t="s">
        <v>154</v>
      </c>
      <c r="X11" s="42" t="s">
        <v>56</v>
      </c>
      <c r="Y11" s="23" t="s">
        <v>43</v>
      </c>
      <c r="Z11" s="23"/>
      <c r="AA11" s="23"/>
      <c r="AB11" s="24">
        <v>0.12</v>
      </c>
      <c r="AC11" s="23" t="s">
        <v>59</v>
      </c>
      <c r="AD11" s="23" t="s">
        <v>60</v>
      </c>
      <c r="AE11" s="23" t="s">
        <v>155</v>
      </c>
      <c r="AF11" s="23">
        <v>25</v>
      </c>
      <c r="AG11" s="23" t="s">
        <v>156</v>
      </c>
      <c r="AH11" s="6" t="s">
        <v>61</v>
      </c>
      <c r="AI11" s="43"/>
    </row>
    <row r="12" spans="1:35" ht="96.75" customHeight="1" x14ac:dyDescent="0.25">
      <c r="A12" s="7">
        <v>7</v>
      </c>
      <c r="B12" s="23" t="s">
        <v>157</v>
      </c>
      <c r="C12" s="36" t="s">
        <v>158</v>
      </c>
      <c r="D12" s="37">
        <v>31</v>
      </c>
      <c r="E12" s="38">
        <v>129022447845</v>
      </c>
      <c r="F12" s="39" t="s">
        <v>89</v>
      </c>
      <c r="G12" s="23" t="s">
        <v>159</v>
      </c>
      <c r="H12" s="23" t="s">
        <v>66</v>
      </c>
      <c r="I12" s="23" t="s">
        <v>145</v>
      </c>
      <c r="J12" s="23" t="s">
        <v>160</v>
      </c>
      <c r="K12" s="23" t="s">
        <v>161</v>
      </c>
      <c r="L12" s="23" t="s">
        <v>162</v>
      </c>
      <c r="M12" s="39" t="s">
        <v>163</v>
      </c>
      <c r="N12" s="37" t="s">
        <v>164</v>
      </c>
      <c r="O12" s="23" t="s">
        <v>165</v>
      </c>
      <c r="P12" s="23" t="s">
        <v>166</v>
      </c>
      <c r="Q12" s="23" t="s">
        <v>167</v>
      </c>
      <c r="R12" s="23" t="s">
        <v>128</v>
      </c>
      <c r="S12" s="23" t="s">
        <v>51</v>
      </c>
      <c r="T12" s="23" t="s">
        <v>135</v>
      </c>
      <c r="U12" s="23" t="s">
        <v>168</v>
      </c>
      <c r="V12" s="41"/>
      <c r="W12" s="41"/>
      <c r="X12" s="42" t="s">
        <v>169</v>
      </c>
      <c r="Y12" s="23" t="s">
        <v>105</v>
      </c>
      <c r="Z12" s="23" t="s">
        <v>170</v>
      </c>
      <c r="AA12" s="23" t="s">
        <v>171</v>
      </c>
      <c r="AB12" s="24">
        <v>0.106</v>
      </c>
      <c r="AC12" s="23" t="s">
        <v>172</v>
      </c>
      <c r="AD12" s="23" t="s">
        <v>60</v>
      </c>
      <c r="AE12" s="23" t="s">
        <v>60</v>
      </c>
      <c r="AF12" s="23">
        <v>22</v>
      </c>
      <c r="AG12" s="23" t="s">
        <v>173</v>
      </c>
      <c r="AH12" s="35" t="s">
        <v>107</v>
      </c>
      <c r="AI12" s="4"/>
    </row>
    <row r="13" spans="1:35" ht="15.6" x14ac:dyDescent="0.25">
      <c r="A13" s="141">
        <v>45078</v>
      </c>
      <c r="B13" s="141"/>
      <c r="C13" s="16"/>
      <c r="D13" s="17"/>
      <c r="E13" s="18"/>
      <c r="F13" s="17"/>
      <c r="G13" s="17"/>
      <c r="H13" s="17"/>
      <c r="I13" s="17"/>
      <c r="J13" s="16"/>
      <c r="K13" s="17"/>
      <c r="L13" s="16"/>
      <c r="M13" s="16"/>
      <c r="N13" s="17"/>
      <c r="O13" s="17"/>
      <c r="P13" s="17"/>
      <c r="Q13" s="17"/>
      <c r="R13" s="17"/>
      <c r="S13" s="17"/>
      <c r="T13" s="19"/>
      <c r="U13" s="16"/>
      <c r="V13" s="17"/>
      <c r="W13" s="17"/>
      <c r="X13" s="17"/>
      <c r="Y13" s="16"/>
      <c r="Z13" s="17"/>
      <c r="AA13" s="20"/>
      <c r="AB13" s="9"/>
      <c r="AC13" s="6"/>
      <c r="AD13" s="6"/>
      <c r="AE13" s="6"/>
      <c r="AF13" s="6"/>
      <c r="AG13" s="21"/>
      <c r="AH13" s="1"/>
      <c r="AI13" s="4"/>
    </row>
    <row r="14" spans="1:35" ht="100.5" customHeight="1" x14ac:dyDescent="0.25">
      <c r="A14" s="7">
        <v>8</v>
      </c>
      <c r="B14" s="6" t="s">
        <v>174</v>
      </c>
      <c r="C14" s="7" t="s">
        <v>175</v>
      </c>
      <c r="D14" s="7">
        <v>25</v>
      </c>
      <c r="E14" s="8">
        <v>129027360903</v>
      </c>
      <c r="F14" s="6" t="s">
        <v>89</v>
      </c>
      <c r="G14" s="6"/>
      <c r="H14" s="6" t="s">
        <v>66</v>
      </c>
      <c r="I14" s="6" t="s">
        <v>176</v>
      </c>
      <c r="J14" s="6" t="s">
        <v>111</v>
      </c>
      <c r="K14" s="6" t="s">
        <v>176</v>
      </c>
      <c r="L14" s="6" t="s">
        <v>177</v>
      </c>
      <c r="M14" s="6" t="s">
        <v>178</v>
      </c>
      <c r="N14" s="7" t="s">
        <v>179</v>
      </c>
      <c r="O14" s="6" t="s">
        <v>115</v>
      </c>
      <c r="P14" s="6" t="s">
        <v>48</v>
      </c>
      <c r="Q14" s="6" t="s">
        <v>180</v>
      </c>
      <c r="R14" s="6" t="s">
        <v>181</v>
      </c>
      <c r="S14" s="6" t="s">
        <v>182</v>
      </c>
      <c r="T14" s="6" t="s">
        <v>135</v>
      </c>
      <c r="U14" s="6" t="s">
        <v>168</v>
      </c>
      <c r="V14" s="6" t="s">
        <v>170</v>
      </c>
      <c r="W14" s="6" t="s">
        <v>183</v>
      </c>
      <c r="X14" s="22" t="s">
        <v>56</v>
      </c>
      <c r="Y14" s="6" t="s">
        <v>184</v>
      </c>
      <c r="Z14" s="6" t="s">
        <v>54</v>
      </c>
      <c r="AA14" s="23" t="s">
        <v>171</v>
      </c>
      <c r="AB14" s="9">
        <v>0.105</v>
      </c>
      <c r="AC14" s="6" t="s">
        <v>185</v>
      </c>
      <c r="AD14" s="6" t="s">
        <v>60</v>
      </c>
      <c r="AE14" s="6" t="s">
        <v>61</v>
      </c>
      <c r="AF14" s="6">
        <v>24.9</v>
      </c>
      <c r="AG14" s="6"/>
      <c r="AH14" s="6" t="s">
        <v>61</v>
      </c>
      <c r="AI14" s="4"/>
    </row>
    <row r="15" spans="1:35" ht="82.2" x14ac:dyDescent="0.25">
      <c r="A15" s="7">
        <v>9</v>
      </c>
      <c r="B15" s="6" t="s">
        <v>174</v>
      </c>
      <c r="C15" s="7" t="s">
        <v>186</v>
      </c>
      <c r="D15" s="7">
        <v>31</v>
      </c>
      <c r="E15" s="8">
        <v>129027378656</v>
      </c>
      <c r="F15" s="6" t="s">
        <v>39</v>
      </c>
      <c r="G15" s="6"/>
      <c r="H15" s="6" t="s">
        <v>66</v>
      </c>
      <c r="I15" s="6" t="s">
        <v>187</v>
      </c>
      <c r="J15" s="6" t="s">
        <v>70</v>
      </c>
      <c r="K15" s="6" t="s">
        <v>188</v>
      </c>
      <c r="L15" s="6" t="s">
        <v>70</v>
      </c>
      <c r="M15" s="6" t="s">
        <v>189</v>
      </c>
      <c r="N15" s="7" t="s">
        <v>190</v>
      </c>
      <c r="O15" s="6" t="s">
        <v>191</v>
      </c>
      <c r="P15" s="6" t="s">
        <v>48</v>
      </c>
      <c r="Q15" s="6" t="s">
        <v>192</v>
      </c>
      <c r="R15" s="6" t="s">
        <v>193</v>
      </c>
      <c r="S15" s="6" t="s">
        <v>77</v>
      </c>
      <c r="T15" s="6" t="s">
        <v>135</v>
      </c>
      <c r="U15" s="6" t="s">
        <v>194</v>
      </c>
      <c r="V15" s="6" t="s">
        <v>195</v>
      </c>
      <c r="W15" s="6" t="s">
        <v>126</v>
      </c>
      <c r="X15" s="22" t="s">
        <v>56</v>
      </c>
      <c r="Y15" s="6" t="s">
        <v>196</v>
      </c>
      <c r="Z15" s="6" t="s">
        <v>197</v>
      </c>
      <c r="AA15" s="23" t="s">
        <v>198</v>
      </c>
      <c r="AB15" s="9">
        <v>0.13</v>
      </c>
      <c r="AC15" s="6" t="s">
        <v>199</v>
      </c>
      <c r="AD15" s="6" t="s">
        <v>60</v>
      </c>
      <c r="AE15" s="6" t="s">
        <v>61</v>
      </c>
      <c r="AF15" s="6">
        <v>21</v>
      </c>
      <c r="AG15" s="6"/>
      <c r="AH15" s="6" t="s">
        <v>61</v>
      </c>
      <c r="AI15" s="4"/>
    </row>
    <row r="16" spans="1:35" ht="102.6" x14ac:dyDescent="0.25">
      <c r="A16" s="7">
        <v>10</v>
      </c>
      <c r="B16" s="6" t="s">
        <v>87</v>
      </c>
      <c r="C16" s="7" t="s">
        <v>200</v>
      </c>
      <c r="D16" s="7">
        <v>31</v>
      </c>
      <c r="E16" s="8">
        <v>129027229096</v>
      </c>
      <c r="F16" s="6" t="s">
        <v>39</v>
      </c>
      <c r="G16" s="6" t="s">
        <v>40</v>
      </c>
      <c r="H16" s="6" t="s">
        <v>40</v>
      </c>
      <c r="I16" s="6" t="s">
        <v>201</v>
      </c>
      <c r="J16" s="6" t="s">
        <v>202</v>
      </c>
      <c r="K16" s="6" t="s">
        <v>203</v>
      </c>
      <c r="L16" s="6" t="s">
        <v>204</v>
      </c>
      <c r="M16" s="6" t="s">
        <v>205</v>
      </c>
      <c r="N16" s="7" t="s">
        <v>206</v>
      </c>
      <c r="O16" s="6" t="s">
        <v>115</v>
      </c>
      <c r="P16" s="6" t="s">
        <v>48</v>
      </c>
      <c r="Q16" s="6" t="s">
        <v>207</v>
      </c>
      <c r="R16" s="6" t="s">
        <v>208</v>
      </c>
      <c r="S16" s="6" t="s">
        <v>152</v>
      </c>
      <c r="T16" s="6" t="s">
        <v>52</v>
      </c>
      <c r="U16" s="6" t="s">
        <v>209</v>
      </c>
      <c r="V16" s="6" t="s">
        <v>210</v>
      </c>
      <c r="W16" s="6" t="s">
        <v>211</v>
      </c>
      <c r="X16" s="22" t="s">
        <v>56</v>
      </c>
      <c r="Y16" s="6" t="s">
        <v>212</v>
      </c>
      <c r="Z16" s="6" t="s">
        <v>213</v>
      </c>
      <c r="AA16" s="23" t="s">
        <v>214</v>
      </c>
      <c r="AB16" s="9">
        <v>0.122</v>
      </c>
      <c r="AC16" s="6" t="s">
        <v>140</v>
      </c>
      <c r="AD16" s="6" t="s">
        <v>60</v>
      </c>
      <c r="AE16" s="6" t="s">
        <v>61</v>
      </c>
      <c r="AF16" s="6">
        <v>26</v>
      </c>
      <c r="AG16" s="6" t="s">
        <v>215</v>
      </c>
      <c r="AH16" s="1" t="s">
        <v>141</v>
      </c>
      <c r="AI16" s="4"/>
    </row>
    <row r="17" spans="1:35" ht="108" customHeight="1" x14ac:dyDescent="0.25">
      <c r="A17" s="7">
        <v>11</v>
      </c>
      <c r="B17" s="6" t="s">
        <v>216</v>
      </c>
      <c r="C17" s="7" t="s">
        <v>217</v>
      </c>
      <c r="D17" s="7">
        <v>31</v>
      </c>
      <c r="E17" s="8">
        <v>129027299270</v>
      </c>
      <c r="F17" s="6" t="s">
        <v>89</v>
      </c>
      <c r="G17" s="6" t="s">
        <v>218</v>
      </c>
      <c r="H17" s="6" t="s">
        <v>66</v>
      </c>
      <c r="I17" s="6" t="s">
        <v>171</v>
      </c>
      <c r="J17" s="6" t="s">
        <v>70</v>
      </c>
      <c r="K17" s="6" t="s">
        <v>219</v>
      </c>
      <c r="L17" s="6" t="s">
        <v>70</v>
      </c>
      <c r="M17" s="6" t="s">
        <v>220</v>
      </c>
      <c r="N17" s="7" t="s">
        <v>221</v>
      </c>
      <c r="O17" s="6" t="s">
        <v>222</v>
      </c>
      <c r="P17" s="6" t="s">
        <v>48</v>
      </c>
      <c r="Q17" s="6" t="s">
        <v>76</v>
      </c>
      <c r="R17" s="6" t="s">
        <v>223</v>
      </c>
      <c r="S17" s="6" t="s">
        <v>77</v>
      </c>
      <c r="T17" s="6" t="s">
        <v>52</v>
      </c>
      <c r="U17" s="6" t="s">
        <v>224</v>
      </c>
      <c r="V17" s="6" t="s">
        <v>214</v>
      </c>
      <c r="W17" s="6" t="s">
        <v>225</v>
      </c>
      <c r="X17" s="22" t="s">
        <v>56</v>
      </c>
      <c r="Y17" s="6" t="s">
        <v>226</v>
      </c>
      <c r="Z17" s="6" t="s">
        <v>227</v>
      </c>
      <c r="AA17" s="23"/>
      <c r="AB17" s="9">
        <v>8.4000000000000005E-2</v>
      </c>
      <c r="AC17" s="6" t="s">
        <v>228</v>
      </c>
      <c r="AD17" s="6" t="s">
        <v>60</v>
      </c>
      <c r="AE17" s="6" t="s">
        <v>61</v>
      </c>
      <c r="AF17" s="6">
        <v>27</v>
      </c>
      <c r="AG17" s="6" t="s">
        <v>229</v>
      </c>
      <c r="AH17" s="6" t="s">
        <v>61</v>
      </c>
      <c r="AI17" s="4"/>
    </row>
    <row r="18" spans="1:35" ht="82.2" x14ac:dyDescent="0.25">
      <c r="A18" s="7">
        <v>12</v>
      </c>
      <c r="B18" s="6" t="s">
        <v>143</v>
      </c>
      <c r="C18" s="7" t="s">
        <v>230</v>
      </c>
      <c r="D18" s="7">
        <v>26</v>
      </c>
      <c r="E18" s="8">
        <v>129027418480</v>
      </c>
      <c r="F18" s="6" t="s">
        <v>89</v>
      </c>
      <c r="G18" s="6" t="s">
        <v>231</v>
      </c>
      <c r="H18" s="6" t="s">
        <v>66</v>
      </c>
      <c r="I18" s="6" t="s">
        <v>232</v>
      </c>
      <c r="J18" s="6" t="s">
        <v>70</v>
      </c>
      <c r="K18" s="6" t="s">
        <v>233</v>
      </c>
      <c r="L18" s="6" t="s">
        <v>70</v>
      </c>
      <c r="M18" s="6" t="s">
        <v>234</v>
      </c>
      <c r="N18" s="7" t="s">
        <v>235</v>
      </c>
      <c r="O18" s="6" t="s">
        <v>236</v>
      </c>
      <c r="P18" s="6" t="s">
        <v>74</v>
      </c>
      <c r="Q18" s="6" t="s">
        <v>237</v>
      </c>
      <c r="R18" s="6" t="s">
        <v>238</v>
      </c>
      <c r="S18" s="6" t="s">
        <v>239</v>
      </c>
      <c r="T18" s="6" t="s">
        <v>135</v>
      </c>
      <c r="U18" s="6" t="s">
        <v>79</v>
      </c>
      <c r="V18" s="6" t="s">
        <v>240</v>
      </c>
      <c r="W18" s="6" t="s">
        <v>241</v>
      </c>
      <c r="X18" s="22" t="s">
        <v>56</v>
      </c>
      <c r="Y18" s="6" t="s">
        <v>242</v>
      </c>
      <c r="Z18" s="6"/>
      <c r="AA18" s="23"/>
      <c r="AB18" s="9">
        <v>0.13200000000000001</v>
      </c>
      <c r="AC18" s="6" t="s">
        <v>243</v>
      </c>
      <c r="AD18" s="6" t="s">
        <v>60</v>
      </c>
      <c r="AE18" s="6" t="s">
        <v>61</v>
      </c>
      <c r="AF18" s="6">
        <v>29</v>
      </c>
      <c r="AG18" s="6" t="s">
        <v>244</v>
      </c>
      <c r="AH18" s="6" t="s">
        <v>61</v>
      </c>
      <c r="AI18" s="4"/>
    </row>
    <row r="19" spans="1:35" ht="99" customHeight="1" x14ac:dyDescent="0.25">
      <c r="A19" s="7">
        <v>13</v>
      </c>
      <c r="B19" s="6" t="s">
        <v>143</v>
      </c>
      <c r="C19" s="7" t="s">
        <v>230</v>
      </c>
      <c r="D19" s="7">
        <v>26</v>
      </c>
      <c r="E19" s="8">
        <v>129027418480</v>
      </c>
      <c r="F19" s="6" t="s">
        <v>89</v>
      </c>
      <c r="G19" s="6" t="s">
        <v>231</v>
      </c>
      <c r="H19" s="6" t="s">
        <v>66</v>
      </c>
      <c r="I19" s="6" t="s">
        <v>232</v>
      </c>
      <c r="J19" s="6" t="s">
        <v>70</v>
      </c>
      <c r="K19" s="6" t="s">
        <v>201</v>
      </c>
      <c r="L19" s="6" t="s">
        <v>70</v>
      </c>
      <c r="M19" s="6" t="s">
        <v>245</v>
      </c>
      <c r="N19" s="7" t="s">
        <v>246</v>
      </c>
      <c r="O19" s="6" t="s">
        <v>247</v>
      </c>
      <c r="P19" s="6" t="s">
        <v>74</v>
      </c>
      <c r="Q19" s="6" t="s">
        <v>237</v>
      </c>
      <c r="R19" s="6" t="s">
        <v>238</v>
      </c>
      <c r="S19" s="6" t="s">
        <v>152</v>
      </c>
      <c r="T19" s="6" t="s">
        <v>135</v>
      </c>
      <c r="U19" s="6" t="s">
        <v>79</v>
      </c>
      <c r="V19" s="6" t="s">
        <v>240</v>
      </c>
      <c r="W19" s="6" t="s">
        <v>241</v>
      </c>
      <c r="X19" s="22" t="s">
        <v>56</v>
      </c>
      <c r="Y19" s="6" t="s">
        <v>242</v>
      </c>
      <c r="Z19" s="6"/>
      <c r="AA19" s="23"/>
      <c r="AB19" s="9">
        <v>0.13</v>
      </c>
      <c r="AC19" s="6" t="s">
        <v>243</v>
      </c>
      <c r="AD19" s="6" t="s">
        <v>60</v>
      </c>
      <c r="AE19" s="6" t="s">
        <v>61</v>
      </c>
      <c r="AF19" s="6">
        <v>29</v>
      </c>
      <c r="AG19" s="6" t="s">
        <v>244</v>
      </c>
      <c r="AH19" s="6" t="s">
        <v>61</v>
      </c>
      <c r="AI19" s="45" t="s">
        <v>248</v>
      </c>
    </row>
    <row r="20" spans="1:35" ht="15.6" x14ac:dyDescent="0.25">
      <c r="A20" s="141">
        <v>45108</v>
      </c>
      <c r="B20" s="141"/>
      <c r="C20" s="16"/>
      <c r="D20" s="17"/>
      <c r="E20" s="18"/>
      <c r="F20" s="17"/>
      <c r="G20" s="17"/>
      <c r="H20" s="17"/>
      <c r="I20" s="17"/>
      <c r="J20" s="16"/>
      <c r="K20" s="17"/>
      <c r="L20" s="16"/>
      <c r="M20" s="16"/>
      <c r="N20" s="17"/>
      <c r="O20" s="17"/>
      <c r="P20" s="17"/>
      <c r="Q20" s="17"/>
      <c r="R20" s="17"/>
      <c r="S20" s="17"/>
      <c r="T20" s="19"/>
      <c r="U20" s="16"/>
      <c r="V20" s="17"/>
      <c r="W20" s="17"/>
      <c r="X20" s="17"/>
      <c r="Y20" s="16"/>
      <c r="Z20" s="17"/>
      <c r="AA20" s="20"/>
      <c r="AB20" s="9"/>
      <c r="AC20" s="6"/>
      <c r="AD20" s="6"/>
      <c r="AE20" s="6"/>
      <c r="AF20" s="6"/>
      <c r="AG20" s="21"/>
      <c r="AH20" s="1"/>
      <c r="AI20" s="4"/>
    </row>
    <row r="21" spans="1:35" ht="93" customHeight="1" x14ac:dyDescent="0.25">
      <c r="A21" s="7">
        <v>14</v>
      </c>
      <c r="B21" s="6" t="s">
        <v>249</v>
      </c>
      <c r="C21" s="7" t="s">
        <v>250</v>
      </c>
      <c r="D21" s="7">
        <v>30</v>
      </c>
      <c r="E21" s="8">
        <v>129027195374</v>
      </c>
      <c r="F21" s="6" t="s">
        <v>39</v>
      </c>
      <c r="G21" s="6"/>
      <c r="H21" s="6" t="s">
        <v>66</v>
      </c>
      <c r="I21" s="6" t="s">
        <v>251</v>
      </c>
      <c r="J21" s="6" t="s">
        <v>252</v>
      </c>
      <c r="K21" s="6" t="s">
        <v>253</v>
      </c>
      <c r="L21" s="6" t="s">
        <v>70</v>
      </c>
      <c r="M21" s="6" t="s">
        <v>254</v>
      </c>
      <c r="N21" s="7" t="s">
        <v>255</v>
      </c>
      <c r="O21" s="6" t="s">
        <v>256</v>
      </c>
      <c r="P21" s="6" t="s">
        <v>74</v>
      </c>
      <c r="Q21" s="6" t="s">
        <v>257</v>
      </c>
      <c r="R21" s="6" t="s">
        <v>258</v>
      </c>
      <c r="S21" s="6" t="s">
        <v>77</v>
      </c>
      <c r="T21" s="6" t="s">
        <v>135</v>
      </c>
      <c r="U21" s="6" t="s">
        <v>79</v>
      </c>
      <c r="V21" s="6" t="s">
        <v>259</v>
      </c>
      <c r="W21" s="6" t="s">
        <v>260</v>
      </c>
      <c r="X21" s="22" t="s">
        <v>56</v>
      </c>
      <c r="Y21" s="22" t="s">
        <v>56</v>
      </c>
      <c r="Z21" s="6" t="s">
        <v>261</v>
      </c>
      <c r="AA21" s="23"/>
      <c r="AB21" s="9" t="s">
        <v>262</v>
      </c>
      <c r="AC21" s="6" t="s">
        <v>243</v>
      </c>
      <c r="AD21" s="6" t="s">
        <v>60</v>
      </c>
      <c r="AE21" s="6" t="s">
        <v>61</v>
      </c>
      <c r="AF21" s="6">
        <v>18</v>
      </c>
      <c r="AG21" s="6" t="s">
        <v>263</v>
      </c>
      <c r="AH21" s="6"/>
      <c r="AI21" s="142" t="s">
        <v>248</v>
      </c>
    </row>
    <row r="22" spans="1:35" ht="118.5" customHeight="1" x14ac:dyDescent="0.25">
      <c r="A22" s="7">
        <v>15</v>
      </c>
      <c r="B22" s="6" t="s">
        <v>264</v>
      </c>
      <c r="C22" s="7" t="s">
        <v>265</v>
      </c>
      <c r="D22" s="7">
        <v>29</v>
      </c>
      <c r="E22" s="8">
        <v>129027286635</v>
      </c>
      <c r="F22" s="6" t="s">
        <v>39</v>
      </c>
      <c r="G22" s="6" t="s">
        <v>231</v>
      </c>
      <c r="H22" s="6" t="s">
        <v>66</v>
      </c>
      <c r="I22" s="6" t="s">
        <v>123</v>
      </c>
      <c r="J22" s="6" t="s">
        <v>266</v>
      </c>
      <c r="K22" s="6" t="s">
        <v>267</v>
      </c>
      <c r="L22" s="6" t="s">
        <v>268</v>
      </c>
      <c r="M22" s="6" t="s">
        <v>269</v>
      </c>
      <c r="N22" s="7" t="s">
        <v>270</v>
      </c>
      <c r="O22" s="6" t="s">
        <v>271</v>
      </c>
      <c r="P22" s="6" t="s">
        <v>74</v>
      </c>
      <c r="Q22" s="6" t="s">
        <v>272</v>
      </c>
      <c r="R22" s="6" t="s">
        <v>273</v>
      </c>
      <c r="S22" s="6" t="s">
        <v>77</v>
      </c>
      <c r="T22" s="6" t="s">
        <v>135</v>
      </c>
      <c r="U22" s="6" t="s">
        <v>274</v>
      </c>
      <c r="V22" s="6" t="s">
        <v>275</v>
      </c>
      <c r="W22" s="6" t="s">
        <v>276</v>
      </c>
      <c r="X22" s="22" t="s">
        <v>56</v>
      </c>
      <c r="Y22" s="22" t="s">
        <v>277</v>
      </c>
      <c r="Z22" s="6"/>
      <c r="AA22" s="23"/>
      <c r="AB22" s="9" t="s">
        <v>278</v>
      </c>
      <c r="AC22" s="6" t="s">
        <v>59</v>
      </c>
      <c r="AD22" s="6" t="s">
        <v>60</v>
      </c>
      <c r="AE22" s="6" t="s">
        <v>61</v>
      </c>
      <c r="AF22" s="6">
        <v>17.8</v>
      </c>
      <c r="AG22" s="6" t="s">
        <v>279</v>
      </c>
      <c r="AH22" s="6"/>
      <c r="AI22" s="142"/>
    </row>
    <row r="23" spans="1:35" ht="102.75" customHeight="1" x14ac:dyDescent="0.25">
      <c r="A23" s="7">
        <v>16</v>
      </c>
      <c r="B23" s="6" t="s">
        <v>280</v>
      </c>
      <c r="C23" s="7" t="s">
        <v>281</v>
      </c>
      <c r="D23" s="7">
        <v>27</v>
      </c>
      <c r="E23" s="8">
        <v>129019529049</v>
      </c>
      <c r="F23" s="6" t="s">
        <v>89</v>
      </c>
      <c r="G23" s="6" t="s">
        <v>40</v>
      </c>
      <c r="H23" s="6" t="s">
        <v>40</v>
      </c>
      <c r="I23" s="6" t="s">
        <v>282</v>
      </c>
      <c r="J23" s="6" t="s">
        <v>283</v>
      </c>
      <c r="K23" s="6" t="s">
        <v>284</v>
      </c>
      <c r="L23" s="6" t="s">
        <v>285</v>
      </c>
      <c r="M23" s="6" t="s">
        <v>286</v>
      </c>
      <c r="N23" s="7" t="s">
        <v>287</v>
      </c>
      <c r="O23" s="6" t="s">
        <v>247</v>
      </c>
      <c r="P23" s="6" t="s">
        <v>74</v>
      </c>
      <c r="Q23" s="6" t="s">
        <v>288</v>
      </c>
      <c r="R23" s="6" t="s">
        <v>289</v>
      </c>
      <c r="S23" s="6" t="s">
        <v>290</v>
      </c>
      <c r="T23" s="6" t="s">
        <v>135</v>
      </c>
      <c r="U23" s="6" t="s">
        <v>291</v>
      </c>
      <c r="V23" s="6" t="s">
        <v>227</v>
      </c>
      <c r="W23" s="6" t="s">
        <v>292</v>
      </c>
      <c r="X23" s="22" t="s">
        <v>56</v>
      </c>
      <c r="Y23" s="22" t="s">
        <v>293</v>
      </c>
      <c r="Z23" s="6"/>
      <c r="AA23" s="23"/>
      <c r="AB23" s="9" t="s">
        <v>294</v>
      </c>
      <c r="AC23" s="6" t="s">
        <v>172</v>
      </c>
      <c r="AD23" s="6" t="s">
        <v>60</v>
      </c>
      <c r="AE23" s="6" t="s">
        <v>61</v>
      </c>
      <c r="AF23" s="6"/>
      <c r="AG23" s="6" t="s">
        <v>295</v>
      </c>
      <c r="AH23" s="6"/>
      <c r="AI23" s="142"/>
    </row>
    <row r="24" spans="1:35" ht="114.75" customHeight="1" x14ac:dyDescent="0.25">
      <c r="A24" s="7">
        <v>17</v>
      </c>
      <c r="B24" s="6" t="s">
        <v>297</v>
      </c>
      <c r="C24" s="7" t="s">
        <v>298</v>
      </c>
      <c r="D24" s="7">
        <v>25</v>
      </c>
      <c r="E24" s="8">
        <v>129027319840</v>
      </c>
      <c r="F24" s="6" t="s">
        <v>39</v>
      </c>
      <c r="G24" s="6" t="s">
        <v>299</v>
      </c>
      <c r="H24" s="6" t="s">
        <v>66</v>
      </c>
      <c r="I24" s="6" t="s">
        <v>300</v>
      </c>
      <c r="J24" s="6" t="s">
        <v>70</v>
      </c>
      <c r="K24" s="6" t="s">
        <v>301</v>
      </c>
      <c r="L24" s="6" t="s">
        <v>70</v>
      </c>
      <c r="M24" s="6" t="s">
        <v>302</v>
      </c>
      <c r="N24" s="7" t="s">
        <v>303</v>
      </c>
      <c r="O24" s="6" t="s">
        <v>304</v>
      </c>
      <c r="P24" s="6" t="s">
        <v>48</v>
      </c>
      <c r="Q24" s="6" t="s">
        <v>305</v>
      </c>
      <c r="R24" s="6" t="s">
        <v>306</v>
      </c>
      <c r="S24" s="6" t="s">
        <v>77</v>
      </c>
      <c r="T24" s="6" t="s">
        <v>135</v>
      </c>
      <c r="U24" s="6" t="s">
        <v>307</v>
      </c>
      <c r="V24" s="6" t="s">
        <v>308</v>
      </c>
      <c r="W24" s="6" t="s">
        <v>227</v>
      </c>
      <c r="X24" s="22" t="s">
        <v>56</v>
      </c>
      <c r="Y24" s="22" t="s">
        <v>227</v>
      </c>
      <c r="Z24" s="6" t="s">
        <v>171</v>
      </c>
      <c r="AA24" s="23" t="s">
        <v>309</v>
      </c>
      <c r="AB24" s="9" t="s">
        <v>310</v>
      </c>
      <c r="AC24" s="6" t="s">
        <v>59</v>
      </c>
      <c r="AD24" s="6" t="s">
        <v>60</v>
      </c>
      <c r="AE24" s="6" t="s">
        <v>61</v>
      </c>
      <c r="AF24" s="6">
        <v>18</v>
      </c>
      <c r="AG24" s="6" t="s">
        <v>311</v>
      </c>
      <c r="AH24" s="6" t="s">
        <v>141</v>
      </c>
      <c r="AI24" s="142"/>
    </row>
    <row r="25" spans="1:35" ht="100.5" customHeight="1" x14ac:dyDescent="0.25">
      <c r="A25" s="7">
        <v>18</v>
      </c>
      <c r="B25" s="6" t="s">
        <v>86</v>
      </c>
      <c r="C25" s="7" t="s">
        <v>312</v>
      </c>
      <c r="D25" s="7">
        <v>37</v>
      </c>
      <c r="E25" s="8">
        <v>129020188805</v>
      </c>
      <c r="F25" s="6" t="s">
        <v>89</v>
      </c>
      <c r="G25" s="6" t="s">
        <v>40</v>
      </c>
      <c r="H25" s="6" t="s">
        <v>40</v>
      </c>
      <c r="I25" s="6" t="s">
        <v>313</v>
      </c>
      <c r="J25" s="6" t="s">
        <v>314</v>
      </c>
      <c r="K25" s="6" t="s">
        <v>315</v>
      </c>
      <c r="L25" s="6" t="s">
        <v>314</v>
      </c>
      <c r="M25" s="6" t="s">
        <v>316</v>
      </c>
      <c r="N25" s="7" t="s">
        <v>317</v>
      </c>
      <c r="O25" s="6" t="s">
        <v>318</v>
      </c>
      <c r="P25" s="6" t="s">
        <v>48</v>
      </c>
      <c r="Q25" s="6" t="s">
        <v>319</v>
      </c>
      <c r="R25" s="6" t="s">
        <v>320</v>
      </c>
      <c r="S25" s="6" t="s">
        <v>321</v>
      </c>
      <c r="T25" s="6" t="s">
        <v>52</v>
      </c>
      <c r="U25" s="6" t="s">
        <v>100</v>
      </c>
      <c r="V25" s="6" t="s">
        <v>277</v>
      </c>
      <c r="W25" s="6" t="s">
        <v>322</v>
      </c>
      <c r="X25" s="22" t="s">
        <v>56</v>
      </c>
      <c r="Y25" s="22" t="s">
        <v>277</v>
      </c>
      <c r="Z25" s="6" t="s">
        <v>322</v>
      </c>
      <c r="AA25" s="23" t="s">
        <v>201</v>
      </c>
      <c r="AB25" s="9" t="s">
        <v>323</v>
      </c>
      <c r="AC25" s="6" t="s">
        <v>324</v>
      </c>
      <c r="AD25" s="6" t="s">
        <v>60</v>
      </c>
      <c r="AE25" s="6" t="s">
        <v>61</v>
      </c>
      <c r="AF25" s="6"/>
      <c r="AG25" s="6" t="s">
        <v>229</v>
      </c>
      <c r="AH25" s="6" t="s">
        <v>141</v>
      </c>
      <c r="AI25" s="142"/>
    </row>
    <row r="26" spans="1:35" ht="99" customHeight="1" x14ac:dyDescent="0.25">
      <c r="A26" s="7">
        <v>19</v>
      </c>
      <c r="B26" s="6" t="s">
        <v>325</v>
      </c>
      <c r="C26" s="7" t="s">
        <v>326</v>
      </c>
      <c r="D26" s="7">
        <v>40</v>
      </c>
      <c r="E26" s="8">
        <v>129027314532</v>
      </c>
      <c r="F26" s="6" t="s">
        <v>39</v>
      </c>
      <c r="G26" s="6" t="s">
        <v>327</v>
      </c>
      <c r="H26" s="6" t="s">
        <v>66</v>
      </c>
      <c r="I26" s="6" t="s">
        <v>328</v>
      </c>
      <c r="J26" s="6" t="s">
        <v>70</v>
      </c>
      <c r="K26" s="6" t="s">
        <v>329</v>
      </c>
      <c r="L26" s="6" t="s">
        <v>70</v>
      </c>
      <c r="M26" s="6" t="s">
        <v>330</v>
      </c>
      <c r="N26" s="7" t="s">
        <v>331</v>
      </c>
      <c r="O26" s="6" t="s">
        <v>332</v>
      </c>
      <c r="P26" s="6" t="s">
        <v>48</v>
      </c>
      <c r="Q26" s="6" t="s">
        <v>257</v>
      </c>
      <c r="R26" s="6" t="s">
        <v>258</v>
      </c>
      <c r="S26" s="6" t="s">
        <v>77</v>
      </c>
      <c r="T26" s="6" t="s">
        <v>52</v>
      </c>
      <c r="U26" s="6" t="s">
        <v>333</v>
      </c>
      <c r="V26" s="6" t="s">
        <v>276</v>
      </c>
      <c r="W26" s="6" t="s">
        <v>334</v>
      </c>
      <c r="X26" s="22" t="s">
        <v>56</v>
      </c>
      <c r="Y26" s="22" t="s">
        <v>335</v>
      </c>
      <c r="Z26" s="6" t="s">
        <v>336</v>
      </c>
      <c r="AA26" s="23" t="s">
        <v>337</v>
      </c>
      <c r="AB26" s="9" t="s">
        <v>338</v>
      </c>
      <c r="AC26" s="6" t="s">
        <v>59</v>
      </c>
      <c r="AD26" s="6" t="s">
        <v>60</v>
      </c>
      <c r="AE26" s="6" t="s">
        <v>61</v>
      </c>
      <c r="AF26" s="6">
        <v>20</v>
      </c>
      <c r="AG26" s="6" t="s">
        <v>339</v>
      </c>
      <c r="AH26" s="6" t="s">
        <v>141</v>
      </c>
      <c r="AI26" s="142"/>
    </row>
    <row r="27" spans="1:35" ht="97.5" customHeight="1" x14ac:dyDescent="0.25">
      <c r="A27" s="7">
        <v>20</v>
      </c>
      <c r="B27" s="6" t="s">
        <v>340</v>
      </c>
      <c r="C27" s="7" t="s">
        <v>341</v>
      </c>
      <c r="D27" s="7">
        <v>36</v>
      </c>
      <c r="E27" s="8">
        <v>129016451039</v>
      </c>
      <c r="F27" s="6" t="s">
        <v>39</v>
      </c>
      <c r="G27" s="6"/>
      <c r="H27" s="6" t="s">
        <v>66</v>
      </c>
      <c r="I27" s="6" t="s">
        <v>201</v>
      </c>
      <c r="J27" s="6" t="s">
        <v>252</v>
      </c>
      <c r="K27" s="6" t="s">
        <v>267</v>
      </c>
      <c r="L27" s="6" t="s">
        <v>162</v>
      </c>
      <c r="M27" s="6" t="s">
        <v>342</v>
      </c>
      <c r="N27" s="7" t="s">
        <v>343</v>
      </c>
      <c r="O27" s="6" t="s">
        <v>344</v>
      </c>
      <c r="P27" s="6" t="s">
        <v>74</v>
      </c>
      <c r="Q27" s="6" t="s">
        <v>345</v>
      </c>
      <c r="R27" s="6" t="s">
        <v>346</v>
      </c>
      <c r="S27" s="6" t="s">
        <v>347</v>
      </c>
      <c r="T27" s="6" t="s">
        <v>135</v>
      </c>
      <c r="U27" s="6" t="s">
        <v>348</v>
      </c>
      <c r="V27" s="6" t="s">
        <v>349</v>
      </c>
      <c r="W27" s="6" t="s">
        <v>350</v>
      </c>
      <c r="X27" s="22" t="s">
        <v>56</v>
      </c>
      <c r="Y27" s="22" t="s">
        <v>351</v>
      </c>
      <c r="Z27" s="6" t="s">
        <v>352</v>
      </c>
      <c r="AA27" s="23" t="s">
        <v>353</v>
      </c>
      <c r="AB27" s="9" t="s">
        <v>354</v>
      </c>
      <c r="AC27" s="6" t="s">
        <v>59</v>
      </c>
      <c r="AD27" s="6" t="s">
        <v>60</v>
      </c>
      <c r="AE27" s="6" t="s">
        <v>61</v>
      </c>
      <c r="AF27" s="6">
        <v>18</v>
      </c>
      <c r="AG27" s="6" t="s">
        <v>355</v>
      </c>
      <c r="AH27" s="6" t="s">
        <v>141</v>
      </c>
      <c r="AI27" s="142"/>
    </row>
    <row r="28" spans="1:35" ht="15.6" x14ac:dyDescent="0.25">
      <c r="A28" s="141">
        <v>45139</v>
      </c>
      <c r="B28" s="141"/>
      <c r="C28" s="16"/>
      <c r="D28" s="17"/>
      <c r="E28" s="18"/>
      <c r="F28" s="17"/>
      <c r="G28" s="17"/>
      <c r="H28" s="17"/>
      <c r="I28" s="17"/>
      <c r="J28" s="16"/>
      <c r="K28" s="17"/>
      <c r="L28" s="16"/>
      <c r="M28" s="16"/>
      <c r="N28" s="17"/>
      <c r="O28" s="17"/>
      <c r="P28" s="17"/>
      <c r="Q28" s="17"/>
      <c r="R28" s="17"/>
      <c r="S28" s="17"/>
      <c r="T28" s="19"/>
      <c r="U28" s="16"/>
      <c r="V28" s="17"/>
      <c r="W28" s="17"/>
      <c r="X28" s="17"/>
      <c r="Y28" s="16"/>
      <c r="Z28" s="17"/>
      <c r="AA28" s="20"/>
      <c r="AB28" s="9"/>
      <c r="AC28" s="6"/>
      <c r="AD28" s="6"/>
      <c r="AE28" s="6"/>
      <c r="AF28" s="6"/>
      <c r="AG28" s="21"/>
      <c r="AH28" s="1"/>
      <c r="AI28" s="142"/>
    </row>
    <row r="29" spans="1:35" ht="124.8" x14ac:dyDescent="0.3">
      <c r="A29" s="7">
        <v>21</v>
      </c>
      <c r="B29" s="6" t="s">
        <v>356</v>
      </c>
      <c r="C29" s="7" t="s">
        <v>357</v>
      </c>
      <c r="D29" s="7">
        <v>24</v>
      </c>
      <c r="E29" s="46" t="s">
        <v>358</v>
      </c>
      <c r="F29" s="8" t="s">
        <v>39</v>
      </c>
      <c r="G29" s="6" t="s">
        <v>218</v>
      </c>
      <c r="H29" s="6" t="s">
        <v>66</v>
      </c>
      <c r="I29" s="47" t="s">
        <v>359</v>
      </c>
      <c r="J29" s="6" t="s">
        <v>360</v>
      </c>
      <c r="K29" s="47" t="s">
        <v>361</v>
      </c>
      <c r="L29" s="6" t="s">
        <v>362</v>
      </c>
      <c r="M29" s="6" t="s">
        <v>205</v>
      </c>
      <c r="N29" s="7" t="s">
        <v>363</v>
      </c>
      <c r="O29" s="6" t="s">
        <v>364</v>
      </c>
      <c r="P29" s="6" t="s">
        <v>365</v>
      </c>
      <c r="Q29" s="47" t="s">
        <v>366</v>
      </c>
      <c r="R29" s="47" t="s">
        <v>367</v>
      </c>
      <c r="S29" s="6" t="s">
        <v>347</v>
      </c>
      <c r="T29" s="48" t="s">
        <v>135</v>
      </c>
      <c r="U29" s="48" t="s">
        <v>368</v>
      </c>
      <c r="V29" s="49"/>
      <c r="W29" s="49"/>
      <c r="X29" s="42" t="s">
        <v>369</v>
      </c>
      <c r="Y29" s="49" t="s">
        <v>219</v>
      </c>
      <c r="Z29" s="23"/>
      <c r="AA29" s="29"/>
      <c r="AB29" s="9" t="s">
        <v>278</v>
      </c>
      <c r="AC29" s="6" t="s">
        <v>185</v>
      </c>
      <c r="AD29" s="6" t="s">
        <v>60</v>
      </c>
      <c r="AE29" s="6" t="s">
        <v>370</v>
      </c>
      <c r="AF29" s="6">
        <v>18</v>
      </c>
      <c r="AG29" s="6" t="s">
        <v>263</v>
      </c>
      <c r="AH29" s="50" t="s">
        <v>61</v>
      </c>
      <c r="AI29" s="142"/>
    </row>
    <row r="30" spans="1:35" ht="100.5" customHeight="1" x14ac:dyDescent="0.3">
      <c r="A30" s="7">
        <v>22</v>
      </c>
      <c r="B30" s="6" t="s">
        <v>371</v>
      </c>
      <c r="C30" s="7" t="s">
        <v>372</v>
      </c>
      <c r="D30" s="7">
        <v>34</v>
      </c>
      <c r="E30" s="46" t="s">
        <v>373</v>
      </c>
      <c r="F30" s="8" t="s">
        <v>89</v>
      </c>
      <c r="G30" s="6" t="s">
        <v>218</v>
      </c>
      <c r="H30" s="6" t="s">
        <v>66</v>
      </c>
      <c r="I30" s="47" t="s">
        <v>374</v>
      </c>
      <c r="J30" s="6" t="s">
        <v>70</v>
      </c>
      <c r="K30" s="47" t="s">
        <v>375</v>
      </c>
      <c r="L30" s="6" t="s">
        <v>70</v>
      </c>
      <c r="M30" s="6" t="s">
        <v>376</v>
      </c>
      <c r="N30" s="7" t="s">
        <v>377</v>
      </c>
      <c r="O30" s="6" t="s">
        <v>378</v>
      </c>
      <c r="P30" s="6" t="s">
        <v>365</v>
      </c>
      <c r="Q30" s="47" t="s">
        <v>379</v>
      </c>
      <c r="R30" s="47" t="s">
        <v>258</v>
      </c>
      <c r="S30" s="6" t="s">
        <v>380</v>
      </c>
      <c r="T30" s="48" t="s">
        <v>135</v>
      </c>
      <c r="U30" s="48" t="s">
        <v>368</v>
      </c>
      <c r="V30" s="49" t="s">
        <v>381</v>
      </c>
      <c r="W30" s="49" t="s">
        <v>195</v>
      </c>
      <c r="X30" s="42"/>
      <c r="Y30" s="49" t="s">
        <v>57</v>
      </c>
      <c r="Z30" s="23"/>
      <c r="AA30" s="29"/>
      <c r="AB30" s="9" t="s">
        <v>382</v>
      </c>
      <c r="AC30" s="6" t="s">
        <v>383</v>
      </c>
      <c r="AD30" s="6"/>
      <c r="AE30" s="6" t="s">
        <v>370</v>
      </c>
      <c r="AF30" s="6">
        <v>27</v>
      </c>
      <c r="AG30" s="6" t="s">
        <v>384</v>
      </c>
      <c r="AH30" s="50" t="s">
        <v>61</v>
      </c>
      <c r="AI30" s="142"/>
    </row>
    <row r="31" spans="1:35" ht="123.75" customHeight="1" x14ac:dyDescent="0.3">
      <c r="A31" s="7">
        <v>23</v>
      </c>
      <c r="B31" s="6" t="s">
        <v>280</v>
      </c>
      <c r="C31" s="7" t="s">
        <v>385</v>
      </c>
      <c r="D31" s="7">
        <v>25</v>
      </c>
      <c r="E31" s="46" t="s">
        <v>386</v>
      </c>
      <c r="F31" s="8" t="s">
        <v>39</v>
      </c>
      <c r="G31" s="6" t="s">
        <v>66</v>
      </c>
      <c r="H31" s="6" t="s">
        <v>66</v>
      </c>
      <c r="I31" s="47" t="s">
        <v>387</v>
      </c>
      <c r="J31" s="6" t="s">
        <v>314</v>
      </c>
      <c r="K31" s="47" t="s">
        <v>388</v>
      </c>
      <c r="L31" s="6" t="s">
        <v>314</v>
      </c>
      <c r="M31" s="6" t="s">
        <v>113</v>
      </c>
      <c r="N31" s="7" t="s">
        <v>389</v>
      </c>
      <c r="O31" s="6" t="s">
        <v>390</v>
      </c>
      <c r="P31" s="6" t="s">
        <v>365</v>
      </c>
      <c r="Q31" s="47" t="s">
        <v>391</v>
      </c>
      <c r="R31" s="47" t="s">
        <v>392</v>
      </c>
      <c r="S31" s="6" t="s">
        <v>393</v>
      </c>
      <c r="T31" s="48" t="s">
        <v>135</v>
      </c>
      <c r="U31" s="48" t="s">
        <v>394</v>
      </c>
      <c r="V31" s="49" t="s">
        <v>395</v>
      </c>
      <c r="W31" s="49" t="s">
        <v>396</v>
      </c>
      <c r="X31" s="42"/>
      <c r="Y31" s="49"/>
      <c r="Z31" s="23" t="s">
        <v>397</v>
      </c>
      <c r="AA31" s="29"/>
      <c r="AB31" s="9" t="s">
        <v>278</v>
      </c>
      <c r="AC31" s="6" t="s">
        <v>59</v>
      </c>
      <c r="AD31" s="6" t="s">
        <v>60</v>
      </c>
      <c r="AE31" s="6" t="s">
        <v>398</v>
      </c>
      <c r="AF31" s="6">
        <v>20</v>
      </c>
      <c r="AG31" s="6" t="s">
        <v>399</v>
      </c>
      <c r="AH31" s="50" t="s">
        <v>61</v>
      </c>
      <c r="AI31" s="142"/>
    </row>
    <row r="32" spans="1:35" ht="100.5" customHeight="1" x14ac:dyDescent="0.3">
      <c r="A32" s="7">
        <v>24</v>
      </c>
      <c r="B32" s="6" t="s">
        <v>280</v>
      </c>
      <c r="C32" s="7" t="s">
        <v>385</v>
      </c>
      <c r="D32" s="7">
        <v>25</v>
      </c>
      <c r="E32" s="46" t="s">
        <v>386</v>
      </c>
      <c r="F32" s="8" t="s">
        <v>39</v>
      </c>
      <c r="G32" s="6" t="s">
        <v>66</v>
      </c>
      <c r="H32" s="6" t="s">
        <v>66</v>
      </c>
      <c r="I32" s="47" t="s">
        <v>387</v>
      </c>
      <c r="J32" s="6" t="s">
        <v>314</v>
      </c>
      <c r="K32" s="47" t="s">
        <v>388</v>
      </c>
      <c r="L32" s="6" t="s">
        <v>314</v>
      </c>
      <c r="M32" s="6" t="s">
        <v>113</v>
      </c>
      <c r="N32" s="7" t="s">
        <v>389</v>
      </c>
      <c r="O32" s="6" t="s">
        <v>390</v>
      </c>
      <c r="P32" s="6" t="s">
        <v>365</v>
      </c>
      <c r="Q32" s="47" t="s">
        <v>391</v>
      </c>
      <c r="R32" s="47" t="s">
        <v>392</v>
      </c>
      <c r="S32" s="6" t="s">
        <v>393</v>
      </c>
      <c r="T32" s="48" t="s">
        <v>135</v>
      </c>
      <c r="U32" s="48" t="s">
        <v>394</v>
      </c>
      <c r="V32" s="49" t="s">
        <v>395</v>
      </c>
      <c r="W32" s="49" t="s">
        <v>396</v>
      </c>
      <c r="X32" s="42"/>
      <c r="Y32" s="49"/>
      <c r="Z32" s="23" t="s">
        <v>397</v>
      </c>
      <c r="AA32" s="29"/>
      <c r="AB32" s="9" t="s">
        <v>278</v>
      </c>
      <c r="AC32" s="6" t="s">
        <v>59</v>
      </c>
      <c r="AD32" s="6" t="s">
        <v>60</v>
      </c>
      <c r="AE32" s="6" t="s">
        <v>398</v>
      </c>
      <c r="AF32" s="6">
        <v>20</v>
      </c>
      <c r="AG32" s="6" t="s">
        <v>399</v>
      </c>
      <c r="AH32" s="50" t="s">
        <v>61</v>
      </c>
      <c r="AI32" s="142"/>
    </row>
    <row r="33" spans="1:36" ht="100.5" customHeight="1" x14ac:dyDescent="0.3">
      <c r="A33" s="7">
        <v>25</v>
      </c>
      <c r="B33" s="6" t="s">
        <v>280</v>
      </c>
      <c r="C33" s="7" t="s">
        <v>385</v>
      </c>
      <c r="D33" s="7">
        <v>25</v>
      </c>
      <c r="E33" s="46" t="s">
        <v>386</v>
      </c>
      <c r="F33" s="8" t="s">
        <v>39</v>
      </c>
      <c r="G33" s="6" t="s">
        <v>66</v>
      </c>
      <c r="H33" s="6" t="s">
        <v>66</v>
      </c>
      <c r="I33" s="47" t="s">
        <v>387</v>
      </c>
      <c r="J33" s="6" t="s">
        <v>314</v>
      </c>
      <c r="K33" s="47" t="s">
        <v>388</v>
      </c>
      <c r="L33" s="6" t="s">
        <v>314</v>
      </c>
      <c r="M33" s="6" t="s">
        <v>113</v>
      </c>
      <c r="N33" s="7" t="s">
        <v>389</v>
      </c>
      <c r="O33" s="6" t="s">
        <v>390</v>
      </c>
      <c r="P33" s="6" t="s">
        <v>365</v>
      </c>
      <c r="Q33" s="47" t="s">
        <v>391</v>
      </c>
      <c r="R33" s="47" t="s">
        <v>392</v>
      </c>
      <c r="S33" s="6" t="s">
        <v>393</v>
      </c>
      <c r="T33" s="48" t="s">
        <v>135</v>
      </c>
      <c r="U33" s="48" t="s">
        <v>394</v>
      </c>
      <c r="V33" s="49" t="s">
        <v>395</v>
      </c>
      <c r="W33" s="49" t="s">
        <v>396</v>
      </c>
      <c r="X33" s="42"/>
      <c r="Y33" s="49"/>
      <c r="Z33" s="23" t="s">
        <v>397</v>
      </c>
      <c r="AA33" s="29"/>
      <c r="AB33" s="9" t="s">
        <v>278</v>
      </c>
      <c r="AC33" s="6" t="s">
        <v>59</v>
      </c>
      <c r="AD33" s="6" t="s">
        <v>60</v>
      </c>
      <c r="AE33" s="6" t="s">
        <v>398</v>
      </c>
      <c r="AF33" s="6">
        <v>20</v>
      </c>
      <c r="AG33" s="6" t="s">
        <v>399</v>
      </c>
      <c r="AH33" s="50" t="s">
        <v>61</v>
      </c>
      <c r="AI33" s="142"/>
    </row>
    <row r="34" spans="1:36" ht="100.5" customHeight="1" x14ac:dyDescent="0.25">
      <c r="A34" s="7">
        <v>26</v>
      </c>
      <c r="B34" s="6" t="s">
        <v>400</v>
      </c>
      <c r="C34" s="7" t="s">
        <v>401</v>
      </c>
      <c r="D34" s="7">
        <v>38</v>
      </c>
      <c r="E34" s="46" t="s">
        <v>402</v>
      </c>
      <c r="F34" s="8" t="s">
        <v>39</v>
      </c>
      <c r="G34" s="6"/>
      <c r="H34" s="6" t="s">
        <v>66</v>
      </c>
      <c r="I34" s="47" t="s">
        <v>403</v>
      </c>
      <c r="J34" s="6" t="s">
        <v>314</v>
      </c>
      <c r="K34" s="47" t="s">
        <v>404</v>
      </c>
      <c r="L34" s="6" t="s">
        <v>314</v>
      </c>
      <c r="M34" s="6" t="s">
        <v>405</v>
      </c>
      <c r="N34" s="7" t="s">
        <v>406</v>
      </c>
      <c r="O34" s="6" t="s">
        <v>407</v>
      </c>
      <c r="P34" s="6" t="s">
        <v>365</v>
      </c>
      <c r="Q34" s="47" t="s">
        <v>408</v>
      </c>
      <c r="R34" s="47" t="s">
        <v>404</v>
      </c>
      <c r="S34" s="6" t="s">
        <v>77</v>
      </c>
      <c r="T34" s="48" t="s">
        <v>135</v>
      </c>
      <c r="U34" s="48" t="s">
        <v>409</v>
      </c>
      <c r="V34" s="49" t="s">
        <v>410</v>
      </c>
      <c r="W34" s="49" t="s">
        <v>196</v>
      </c>
      <c r="X34" s="42"/>
      <c r="Y34" s="49" t="s">
        <v>411</v>
      </c>
      <c r="Z34" s="23" t="s">
        <v>412</v>
      </c>
      <c r="AA34" s="23" t="s">
        <v>413</v>
      </c>
      <c r="AB34" s="9" t="s">
        <v>414</v>
      </c>
      <c r="AC34" s="6" t="s">
        <v>185</v>
      </c>
      <c r="AD34" s="6" t="s">
        <v>60</v>
      </c>
      <c r="AE34" s="6" t="s">
        <v>415</v>
      </c>
      <c r="AF34" s="6">
        <v>21.6</v>
      </c>
      <c r="AG34" s="6" t="s">
        <v>416</v>
      </c>
      <c r="AH34" s="50" t="s">
        <v>107</v>
      </c>
      <c r="AI34" s="142"/>
    </row>
    <row r="35" spans="1:36" ht="100.5" customHeight="1" x14ac:dyDescent="0.25">
      <c r="A35" s="7">
        <v>27</v>
      </c>
      <c r="B35" s="6" t="s">
        <v>400</v>
      </c>
      <c r="C35" s="7" t="s">
        <v>417</v>
      </c>
      <c r="D35" s="7">
        <v>35</v>
      </c>
      <c r="E35" s="46" t="s">
        <v>418</v>
      </c>
      <c r="F35" s="8" t="s">
        <v>39</v>
      </c>
      <c r="G35" s="6" t="s">
        <v>419</v>
      </c>
      <c r="H35" s="6" t="s">
        <v>66</v>
      </c>
      <c r="I35" s="47" t="s">
        <v>420</v>
      </c>
      <c r="J35" s="6" t="s">
        <v>421</v>
      </c>
      <c r="K35" s="47" t="s">
        <v>422</v>
      </c>
      <c r="L35" s="6" t="s">
        <v>162</v>
      </c>
      <c r="M35" s="6" t="s">
        <v>423</v>
      </c>
      <c r="N35" s="7" t="s">
        <v>424</v>
      </c>
      <c r="O35" s="6" t="s">
        <v>425</v>
      </c>
      <c r="P35" s="6" t="s">
        <v>426</v>
      </c>
      <c r="Q35" s="47" t="s">
        <v>257</v>
      </c>
      <c r="R35" s="47" t="s">
        <v>427</v>
      </c>
      <c r="S35" s="6" t="s">
        <v>77</v>
      </c>
      <c r="T35" s="48" t="s">
        <v>135</v>
      </c>
      <c r="U35" s="48" t="s">
        <v>428</v>
      </c>
      <c r="V35" s="49" t="s">
        <v>104</v>
      </c>
      <c r="W35" s="49" t="s">
        <v>138</v>
      </c>
      <c r="X35" s="42"/>
      <c r="Y35" s="49" t="s">
        <v>138</v>
      </c>
      <c r="Z35" s="23" t="s">
        <v>154</v>
      </c>
      <c r="AA35" s="23" t="s">
        <v>429</v>
      </c>
      <c r="AB35" s="9" t="s">
        <v>430</v>
      </c>
      <c r="AC35" s="6" t="s">
        <v>140</v>
      </c>
      <c r="AD35" s="6" t="s">
        <v>60</v>
      </c>
      <c r="AE35" s="6" t="s">
        <v>415</v>
      </c>
      <c r="AF35" s="6">
        <v>21</v>
      </c>
      <c r="AG35" s="6" t="s">
        <v>431</v>
      </c>
      <c r="AH35" s="50" t="s">
        <v>107</v>
      </c>
      <c r="AI35" s="142"/>
    </row>
    <row r="36" spans="1:36" ht="229.2" x14ac:dyDescent="0.25">
      <c r="A36" s="7">
        <v>28</v>
      </c>
      <c r="B36" s="6" t="s">
        <v>63</v>
      </c>
      <c r="C36" s="7" t="s">
        <v>432</v>
      </c>
      <c r="D36" s="7">
        <v>32</v>
      </c>
      <c r="E36" s="46" t="s">
        <v>433</v>
      </c>
      <c r="F36" s="8" t="s">
        <v>89</v>
      </c>
      <c r="G36" s="6" t="s">
        <v>434</v>
      </c>
      <c r="H36" s="6" t="s">
        <v>66</v>
      </c>
      <c r="I36" s="47" t="s">
        <v>435</v>
      </c>
      <c r="J36" s="6" t="s">
        <v>436</v>
      </c>
      <c r="K36" s="47" t="s">
        <v>437</v>
      </c>
      <c r="L36" s="6" t="s">
        <v>70</v>
      </c>
      <c r="M36" s="6" t="s">
        <v>438</v>
      </c>
      <c r="N36" s="7" t="s">
        <v>439</v>
      </c>
      <c r="O36" s="6" t="s">
        <v>115</v>
      </c>
      <c r="P36" s="6" t="s">
        <v>74</v>
      </c>
      <c r="Q36" s="47" t="s">
        <v>440</v>
      </c>
      <c r="R36" s="47" t="s">
        <v>441</v>
      </c>
      <c r="S36" s="6" t="s">
        <v>77</v>
      </c>
      <c r="T36" s="48" t="s">
        <v>135</v>
      </c>
      <c r="U36" s="48" t="s">
        <v>100</v>
      </c>
      <c r="V36" s="49" t="s">
        <v>442</v>
      </c>
      <c r="W36" s="49" t="s">
        <v>443</v>
      </c>
      <c r="X36" s="42"/>
      <c r="Y36" s="49" t="s">
        <v>442</v>
      </c>
      <c r="Z36" s="23" t="s">
        <v>443</v>
      </c>
      <c r="AA36" s="23" t="s">
        <v>300</v>
      </c>
      <c r="AB36" s="9" t="s">
        <v>338</v>
      </c>
      <c r="AC36" s="6" t="s">
        <v>140</v>
      </c>
      <c r="AD36" s="6" t="s">
        <v>60</v>
      </c>
      <c r="AE36" s="6" t="s">
        <v>61</v>
      </c>
      <c r="AF36" s="6"/>
      <c r="AG36" s="6" t="s">
        <v>444</v>
      </c>
      <c r="AH36" s="50" t="s">
        <v>107</v>
      </c>
      <c r="AI36" s="142"/>
    </row>
    <row r="37" spans="1:36" ht="100.5" customHeight="1" x14ac:dyDescent="0.25">
      <c r="A37" s="7">
        <v>29</v>
      </c>
      <c r="B37" s="6" t="s">
        <v>446</v>
      </c>
      <c r="C37" s="7" t="s">
        <v>447</v>
      </c>
      <c r="D37" s="7">
        <v>27</v>
      </c>
      <c r="E37" s="46" t="s">
        <v>448</v>
      </c>
      <c r="F37" s="8" t="s">
        <v>39</v>
      </c>
      <c r="G37" s="6" t="s">
        <v>434</v>
      </c>
      <c r="H37" s="6" t="s">
        <v>66</v>
      </c>
      <c r="I37" s="47" t="s">
        <v>442</v>
      </c>
      <c r="J37" s="6" t="s">
        <v>449</v>
      </c>
      <c r="K37" s="47" t="s">
        <v>450</v>
      </c>
      <c r="L37" s="6" t="s">
        <v>162</v>
      </c>
      <c r="M37" s="6" t="s">
        <v>451</v>
      </c>
      <c r="N37" s="7" t="s">
        <v>452</v>
      </c>
      <c r="O37" s="6" t="s">
        <v>453</v>
      </c>
      <c r="P37" s="6" t="s">
        <v>74</v>
      </c>
      <c r="Q37" s="47" t="s">
        <v>454</v>
      </c>
      <c r="R37" s="47" t="s">
        <v>188</v>
      </c>
      <c r="S37" s="6" t="s">
        <v>455</v>
      </c>
      <c r="T37" s="48" t="s">
        <v>135</v>
      </c>
      <c r="U37" s="48" t="s">
        <v>456</v>
      </c>
      <c r="V37" s="49" t="s">
        <v>457</v>
      </c>
      <c r="W37" s="49" t="s">
        <v>458</v>
      </c>
      <c r="X37" s="42"/>
      <c r="Y37" s="49" t="s">
        <v>351</v>
      </c>
      <c r="Z37" s="23" t="s">
        <v>459</v>
      </c>
      <c r="AA37" s="23" t="s">
        <v>353</v>
      </c>
      <c r="AB37" s="9" t="s">
        <v>460</v>
      </c>
      <c r="AC37" s="6" t="s">
        <v>59</v>
      </c>
      <c r="AD37" s="6" t="s">
        <v>60</v>
      </c>
      <c r="AE37" s="6" t="s">
        <v>61</v>
      </c>
      <c r="AF37" s="6">
        <v>21</v>
      </c>
      <c r="AG37" s="6" t="s">
        <v>431</v>
      </c>
      <c r="AH37" s="50" t="s">
        <v>107</v>
      </c>
      <c r="AI37" s="142"/>
    </row>
    <row r="38" spans="1:36" ht="126.75" customHeight="1" x14ac:dyDescent="0.25">
      <c r="A38" s="7">
        <v>30</v>
      </c>
      <c r="B38" s="6" t="s">
        <v>124</v>
      </c>
      <c r="C38" s="7" t="s">
        <v>461</v>
      </c>
      <c r="D38" s="7">
        <v>34</v>
      </c>
      <c r="E38" s="8">
        <v>129014460248</v>
      </c>
      <c r="F38" s="6" t="s">
        <v>39</v>
      </c>
      <c r="G38" s="6" t="s">
        <v>462</v>
      </c>
      <c r="H38" s="6" t="s">
        <v>66</v>
      </c>
      <c r="I38" s="6" t="s">
        <v>387</v>
      </c>
      <c r="J38" s="6" t="s">
        <v>70</v>
      </c>
      <c r="K38" s="6" t="s">
        <v>306</v>
      </c>
      <c r="L38" s="6" t="s">
        <v>70</v>
      </c>
      <c r="M38" s="6" t="s">
        <v>463</v>
      </c>
      <c r="N38" s="7" t="s">
        <v>464</v>
      </c>
      <c r="O38" s="6" t="s">
        <v>465</v>
      </c>
      <c r="P38" s="6" t="s">
        <v>74</v>
      </c>
      <c r="Q38" s="6" t="s">
        <v>466</v>
      </c>
      <c r="R38" s="6" t="s">
        <v>467</v>
      </c>
      <c r="S38" s="6" t="s">
        <v>77</v>
      </c>
      <c r="T38" s="6" t="s">
        <v>135</v>
      </c>
      <c r="U38" s="6" t="s">
        <v>100</v>
      </c>
      <c r="V38" s="6" t="s">
        <v>468</v>
      </c>
      <c r="W38" s="6" t="s">
        <v>181</v>
      </c>
      <c r="X38" s="22" t="s">
        <v>56</v>
      </c>
      <c r="Y38" s="22" t="s">
        <v>469</v>
      </c>
      <c r="Z38" s="6" t="s">
        <v>470</v>
      </c>
      <c r="AA38" s="23" t="s">
        <v>435</v>
      </c>
      <c r="AB38" s="9" t="s">
        <v>471</v>
      </c>
      <c r="AC38" s="6" t="s">
        <v>59</v>
      </c>
      <c r="AD38" s="6" t="s">
        <v>60</v>
      </c>
      <c r="AE38" s="6" t="s">
        <v>472</v>
      </c>
      <c r="AF38" s="6">
        <v>20</v>
      </c>
      <c r="AG38" s="6" t="s">
        <v>473</v>
      </c>
      <c r="AH38" s="6" t="s">
        <v>107</v>
      </c>
      <c r="AI38" s="142"/>
    </row>
    <row r="39" spans="1:36" s="31" customFormat="1" ht="21.75" customHeight="1" x14ac:dyDescent="0.25">
      <c r="A39" s="141">
        <v>45170</v>
      </c>
      <c r="B39" s="141"/>
      <c r="C39" s="16"/>
      <c r="D39" s="17"/>
      <c r="E39" s="18"/>
      <c r="F39" s="17"/>
      <c r="G39" s="17"/>
      <c r="H39" s="17"/>
      <c r="I39" s="17"/>
      <c r="J39" s="16"/>
      <c r="K39" s="17"/>
      <c r="L39" s="16"/>
      <c r="M39" s="16"/>
      <c r="N39" s="17"/>
      <c r="O39" s="17"/>
      <c r="P39" s="17"/>
      <c r="Q39" s="17"/>
      <c r="R39" s="17"/>
      <c r="S39" s="17"/>
      <c r="T39" s="19"/>
      <c r="U39" s="16"/>
      <c r="V39" s="17"/>
      <c r="W39" s="17"/>
      <c r="X39" s="17"/>
      <c r="Y39" s="16"/>
      <c r="Z39" s="17"/>
      <c r="AA39" s="20"/>
      <c r="AB39" s="9"/>
      <c r="AC39" s="6"/>
      <c r="AD39" s="6"/>
      <c r="AE39" s="6"/>
      <c r="AF39" s="6"/>
      <c r="AG39" s="21"/>
      <c r="AH39" s="1"/>
      <c r="AI39" s="142"/>
      <c r="AJ39" s="51"/>
    </row>
    <row r="40" spans="1:36" s="31" customFormat="1" ht="105.75" customHeight="1" x14ac:dyDescent="0.25">
      <c r="A40" s="7">
        <v>31</v>
      </c>
      <c r="B40" s="6" t="s">
        <v>474</v>
      </c>
      <c r="C40" s="7" t="s">
        <v>475</v>
      </c>
      <c r="D40" s="7">
        <v>22</v>
      </c>
      <c r="E40" s="46" t="s">
        <v>476</v>
      </c>
      <c r="F40" s="8" t="s">
        <v>89</v>
      </c>
      <c r="G40" s="6" t="s">
        <v>462</v>
      </c>
      <c r="H40" s="6" t="s">
        <v>66</v>
      </c>
      <c r="I40" s="47" t="s">
        <v>267</v>
      </c>
      <c r="J40" s="6" t="s">
        <v>477</v>
      </c>
      <c r="K40" s="47" t="s">
        <v>478</v>
      </c>
      <c r="L40" s="6" t="s">
        <v>162</v>
      </c>
      <c r="M40" s="6" t="s">
        <v>479</v>
      </c>
      <c r="N40" s="7" t="s">
        <v>480</v>
      </c>
      <c r="O40" s="6" t="s">
        <v>481</v>
      </c>
      <c r="P40" s="6" t="s">
        <v>365</v>
      </c>
      <c r="Q40" s="47" t="s">
        <v>458</v>
      </c>
      <c r="R40" s="47" t="s">
        <v>482</v>
      </c>
      <c r="S40" s="6" t="s">
        <v>347</v>
      </c>
      <c r="T40" s="48" t="s">
        <v>135</v>
      </c>
      <c r="U40" s="48" t="s">
        <v>348</v>
      </c>
      <c r="V40" s="49" t="s">
        <v>459</v>
      </c>
      <c r="W40" s="49" t="s">
        <v>483</v>
      </c>
      <c r="X40" s="42"/>
      <c r="Y40" s="49" t="s">
        <v>196</v>
      </c>
      <c r="Z40" s="23" t="s">
        <v>484</v>
      </c>
      <c r="AA40" s="23" t="s">
        <v>485</v>
      </c>
      <c r="AB40" s="9">
        <v>0.112</v>
      </c>
      <c r="AC40" s="6" t="s">
        <v>486</v>
      </c>
      <c r="AD40" s="6" t="s">
        <v>60</v>
      </c>
      <c r="AE40" s="6" t="s">
        <v>370</v>
      </c>
      <c r="AF40" s="6">
        <v>17.84</v>
      </c>
      <c r="AG40" s="6" t="s">
        <v>487</v>
      </c>
      <c r="AH40" s="50" t="s">
        <v>141</v>
      </c>
      <c r="AI40" s="142"/>
      <c r="AJ40" s="51"/>
    </row>
    <row r="41" spans="1:36" s="31" customFormat="1" ht="96.75" customHeight="1" x14ac:dyDescent="0.25">
      <c r="A41" s="7">
        <v>32</v>
      </c>
      <c r="B41" s="6" t="s">
        <v>474</v>
      </c>
      <c r="C41" s="7" t="s">
        <v>488</v>
      </c>
      <c r="D41" s="7">
        <v>34</v>
      </c>
      <c r="E41" s="46" t="s">
        <v>489</v>
      </c>
      <c r="F41" s="8" t="s">
        <v>89</v>
      </c>
      <c r="G41" s="6" t="s">
        <v>65</v>
      </c>
      <c r="H41" s="6" t="s">
        <v>66</v>
      </c>
      <c r="I41" s="47" t="s">
        <v>490</v>
      </c>
      <c r="J41" s="6" t="s">
        <v>491</v>
      </c>
      <c r="K41" s="47" t="s">
        <v>492</v>
      </c>
      <c r="L41" s="6" t="s">
        <v>70</v>
      </c>
      <c r="M41" s="6" t="s">
        <v>493</v>
      </c>
      <c r="N41" s="7" t="s">
        <v>494</v>
      </c>
      <c r="O41" s="6" t="s">
        <v>495</v>
      </c>
      <c r="P41" s="6" t="s">
        <v>365</v>
      </c>
      <c r="Q41" s="47" t="s">
        <v>496</v>
      </c>
      <c r="R41" s="47" t="s">
        <v>497</v>
      </c>
      <c r="S41" s="6" t="s">
        <v>498</v>
      </c>
      <c r="T41" s="48" t="s">
        <v>135</v>
      </c>
      <c r="U41" s="48" t="s">
        <v>499</v>
      </c>
      <c r="V41" s="49" t="s">
        <v>500</v>
      </c>
      <c r="W41" s="49" t="s">
        <v>501</v>
      </c>
      <c r="X41" s="42"/>
      <c r="Y41" s="49" t="s">
        <v>500</v>
      </c>
      <c r="Z41" s="23" t="s">
        <v>501</v>
      </c>
      <c r="AA41" s="23"/>
      <c r="AB41" s="9">
        <v>0.13</v>
      </c>
      <c r="AC41" s="6" t="s">
        <v>502</v>
      </c>
      <c r="AD41" s="6" t="s">
        <v>60</v>
      </c>
      <c r="AE41" s="6" t="s">
        <v>503</v>
      </c>
      <c r="AF41" s="6">
        <v>28.9</v>
      </c>
      <c r="AG41" s="6" t="s">
        <v>295</v>
      </c>
      <c r="AH41" s="50"/>
      <c r="AI41" s="142"/>
      <c r="AJ41" s="51"/>
    </row>
    <row r="42" spans="1:36" s="31" customFormat="1" ht="102" customHeight="1" x14ac:dyDescent="0.25">
      <c r="A42" s="7">
        <v>33</v>
      </c>
      <c r="B42" s="6" t="s">
        <v>157</v>
      </c>
      <c r="C42" s="7" t="s">
        <v>504</v>
      </c>
      <c r="D42" s="7">
        <v>31</v>
      </c>
      <c r="E42" s="46" t="s">
        <v>505</v>
      </c>
      <c r="F42" s="8" t="s">
        <v>89</v>
      </c>
      <c r="G42" s="6" t="s">
        <v>462</v>
      </c>
      <c r="H42" s="6" t="s">
        <v>66</v>
      </c>
      <c r="I42" s="47" t="s">
        <v>506</v>
      </c>
      <c r="J42" s="6" t="s">
        <v>477</v>
      </c>
      <c r="K42" s="47" t="s">
        <v>507</v>
      </c>
      <c r="L42" s="6" t="s">
        <v>162</v>
      </c>
      <c r="M42" s="6" t="s">
        <v>508</v>
      </c>
      <c r="N42" s="7" t="s">
        <v>509</v>
      </c>
      <c r="O42" s="6" t="s">
        <v>510</v>
      </c>
      <c r="P42" s="6" t="s">
        <v>365</v>
      </c>
      <c r="Q42" s="47" t="s">
        <v>391</v>
      </c>
      <c r="R42" s="47" t="s">
        <v>511</v>
      </c>
      <c r="S42" s="6" t="s">
        <v>77</v>
      </c>
      <c r="T42" s="48" t="s">
        <v>135</v>
      </c>
      <c r="U42" s="48" t="s">
        <v>53</v>
      </c>
      <c r="V42" s="49" t="s">
        <v>123</v>
      </c>
      <c r="W42" s="49" t="s">
        <v>512</v>
      </c>
      <c r="X42" s="42"/>
      <c r="Y42" s="49" t="s">
        <v>123</v>
      </c>
      <c r="Z42" s="23" t="s">
        <v>501</v>
      </c>
      <c r="AA42" s="23" t="s">
        <v>490</v>
      </c>
      <c r="AB42" s="9">
        <v>0.126</v>
      </c>
      <c r="AC42" s="6" t="s">
        <v>140</v>
      </c>
      <c r="AD42" s="6"/>
      <c r="AE42" s="6"/>
      <c r="AF42" s="6">
        <v>26</v>
      </c>
      <c r="AG42" s="6" t="s">
        <v>339</v>
      </c>
      <c r="AH42" s="50" t="s">
        <v>141</v>
      </c>
      <c r="AI42" s="142"/>
      <c r="AJ42" s="51"/>
    </row>
    <row r="43" spans="1:36" s="31" customFormat="1" ht="105" customHeight="1" x14ac:dyDescent="0.25">
      <c r="A43" s="7">
        <v>34</v>
      </c>
      <c r="B43" s="6" t="s">
        <v>513</v>
      </c>
      <c r="C43" s="7" t="s">
        <v>514</v>
      </c>
      <c r="D43" s="7">
        <v>17</v>
      </c>
      <c r="E43" s="46" t="s">
        <v>515</v>
      </c>
      <c r="F43" s="8" t="s">
        <v>89</v>
      </c>
      <c r="G43" s="6" t="s">
        <v>462</v>
      </c>
      <c r="H43" s="6" t="s">
        <v>66</v>
      </c>
      <c r="I43" s="47" t="s">
        <v>516</v>
      </c>
      <c r="J43" s="6" t="s">
        <v>477</v>
      </c>
      <c r="K43" s="47" t="s">
        <v>517</v>
      </c>
      <c r="L43" s="6" t="s">
        <v>314</v>
      </c>
      <c r="M43" s="6" t="s">
        <v>518</v>
      </c>
      <c r="N43" s="7" t="s">
        <v>519</v>
      </c>
      <c r="O43" s="6" t="s">
        <v>465</v>
      </c>
      <c r="P43" s="6" t="s">
        <v>365</v>
      </c>
      <c r="Q43" s="47" t="s">
        <v>369</v>
      </c>
      <c r="R43" s="47" t="s">
        <v>520</v>
      </c>
      <c r="S43" s="6" t="s">
        <v>77</v>
      </c>
      <c r="T43" s="48" t="s">
        <v>135</v>
      </c>
      <c r="U43" s="48" t="s">
        <v>348</v>
      </c>
      <c r="V43" s="49" t="s">
        <v>521</v>
      </c>
      <c r="W43" s="49" t="s">
        <v>522</v>
      </c>
      <c r="X43" s="42"/>
      <c r="Y43" s="49" t="s">
        <v>521</v>
      </c>
      <c r="Z43" s="23" t="s">
        <v>301</v>
      </c>
      <c r="AA43" s="23" t="s">
        <v>523</v>
      </c>
      <c r="AB43" s="9">
        <v>0.122</v>
      </c>
      <c r="AC43" s="6" t="s">
        <v>524</v>
      </c>
      <c r="AD43" s="6"/>
      <c r="AE43" s="6" t="s">
        <v>525</v>
      </c>
      <c r="AF43" s="6" t="s">
        <v>60</v>
      </c>
      <c r="AG43" s="6" t="s">
        <v>295</v>
      </c>
      <c r="AH43" s="50" t="s">
        <v>141</v>
      </c>
      <c r="AI43" s="142"/>
      <c r="AJ43" s="51"/>
    </row>
    <row r="44" spans="1:36" s="31" customFormat="1" ht="104.25" customHeight="1" x14ac:dyDescent="0.25">
      <c r="A44" s="7">
        <v>35</v>
      </c>
      <c r="B44" s="6" t="s">
        <v>526</v>
      </c>
      <c r="C44" s="7" t="s">
        <v>527</v>
      </c>
      <c r="D44" s="7">
        <v>19</v>
      </c>
      <c r="E44" s="46" t="s">
        <v>528</v>
      </c>
      <c r="F44" s="8" t="s">
        <v>89</v>
      </c>
      <c r="G44" s="6" t="s">
        <v>40</v>
      </c>
      <c r="H44" s="6" t="s">
        <v>40</v>
      </c>
      <c r="I44" s="47" t="s">
        <v>529</v>
      </c>
      <c r="J44" s="6" t="s">
        <v>530</v>
      </c>
      <c r="K44" s="47" t="s">
        <v>531</v>
      </c>
      <c r="L44" s="6" t="s">
        <v>162</v>
      </c>
      <c r="M44" s="6" t="s">
        <v>532</v>
      </c>
      <c r="N44" s="7" t="s">
        <v>533</v>
      </c>
      <c r="O44" s="6" t="s">
        <v>534</v>
      </c>
      <c r="P44" s="6" t="s">
        <v>74</v>
      </c>
      <c r="Q44" s="47" t="s">
        <v>535</v>
      </c>
      <c r="R44" s="47" t="s">
        <v>442</v>
      </c>
      <c r="S44" s="6" t="s">
        <v>77</v>
      </c>
      <c r="T44" s="48" t="s">
        <v>135</v>
      </c>
      <c r="U44" s="48" t="s">
        <v>536</v>
      </c>
      <c r="V44" s="49" t="s">
        <v>537</v>
      </c>
      <c r="W44" s="49" t="s">
        <v>538</v>
      </c>
      <c r="X44" s="42"/>
      <c r="Y44" s="49" t="s">
        <v>427</v>
      </c>
      <c r="Z44" s="23"/>
      <c r="AA44" s="23"/>
      <c r="AB44" s="9">
        <v>0.11600000000000001</v>
      </c>
      <c r="AC44" s="6" t="s">
        <v>59</v>
      </c>
      <c r="AD44" s="6" t="s">
        <v>60</v>
      </c>
      <c r="AE44" s="6" t="s">
        <v>60</v>
      </c>
      <c r="AF44" s="6">
        <v>18</v>
      </c>
      <c r="AG44" s="6" t="s">
        <v>173</v>
      </c>
      <c r="AH44" s="50" t="s">
        <v>60</v>
      </c>
      <c r="AI44" s="142"/>
      <c r="AJ44" s="51"/>
    </row>
    <row r="45" spans="1:36" s="31" customFormat="1" ht="102" customHeight="1" x14ac:dyDescent="0.25">
      <c r="A45" s="7">
        <v>36</v>
      </c>
      <c r="B45" s="6" t="s">
        <v>526</v>
      </c>
      <c r="C45" s="7" t="s">
        <v>539</v>
      </c>
      <c r="D45" s="7">
        <v>41</v>
      </c>
      <c r="E45" s="46" t="s">
        <v>540</v>
      </c>
      <c r="F45" s="8" t="s">
        <v>89</v>
      </c>
      <c r="G45" s="6" t="s">
        <v>40</v>
      </c>
      <c r="H45" s="6" t="s">
        <v>40</v>
      </c>
      <c r="I45" s="47" t="s">
        <v>541</v>
      </c>
      <c r="J45" s="6" t="s">
        <v>70</v>
      </c>
      <c r="K45" s="47" t="s">
        <v>492</v>
      </c>
      <c r="L45" s="6" t="s">
        <v>70</v>
      </c>
      <c r="M45" s="6" t="s">
        <v>542</v>
      </c>
      <c r="N45" s="7" t="s">
        <v>543</v>
      </c>
      <c r="O45" s="6" t="s">
        <v>544</v>
      </c>
      <c r="P45" s="6" t="s">
        <v>74</v>
      </c>
      <c r="Q45" s="47" t="s">
        <v>41</v>
      </c>
      <c r="R45" s="47" t="s">
        <v>545</v>
      </c>
      <c r="S45" s="6" t="s">
        <v>546</v>
      </c>
      <c r="T45" s="48" t="s">
        <v>135</v>
      </c>
      <c r="U45" s="48" t="s">
        <v>547</v>
      </c>
      <c r="V45" s="49" t="s">
        <v>548</v>
      </c>
      <c r="W45" s="49" t="s">
        <v>523</v>
      </c>
      <c r="X45" s="42"/>
      <c r="Y45" s="49" t="s">
        <v>388</v>
      </c>
      <c r="Z45" s="23"/>
      <c r="AA45" s="23"/>
      <c r="AB45" s="9">
        <v>0.114</v>
      </c>
      <c r="AC45" s="6" t="s">
        <v>549</v>
      </c>
      <c r="AD45" s="6" t="s">
        <v>60</v>
      </c>
      <c r="AE45" s="6" t="s">
        <v>550</v>
      </c>
      <c r="AF45" s="6">
        <v>31</v>
      </c>
      <c r="AG45" s="6" t="s">
        <v>551</v>
      </c>
      <c r="AH45" s="50" t="s">
        <v>60</v>
      </c>
      <c r="AI45" s="142"/>
      <c r="AJ45" s="51"/>
    </row>
    <row r="46" spans="1:36" s="31" customFormat="1" ht="115.5" customHeight="1" x14ac:dyDescent="0.25">
      <c r="A46" s="7">
        <v>37</v>
      </c>
      <c r="B46" s="6" t="s">
        <v>249</v>
      </c>
      <c r="C46" s="7" t="s">
        <v>552</v>
      </c>
      <c r="D46" s="7">
        <v>25</v>
      </c>
      <c r="E46" s="46" t="s">
        <v>553</v>
      </c>
      <c r="F46" s="8" t="s">
        <v>89</v>
      </c>
      <c r="G46" s="6" t="s">
        <v>40</v>
      </c>
      <c r="H46" s="6" t="s">
        <v>40</v>
      </c>
      <c r="I46" s="47" t="s">
        <v>422</v>
      </c>
      <c r="J46" s="6" t="s">
        <v>554</v>
      </c>
      <c r="K46" s="47" t="s">
        <v>555</v>
      </c>
      <c r="L46" s="6" t="s">
        <v>556</v>
      </c>
      <c r="M46" s="6" t="s">
        <v>557</v>
      </c>
      <c r="N46" s="7" t="s">
        <v>558</v>
      </c>
      <c r="O46" s="6" t="s">
        <v>559</v>
      </c>
      <c r="P46" s="6" t="s">
        <v>74</v>
      </c>
      <c r="Q46" s="47" t="s">
        <v>210</v>
      </c>
      <c r="R46" s="47" t="s">
        <v>560</v>
      </c>
      <c r="S46" s="6" t="s">
        <v>561</v>
      </c>
      <c r="T46" s="48" t="s">
        <v>135</v>
      </c>
      <c r="U46" s="48" t="s">
        <v>562</v>
      </c>
      <c r="V46" s="49" t="s">
        <v>563</v>
      </c>
      <c r="W46" s="49" t="s">
        <v>564</v>
      </c>
      <c r="X46" s="42"/>
      <c r="Y46" s="49" t="s">
        <v>565</v>
      </c>
      <c r="Z46" s="23"/>
      <c r="AA46" s="23"/>
      <c r="AB46" s="9">
        <v>0.124</v>
      </c>
      <c r="AC46" s="6" t="s">
        <v>59</v>
      </c>
      <c r="AD46" s="6" t="s">
        <v>60</v>
      </c>
      <c r="AE46" s="6" t="s">
        <v>566</v>
      </c>
      <c r="AF46" s="6">
        <v>18</v>
      </c>
      <c r="AG46" s="6" t="s">
        <v>567</v>
      </c>
      <c r="AH46" s="50" t="s">
        <v>60</v>
      </c>
      <c r="AI46" s="142"/>
      <c r="AJ46" s="51"/>
    </row>
    <row r="47" spans="1:36" s="31" customFormat="1" ht="106.5" customHeight="1" x14ac:dyDescent="0.25">
      <c r="A47" s="7">
        <v>38</v>
      </c>
      <c r="B47" s="21" t="s">
        <v>568</v>
      </c>
      <c r="C47" s="7" t="s">
        <v>569</v>
      </c>
      <c r="D47" s="7">
        <v>25</v>
      </c>
      <c r="E47" s="46" t="s">
        <v>570</v>
      </c>
      <c r="F47" s="8" t="s">
        <v>89</v>
      </c>
      <c r="G47" s="6" t="s">
        <v>159</v>
      </c>
      <c r="H47" s="6" t="s">
        <v>66</v>
      </c>
      <c r="I47" s="47" t="s">
        <v>571</v>
      </c>
      <c r="J47" s="6" t="s">
        <v>554</v>
      </c>
      <c r="K47" s="47" t="s">
        <v>572</v>
      </c>
      <c r="L47" s="6" t="s">
        <v>573</v>
      </c>
      <c r="M47" s="6" t="s">
        <v>71</v>
      </c>
      <c r="N47" s="7" t="s">
        <v>164</v>
      </c>
      <c r="O47" s="6" t="s">
        <v>574</v>
      </c>
      <c r="P47" s="6" t="s">
        <v>74</v>
      </c>
      <c r="Q47" s="47" t="s">
        <v>575</v>
      </c>
      <c r="R47" s="47" t="s">
        <v>435</v>
      </c>
      <c r="S47" s="6" t="s">
        <v>77</v>
      </c>
      <c r="T47" s="48" t="s">
        <v>135</v>
      </c>
      <c r="U47" s="48" t="s">
        <v>576</v>
      </c>
      <c r="V47" s="49" t="s">
        <v>288</v>
      </c>
      <c r="W47" s="49" t="s">
        <v>121</v>
      </c>
      <c r="X47" s="42"/>
      <c r="Y47" s="49" t="s">
        <v>181</v>
      </c>
      <c r="Z47" s="23"/>
      <c r="AA47" s="23"/>
      <c r="AB47" s="9">
        <v>0.107</v>
      </c>
      <c r="AC47" s="6" t="s">
        <v>59</v>
      </c>
      <c r="AD47" s="6" t="s">
        <v>60</v>
      </c>
      <c r="AE47" s="6" t="s">
        <v>566</v>
      </c>
      <c r="AF47" s="6">
        <v>18.8</v>
      </c>
      <c r="AG47" s="6" t="s">
        <v>173</v>
      </c>
      <c r="AH47" s="50"/>
      <c r="AI47" s="142"/>
      <c r="AJ47" s="51"/>
    </row>
    <row r="48" spans="1:36" s="31" customFormat="1" ht="104.25" customHeight="1" x14ac:dyDescent="0.25">
      <c r="A48" s="7">
        <v>39</v>
      </c>
      <c r="B48" s="6" t="s">
        <v>577</v>
      </c>
      <c r="C48" s="7" t="s">
        <v>578</v>
      </c>
      <c r="D48" s="7">
        <v>29</v>
      </c>
      <c r="E48" s="46" t="s">
        <v>579</v>
      </c>
      <c r="F48" s="8" t="s">
        <v>89</v>
      </c>
      <c r="G48" s="6"/>
      <c r="H48" s="6" t="s">
        <v>66</v>
      </c>
      <c r="I48" s="47" t="s">
        <v>580</v>
      </c>
      <c r="J48" s="6" t="s">
        <v>581</v>
      </c>
      <c r="K48" s="47" t="s">
        <v>582</v>
      </c>
      <c r="L48" s="6" t="s">
        <v>162</v>
      </c>
      <c r="M48" s="6" t="s">
        <v>302</v>
      </c>
      <c r="N48" s="7" t="s">
        <v>583</v>
      </c>
      <c r="O48" s="6" t="s">
        <v>584</v>
      </c>
      <c r="P48" s="6" t="s">
        <v>74</v>
      </c>
      <c r="Q48" s="47" t="s">
        <v>585</v>
      </c>
      <c r="R48" s="47" t="s">
        <v>586</v>
      </c>
      <c r="S48" s="6" t="s">
        <v>587</v>
      </c>
      <c r="T48" s="48" t="s">
        <v>135</v>
      </c>
      <c r="U48" s="48" t="s">
        <v>588</v>
      </c>
      <c r="V48" s="49" t="s">
        <v>589</v>
      </c>
      <c r="W48" s="49" t="s">
        <v>459</v>
      </c>
      <c r="X48" s="42"/>
      <c r="Y48" s="49" t="s">
        <v>459</v>
      </c>
      <c r="Z48" s="23" t="s">
        <v>590</v>
      </c>
      <c r="AA48" s="23" t="s">
        <v>396</v>
      </c>
      <c r="AB48" s="9">
        <v>0.11</v>
      </c>
      <c r="AC48" s="6" t="s">
        <v>59</v>
      </c>
      <c r="AD48" s="6" t="s">
        <v>60</v>
      </c>
      <c r="AE48" s="6" t="s">
        <v>60</v>
      </c>
      <c r="AF48" s="6">
        <v>19.53</v>
      </c>
      <c r="AG48" s="6" t="s">
        <v>431</v>
      </c>
      <c r="AH48" s="50" t="s">
        <v>107</v>
      </c>
      <c r="AI48" s="142"/>
      <c r="AJ48" s="51"/>
    </row>
    <row r="49" spans="1:36" s="31" customFormat="1" ht="102" customHeight="1" x14ac:dyDescent="0.25">
      <c r="A49" s="7">
        <v>40</v>
      </c>
      <c r="B49" s="6" t="s">
        <v>591</v>
      </c>
      <c r="C49" s="7" t="s">
        <v>592</v>
      </c>
      <c r="D49" s="7">
        <v>28</v>
      </c>
      <c r="E49" s="46" t="s">
        <v>593</v>
      </c>
      <c r="F49" s="8" t="s">
        <v>89</v>
      </c>
      <c r="G49" s="6" t="s">
        <v>594</v>
      </c>
      <c r="H49" s="6" t="s">
        <v>66</v>
      </c>
      <c r="I49" s="47" t="s">
        <v>595</v>
      </c>
      <c r="J49" s="6" t="s">
        <v>70</v>
      </c>
      <c r="K49" s="47" t="s">
        <v>596</v>
      </c>
      <c r="L49" s="6" t="s">
        <v>70</v>
      </c>
      <c r="M49" s="6" t="s">
        <v>597</v>
      </c>
      <c r="N49" s="7" t="s">
        <v>598</v>
      </c>
      <c r="O49" s="6" t="s">
        <v>247</v>
      </c>
      <c r="P49" s="6" t="s">
        <v>74</v>
      </c>
      <c r="Q49" s="47" t="s">
        <v>599</v>
      </c>
      <c r="R49" s="47" t="s">
        <v>600</v>
      </c>
      <c r="S49" s="6" t="s">
        <v>601</v>
      </c>
      <c r="T49" s="48" t="s">
        <v>52</v>
      </c>
      <c r="U49" s="48" t="s">
        <v>602</v>
      </c>
      <c r="V49" s="49" t="s">
        <v>603</v>
      </c>
      <c r="W49" s="49" t="s">
        <v>604</v>
      </c>
      <c r="X49" s="42"/>
      <c r="Y49" s="49" t="s">
        <v>284</v>
      </c>
      <c r="Z49" s="23" t="s">
        <v>605</v>
      </c>
      <c r="AA49" s="23" t="s">
        <v>606</v>
      </c>
      <c r="AB49" s="9">
        <v>0.11700000000000001</v>
      </c>
      <c r="AC49" s="6" t="s">
        <v>59</v>
      </c>
      <c r="AD49" s="6" t="s">
        <v>60</v>
      </c>
      <c r="AE49" s="6" t="s">
        <v>60</v>
      </c>
      <c r="AF49" s="6">
        <v>22</v>
      </c>
      <c r="AG49" s="6" t="s">
        <v>607</v>
      </c>
      <c r="AH49" s="50" t="s">
        <v>61</v>
      </c>
      <c r="AI49" s="142"/>
      <c r="AJ49" s="51"/>
    </row>
    <row r="50" spans="1:36" s="31" customFormat="1" ht="97.5" customHeight="1" x14ac:dyDescent="0.25">
      <c r="A50" s="7">
        <v>41</v>
      </c>
      <c r="B50" s="6" t="s">
        <v>108</v>
      </c>
      <c r="C50" s="7" t="s">
        <v>608</v>
      </c>
      <c r="D50" s="7">
        <v>21</v>
      </c>
      <c r="E50" s="46" t="s">
        <v>609</v>
      </c>
      <c r="F50" s="8" t="s">
        <v>89</v>
      </c>
      <c r="G50" s="6" t="s">
        <v>218</v>
      </c>
      <c r="H50" s="6" t="s">
        <v>66</v>
      </c>
      <c r="I50" s="47" t="s">
        <v>490</v>
      </c>
      <c r="J50" s="6" t="s">
        <v>70</v>
      </c>
      <c r="K50" s="47" t="s">
        <v>610</v>
      </c>
      <c r="L50" s="6" t="s">
        <v>70</v>
      </c>
      <c r="M50" s="6" t="s">
        <v>611</v>
      </c>
      <c r="N50" s="7" t="s">
        <v>612</v>
      </c>
      <c r="O50" s="6" t="s">
        <v>613</v>
      </c>
      <c r="P50" s="6" t="s">
        <v>48</v>
      </c>
      <c r="Q50" s="47" t="s">
        <v>614</v>
      </c>
      <c r="R50" s="47" t="s">
        <v>615</v>
      </c>
      <c r="S50" s="6" t="s">
        <v>616</v>
      </c>
      <c r="T50" s="48" t="s">
        <v>135</v>
      </c>
      <c r="U50" s="48" t="s">
        <v>153</v>
      </c>
      <c r="V50" s="49" t="s">
        <v>396</v>
      </c>
      <c r="W50" s="49" t="s">
        <v>469</v>
      </c>
      <c r="X50" s="42"/>
      <c r="Y50" s="49" t="s">
        <v>123</v>
      </c>
      <c r="Z50" s="23" t="s">
        <v>617</v>
      </c>
      <c r="AA50" s="23" t="s">
        <v>359</v>
      </c>
      <c r="AB50" s="9">
        <v>0.115</v>
      </c>
      <c r="AC50" s="6" t="s">
        <v>140</v>
      </c>
      <c r="AD50" s="6" t="s">
        <v>60</v>
      </c>
      <c r="AE50" s="6" t="s">
        <v>60</v>
      </c>
      <c r="AF50" s="6">
        <v>15</v>
      </c>
      <c r="AG50" s="6" t="s">
        <v>295</v>
      </c>
      <c r="AH50" s="50" t="s">
        <v>107</v>
      </c>
      <c r="AI50" s="142"/>
      <c r="AJ50" s="51"/>
    </row>
    <row r="51" spans="1:36" ht="94.5" customHeight="1" x14ac:dyDescent="0.25">
      <c r="A51" s="7">
        <v>42</v>
      </c>
      <c r="B51" s="6" t="s">
        <v>86</v>
      </c>
      <c r="C51" s="7" t="s">
        <v>618</v>
      </c>
      <c r="D51" s="7">
        <v>36</v>
      </c>
      <c r="E51" s="46" t="s">
        <v>619</v>
      </c>
      <c r="F51" s="8" t="s">
        <v>39</v>
      </c>
      <c r="G51" s="6" t="s">
        <v>40</v>
      </c>
      <c r="H51" s="6" t="s">
        <v>40</v>
      </c>
      <c r="I51" s="47" t="s">
        <v>620</v>
      </c>
      <c r="J51" s="6" t="s">
        <v>621</v>
      </c>
      <c r="K51" s="47" t="s">
        <v>622</v>
      </c>
      <c r="L51" s="6" t="s">
        <v>623</v>
      </c>
      <c r="M51" s="6" t="s">
        <v>624</v>
      </c>
      <c r="N51" s="7" t="s">
        <v>625</v>
      </c>
      <c r="O51" s="6" t="s">
        <v>626</v>
      </c>
      <c r="P51" s="6" t="s">
        <v>365</v>
      </c>
      <c r="Q51" s="47" t="s">
        <v>627</v>
      </c>
      <c r="R51" s="47" t="s">
        <v>628</v>
      </c>
      <c r="S51" s="6" t="s">
        <v>152</v>
      </c>
      <c r="T51" s="48" t="s">
        <v>135</v>
      </c>
      <c r="U51" s="48" t="s">
        <v>629</v>
      </c>
      <c r="V51" s="49" t="s">
        <v>630</v>
      </c>
      <c r="W51" s="49" t="s">
        <v>213</v>
      </c>
      <c r="X51" s="42"/>
      <c r="Y51" s="49" t="s">
        <v>631</v>
      </c>
      <c r="Z51" s="23" t="s">
        <v>632</v>
      </c>
      <c r="AA51" s="23" t="s">
        <v>350</v>
      </c>
      <c r="AB51" s="9" t="s">
        <v>633</v>
      </c>
      <c r="AC51" s="6" t="s">
        <v>140</v>
      </c>
      <c r="AD51" s="6" t="s">
        <v>60</v>
      </c>
      <c r="AE51" s="6" t="s">
        <v>60</v>
      </c>
      <c r="AF51" s="6">
        <v>33</v>
      </c>
      <c r="AG51" s="6" t="s">
        <v>355</v>
      </c>
      <c r="AH51" s="50" t="s">
        <v>141</v>
      </c>
      <c r="AI51" s="142"/>
    </row>
    <row r="52" spans="1:36" ht="94.5" customHeight="1" x14ac:dyDescent="0.25">
      <c r="A52" s="7">
        <v>43</v>
      </c>
      <c r="B52" s="6" t="s">
        <v>634</v>
      </c>
      <c r="C52" s="7" t="s">
        <v>635</v>
      </c>
      <c r="D52" s="7">
        <v>34</v>
      </c>
      <c r="E52" s="46" t="s">
        <v>636</v>
      </c>
      <c r="F52" s="8" t="s">
        <v>89</v>
      </c>
      <c r="G52" s="6" t="s">
        <v>40</v>
      </c>
      <c r="H52" s="6" t="s">
        <v>40</v>
      </c>
      <c r="I52" s="47"/>
      <c r="J52" s="6" t="s">
        <v>637</v>
      </c>
      <c r="K52" s="47" t="s">
        <v>595</v>
      </c>
      <c r="L52" s="6" t="s">
        <v>112</v>
      </c>
      <c r="M52" s="6" t="s">
        <v>405</v>
      </c>
      <c r="N52" s="7" t="s">
        <v>638</v>
      </c>
      <c r="O52" s="6" t="s">
        <v>639</v>
      </c>
      <c r="P52" s="6" t="s">
        <v>74</v>
      </c>
      <c r="Q52" s="47" t="s">
        <v>640</v>
      </c>
      <c r="R52" s="47" t="s">
        <v>470</v>
      </c>
      <c r="S52" s="6" t="s">
        <v>152</v>
      </c>
      <c r="T52" s="48" t="s">
        <v>135</v>
      </c>
      <c r="U52" s="48" t="s">
        <v>641</v>
      </c>
      <c r="V52" s="49" t="s">
        <v>213</v>
      </c>
      <c r="W52" s="49" t="s">
        <v>334</v>
      </c>
      <c r="X52" s="42"/>
      <c r="Y52" s="49" t="s">
        <v>334</v>
      </c>
      <c r="Z52" s="23" t="s">
        <v>642</v>
      </c>
      <c r="AA52" s="23" t="s">
        <v>643</v>
      </c>
      <c r="AB52" s="9" t="s">
        <v>633</v>
      </c>
      <c r="AC52" s="6" t="s">
        <v>140</v>
      </c>
      <c r="AD52" s="6" t="s">
        <v>60</v>
      </c>
      <c r="AE52" s="6" t="s">
        <v>60</v>
      </c>
      <c r="AF52" s="6">
        <v>36</v>
      </c>
      <c r="AG52" s="6"/>
      <c r="AH52" s="50" t="s">
        <v>141</v>
      </c>
      <c r="AI52" s="142"/>
    </row>
    <row r="53" spans="1:36" ht="15.6" x14ac:dyDescent="0.25">
      <c r="A53" s="141">
        <v>45200</v>
      </c>
      <c r="B53" s="141"/>
      <c r="C53" s="16"/>
      <c r="D53" s="17"/>
      <c r="E53" s="18"/>
      <c r="F53" s="17"/>
      <c r="G53" s="17"/>
      <c r="H53" s="17"/>
      <c r="I53" s="17"/>
      <c r="J53" s="16"/>
      <c r="K53" s="17"/>
      <c r="L53" s="16"/>
      <c r="M53" s="16"/>
      <c r="N53" s="17"/>
      <c r="O53" s="17"/>
      <c r="P53" s="17"/>
      <c r="Q53" s="17"/>
      <c r="R53" s="17"/>
      <c r="S53" s="17"/>
      <c r="T53" s="19"/>
      <c r="U53" s="16"/>
      <c r="V53" s="17"/>
      <c r="W53" s="17"/>
      <c r="X53" s="17"/>
      <c r="Y53" s="16"/>
      <c r="Z53" s="17"/>
      <c r="AA53" s="20"/>
      <c r="AB53" s="9"/>
      <c r="AC53" s="6"/>
      <c r="AD53" s="6"/>
      <c r="AE53" s="6"/>
      <c r="AF53" s="6"/>
      <c r="AG53" s="21"/>
      <c r="AH53" s="1"/>
      <c r="AI53" s="4"/>
    </row>
    <row r="54" spans="1:36" ht="96" customHeight="1" x14ac:dyDescent="0.25">
      <c r="A54" s="7">
        <v>44</v>
      </c>
      <c r="B54" s="6" t="s">
        <v>297</v>
      </c>
      <c r="C54" s="7" t="s">
        <v>644</v>
      </c>
      <c r="D54" s="7">
        <v>30</v>
      </c>
      <c r="E54" s="46" t="s">
        <v>645</v>
      </c>
      <c r="F54" s="8" t="s">
        <v>39</v>
      </c>
      <c r="G54" s="6" t="s">
        <v>159</v>
      </c>
      <c r="H54" s="6" t="s">
        <v>66</v>
      </c>
      <c r="I54" s="47" t="s">
        <v>469</v>
      </c>
      <c r="J54" s="6" t="s">
        <v>646</v>
      </c>
      <c r="K54" s="47" t="s">
        <v>647</v>
      </c>
      <c r="L54" s="6" t="s">
        <v>70</v>
      </c>
      <c r="M54" s="6" t="s">
        <v>178</v>
      </c>
      <c r="N54" s="7" t="s">
        <v>648</v>
      </c>
      <c r="O54" s="6" t="s">
        <v>649</v>
      </c>
      <c r="P54" s="6" t="s">
        <v>74</v>
      </c>
      <c r="Q54" s="47" t="s">
        <v>379</v>
      </c>
      <c r="R54" s="47" t="s">
        <v>176</v>
      </c>
      <c r="S54" s="6" t="s">
        <v>650</v>
      </c>
      <c r="T54" s="48" t="s">
        <v>135</v>
      </c>
      <c r="U54" s="48" t="s">
        <v>651</v>
      </c>
      <c r="V54" s="49" t="s">
        <v>184</v>
      </c>
      <c r="W54" s="49" t="s">
        <v>652</v>
      </c>
      <c r="X54" s="42"/>
      <c r="Y54" s="49" t="s">
        <v>225</v>
      </c>
      <c r="Z54" s="23" t="s">
        <v>211</v>
      </c>
      <c r="AA54" s="23" t="s">
        <v>653</v>
      </c>
      <c r="AB54" s="9" t="s">
        <v>654</v>
      </c>
      <c r="AC54" s="6" t="s">
        <v>655</v>
      </c>
      <c r="AD54" s="6" t="s">
        <v>60</v>
      </c>
      <c r="AE54" s="6" t="s">
        <v>656</v>
      </c>
      <c r="AF54" s="6" t="s">
        <v>60</v>
      </c>
      <c r="AG54" s="6" t="s">
        <v>431</v>
      </c>
      <c r="AH54" s="50" t="s">
        <v>141</v>
      </c>
      <c r="AI54" s="4"/>
    </row>
    <row r="55" spans="1:36" ht="97.5" customHeight="1" x14ac:dyDescent="0.25">
      <c r="A55" s="7">
        <v>45</v>
      </c>
      <c r="B55" s="6" t="s">
        <v>657</v>
      </c>
      <c r="C55" s="7" t="s">
        <v>658</v>
      </c>
      <c r="D55" s="7">
        <v>32</v>
      </c>
      <c r="E55" s="46" t="s">
        <v>659</v>
      </c>
      <c r="F55" s="8" t="s">
        <v>89</v>
      </c>
      <c r="G55" s="6" t="s">
        <v>462</v>
      </c>
      <c r="H55" s="6" t="s">
        <v>66</v>
      </c>
      <c r="I55" s="47" t="s">
        <v>660</v>
      </c>
      <c r="J55" s="6" t="s">
        <v>314</v>
      </c>
      <c r="K55" s="47" t="s">
        <v>661</v>
      </c>
      <c r="L55" s="6" t="s">
        <v>314</v>
      </c>
      <c r="M55" s="6" t="s">
        <v>662</v>
      </c>
      <c r="N55" s="7" t="s">
        <v>663</v>
      </c>
      <c r="O55" s="6" t="s">
        <v>390</v>
      </c>
      <c r="P55" s="6" t="s">
        <v>48</v>
      </c>
      <c r="Q55" s="47" t="s">
        <v>54</v>
      </c>
      <c r="R55" s="47" t="s">
        <v>664</v>
      </c>
      <c r="S55" s="6" t="s">
        <v>347</v>
      </c>
      <c r="T55" s="48" t="s">
        <v>135</v>
      </c>
      <c r="U55" s="48" t="s">
        <v>665</v>
      </c>
      <c r="V55" s="49" t="s">
        <v>94</v>
      </c>
      <c r="W55" s="49" t="s">
        <v>233</v>
      </c>
      <c r="X55" s="42"/>
      <c r="Y55" s="49" t="s">
        <v>161</v>
      </c>
      <c r="Z55" s="23" t="s">
        <v>253</v>
      </c>
      <c r="AA55" s="23" t="s">
        <v>666</v>
      </c>
      <c r="AB55" s="9" t="s">
        <v>654</v>
      </c>
      <c r="AC55" s="6" t="s">
        <v>667</v>
      </c>
      <c r="AD55" s="6" t="s">
        <v>60</v>
      </c>
      <c r="AE55" s="6" t="s">
        <v>668</v>
      </c>
      <c r="AF55" s="6">
        <v>24.9</v>
      </c>
      <c r="AG55" s="6" t="s">
        <v>355</v>
      </c>
      <c r="AH55" s="50" t="s">
        <v>60</v>
      </c>
      <c r="AI55" s="4"/>
    </row>
    <row r="56" spans="1:36" ht="112.5" customHeight="1" x14ac:dyDescent="0.25">
      <c r="A56" s="7">
        <v>46</v>
      </c>
      <c r="B56" s="6" t="s">
        <v>142</v>
      </c>
      <c r="C56" s="7" t="s">
        <v>669</v>
      </c>
      <c r="D56" s="7">
        <v>32</v>
      </c>
      <c r="E56" s="46" t="s">
        <v>670</v>
      </c>
      <c r="F56" s="8" t="s">
        <v>89</v>
      </c>
      <c r="G56" s="6" t="s">
        <v>231</v>
      </c>
      <c r="H56" s="6" t="s">
        <v>66</v>
      </c>
      <c r="I56" s="47" t="s">
        <v>671</v>
      </c>
      <c r="J56" s="6" t="s">
        <v>111</v>
      </c>
      <c r="K56" s="47" t="s">
        <v>672</v>
      </c>
      <c r="L56" s="6" t="s">
        <v>70</v>
      </c>
      <c r="M56" s="6" t="s">
        <v>673</v>
      </c>
      <c r="N56" s="7" t="s">
        <v>674</v>
      </c>
      <c r="O56" s="6" t="s">
        <v>675</v>
      </c>
      <c r="P56" s="6" t="s">
        <v>48</v>
      </c>
      <c r="Q56" s="47" t="s">
        <v>676</v>
      </c>
      <c r="R56" s="47" t="s">
        <v>350</v>
      </c>
      <c r="S56" s="6" t="s">
        <v>380</v>
      </c>
      <c r="T56" s="48" t="s">
        <v>135</v>
      </c>
      <c r="U56" s="48" t="s">
        <v>665</v>
      </c>
      <c r="V56" s="49" t="s">
        <v>379</v>
      </c>
      <c r="W56" s="49" t="s">
        <v>677</v>
      </c>
      <c r="X56" s="42"/>
      <c r="Y56" s="49" t="s">
        <v>678</v>
      </c>
      <c r="Z56" s="23"/>
      <c r="AA56" s="23"/>
      <c r="AB56" s="9" t="s">
        <v>679</v>
      </c>
      <c r="AC56" s="6" t="s">
        <v>243</v>
      </c>
      <c r="AD56" s="6" t="s">
        <v>60</v>
      </c>
      <c r="AE56" s="6" t="s">
        <v>370</v>
      </c>
      <c r="AF56" s="6">
        <v>20</v>
      </c>
      <c r="AG56" s="6" t="s">
        <v>279</v>
      </c>
      <c r="AH56" s="50" t="s">
        <v>60</v>
      </c>
      <c r="AI56" s="4"/>
    </row>
    <row r="57" spans="1:36" ht="103.5" customHeight="1" x14ac:dyDescent="0.25">
      <c r="A57" s="7">
        <v>47</v>
      </c>
      <c r="B57" s="6" t="s">
        <v>371</v>
      </c>
      <c r="C57" s="7" t="s">
        <v>680</v>
      </c>
      <c r="D57" s="7">
        <v>36</v>
      </c>
      <c r="E57" s="46" t="s">
        <v>681</v>
      </c>
      <c r="F57" s="8" t="s">
        <v>39</v>
      </c>
      <c r="G57" s="6" t="s">
        <v>218</v>
      </c>
      <c r="H57" s="6" t="s">
        <v>66</v>
      </c>
      <c r="I57" s="47" t="s">
        <v>647</v>
      </c>
      <c r="J57" s="6" t="s">
        <v>682</v>
      </c>
      <c r="K57" s="47" t="s">
        <v>683</v>
      </c>
      <c r="L57" s="6" t="s">
        <v>684</v>
      </c>
      <c r="M57" s="6" t="s">
        <v>234</v>
      </c>
      <c r="N57" s="7" t="s">
        <v>685</v>
      </c>
      <c r="O57" s="6" t="s">
        <v>686</v>
      </c>
      <c r="P57" s="6" t="s">
        <v>74</v>
      </c>
      <c r="Q57" s="47" t="s">
        <v>687</v>
      </c>
      <c r="R57" s="47" t="s">
        <v>688</v>
      </c>
      <c r="S57" s="6"/>
      <c r="T57" s="48" t="s">
        <v>135</v>
      </c>
      <c r="U57" s="48" t="s">
        <v>689</v>
      </c>
      <c r="V57" s="49" t="s">
        <v>470</v>
      </c>
      <c r="W57" s="49" t="s">
        <v>435</v>
      </c>
      <c r="X57" s="42"/>
      <c r="Y57" s="49" t="s">
        <v>238</v>
      </c>
      <c r="Z57" s="23"/>
      <c r="AA57" s="23"/>
      <c r="AB57" s="9" t="s">
        <v>382</v>
      </c>
      <c r="AC57" s="6" t="s">
        <v>59</v>
      </c>
      <c r="AD57" s="6" t="s">
        <v>60</v>
      </c>
      <c r="AE57" s="6" t="s">
        <v>690</v>
      </c>
      <c r="AF57" s="6">
        <v>19</v>
      </c>
      <c r="AG57" s="6" t="s">
        <v>229</v>
      </c>
      <c r="AH57" s="50" t="s">
        <v>60</v>
      </c>
      <c r="AI57" s="4"/>
    </row>
    <row r="58" spans="1:36" ht="122.25" customHeight="1" x14ac:dyDescent="0.25">
      <c r="A58" s="7">
        <v>48</v>
      </c>
      <c r="B58" s="6" t="s">
        <v>143</v>
      </c>
      <c r="C58" s="7" t="s">
        <v>691</v>
      </c>
      <c r="D58" s="7">
        <v>27</v>
      </c>
      <c r="E58" s="46" t="s">
        <v>692</v>
      </c>
      <c r="F58" s="8" t="s">
        <v>39</v>
      </c>
      <c r="G58" s="6" t="s">
        <v>462</v>
      </c>
      <c r="H58" s="6" t="s">
        <v>66</v>
      </c>
      <c r="I58" s="47" t="s">
        <v>693</v>
      </c>
      <c r="J58" s="6" t="s">
        <v>252</v>
      </c>
      <c r="K58" s="47" t="s">
        <v>694</v>
      </c>
      <c r="L58" s="6" t="s">
        <v>695</v>
      </c>
      <c r="M58" s="6" t="s">
        <v>269</v>
      </c>
      <c r="N58" s="7" t="s">
        <v>696</v>
      </c>
      <c r="O58" s="6" t="s">
        <v>697</v>
      </c>
      <c r="P58" s="6" t="s">
        <v>74</v>
      </c>
      <c r="Q58" s="47" t="s">
        <v>116</v>
      </c>
      <c r="R58" s="47" t="s">
        <v>698</v>
      </c>
      <c r="S58" s="6"/>
      <c r="T58" s="48" t="s">
        <v>135</v>
      </c>
      <c r="U58" s="48" t="s">
        <v>641</v>
      </c>
      <c r="V58" s="49" t="s">
        <v>699</v>
      </c>
      <c r="W58" s="49" t="s">
        <v>225</v>
      </c>
      <c r="X58" s="42"/>
      <c r="Y58" s="49" t="s">
        <v>700</v>
      </c>
      <c r="Z58" s="23"/>
      <c r="AA58" s="23"/>
      <c r="AB58" s="9" t="s">
        <v>679</v>
      </c>
      <c r="AC58" s="6" t="s">
        <v>243</v>
      </c>
      <c r="AD58" s="6" t="s">
        <v>60</v>
      </c>
      <c r="AE58" s="6" t="s">
        <v>60</v>
      </c>
      <c r="AF58" s="6">
        <v>22</v>
      </c>
      <c r="AG58" s="6" t="s">
        <v>279</v>
      </c>
      <c r="AH58" s="50" t="s">
        <v>60</v>
      </c>
      <c r="AI58" s="4"/>
    </row>
    <row r="59" spans="1:36" ht="15.6" x14ac:dyDescent="0.25">
      <c r="A59" s="141">
        <v>45231</v>
      </c>
      <c r="B59" s="141"/>
      <c r="C59" s="16"/>
      <c r="D59" s="17"/>
      <c r="E59" s="18"/>
      <c r="F59" s="17"/>
      <c r="G59" s="17"/>
      <c r="H59" s="17"/>
      <c r="I59" s="17"/>
      <c r="J59" s="16"/>
      <c r="K59" s="17"/>
      <c r="L59" s="16"/>
      <c r="M59" s="16"/>
      <c r="N59" s="17"/>
      <c r="O59" s="17"/>
      <c r="P59" s="17"/>
      <c r="Q59" s="17"/>
      <c r="R59" s="17"/>
      <c r="S59" s="17"/>
      <c r="T59" s="19"/>
      <c r="U59" s="16"/>
      <c r="V59" s="17"/>
      <c r="W59" s="17"/>
      <c r="X59" s="17"/>
      <c r="Y59" s="16"/>
      <c r="Z59" s="17"/>
      <c r="AA59" s="20"/>
      <c r="AB59" s="9"/>
      <c r="AC59" s="6"/>
      <c r="AD59" s="6"/>
      <c r="AE59" s="6"/>
      <c r="AF59" s="6"/>
      <c r="AG59" s="21"/>
      <c r="AH59" s="1"/>
      <c r="AI59" s="4"/>
    </row>
    <row r="60" spans="1:36" ht="87" customHeight="1" x14ac:dyDescent="0.25">
      <c r="A60" s="7">
        <v>49</v>
      </c>
      <c r="B60" s="6" t="s">
        <v>174</v>
      </c>
      <c r="C60" s="7" t="s">
        <v>701</v>
      </c>
      <c r="D60" s="7">
        <v>37</v>
      </c>
      <c r="E60" s="46" t="s">
        <v>702</v>
      </c>
      <c r="F60" s="8" t="s">
        <v>89</v>
      </c>
      <c r="G60" s="6" t="s">
        <v>703</v>
      </c>
      <c r="H60" s="6" t="s">
        <v>66</v>
      </c>
      <c r="I60" s="47" t="s">
        <v>704</v>
      </c>
      <c r="J60" s="6" t="s">
        <v>111</v>
      </c>
      <c r="K60" s="47" t="s">
        <v>705</v>
      </c>
      <c r="L60" s="6" t="s">
        <v>70</v>
      </c>
      <c r="M60" s="6" t="s">
        <v>706</v>
      </c>
      <c r="N60" s="7" t="s">
        <v>707</v>
      </c>
      <c r="O60" s="6" t="s">
        <v>47</v>
      </c>
      <c r="P60" s="6" t="s">
        <v>48</v>
      </c>
      <c r="Q60" s="47" t="s">
        <v>353</v>
      </c>
      <c r="R60" s="47" t="s">
        <v>708</v>
      </c>
      <c r="S60" s="6" t="s">
        <v>77</v>
      </c>
      <c r="T60" s="48" t="s">
        <v>135</v>
      </c>
      <c r="U60" s="48" t="s">
        <v>456</v>
      </c>
      <c r="V60" s="49" t="s">
        <v>146</v>
      </c>
      <c r="W60" s="49" t="s">
        <v>709</v>
      </c>
      <c r="X60" s="42"/>
      <c r="Y60" s="49" t="s">
        <v>128</v>
      </c>
      <c r="Z60" s="23" t="s">
        <v>223</v>
      </c>
      <c r="AA60" s="23" t="s">
        <v>710</v>
      </c>
      <c r="AB60" s="9" t="s">
        <v>278</v>
      </c>
      <c r="AC60" s="6" t="s">
        <v>140</v>
      </c>
      <c r="AD60" s="6" t="s">
        <v>60</v>
      </c>
      <c r="AE60" s="6" t="s">
        <v>60</v>
      </c>
      <c r="AF60" s="6">
        <v>22.17</v>
      </c>
      <c r="AG60" s="6" t="s">
        <v>279</v>
      </c>
      <c r="AH60" s="50" t="s">
        <v>141</v>
      </c>
      <c r="AI60" s="4"/>
    </row>
    <row r="61" spans="1:36" ht="117.75" customHeight="1" x14ac:dyDescent="0.25">
      <c r="A61" s="7">
        <v>50</v>
      </c>
      <c r="B61" s="6" t="s">
        <v>711</v>
      </c>
      <c r="C61" s="7" t="s">
        <v>712</v>
      </c>
      <c r="D61" s="7">
        <v>25</v>
      </c>
      <c r="E61" s="46" t="s">
        <v>713</v>
      </c>
      <c r="F61" s="8" t="s">
        <v>89</v>
      </c>
      <c r="G61" s="6"/>
      <c r="H61" s="6" t="s">
        <v>66</v>
      </c>
      <c r="I61" s="47" t="s">
        <v>714</v>
      </c>
      <c r="J61" s="6" t="s">
        <v>70</v>
      </c>
      <c r="K61" s="47" t="s">
        <v>715</v>
      </c>
      <c r="L61" s="6" t="s">
        <v>70</v>
      </c>
      <c r="M61" s="6" t="s">
        <v>178</v>
      </c>
      <c r="N61" s="7" t="s">
        <v>716</v>
      </c>
      <c r="O61" s="6" t="s">
        <v>247</v>
      </c>
      <c r="P61" s="6" t="s">
        <v>48</v>
      </c>
      <c r="Q61" s="47" t="s">
        <v>717</v>
      </c>
      <c r="R61" s="47" t="s">
        <v>718</v>
      </c>
      <c r="S61" s="6" t="s">
        <v>77</v>
      </c>
      <c r="T61" s="48" t="s">
        <v>135</v>
      </c>
      <c r="U61" s="48" t="s">
        <v>333</v>
      </c>
      <c r="V61" s="49" t="s">
        <v>469</v>
      </c>
      <c r="W61" s="49" t="s">
        <v>367</v>
      </c>
      <c r="X61" s="42"/>
      <c r="Y61" s="49" t="s">
        <v>719</v>
      </c>
      <c r="Z61" s="23" t="s">
        <v>367</v>
      </c>
      <c r="AA61" s="23" t="s">
        <v>720</v>
      </c>
      <c r="AB61" s="9" t="s">
        <v>721</v>
      </c>
      <c r="AC61" s="6" t="s">
        <v>59</v>
      </c>
      <c r="AD61" s="6" t="s">
        <v>60</v>
      </c>
      <c r="AE61" s="6" t="s">
        <v>60</v>
      </c>
      <c r="AF61" s="6">
        <v>21</v>
      </c>
      <c r="AG61" s="6" t="s">
        <v>431</v>
      </c>
      <c r="AH61" s="50"/>
      <c r="AI61" s="4"/>
    </row>
    <row r="62" spans="1:36" ht="111.75" customHeight="1" x14ac:dyDescent="0.25">
      <c r="A62" s="7">
        <v>51</v>
      </c>
      <c r="B62" s="6" t="s">
        <v>445</v>
      </c>
      <c r="C62" s="7" t="s">
        <v>722</v>
      </c>
      <c r="D62" s="7">
        <v>35</v>
      </c>
      <c r="E62" s="46" t="s">
        <v>723</v>
      </c>
      <c r="F62" s="8" t="s">
        <v>39</v>
      </c>
      <c r="G62" s="6" t="s">
        <v>91</v>
      </c>
      <c r="H62" s="6" t="s">
        <v>91</v>
      </c>
      <c r="I62" s="47" t="s">
        <v>715</v>
      </c>
      <c r="J62" s="6" t="s">
        <v>724</v>
      </c>
      <c r="K62" s="47" t="s">
        <v>725</v>
      </c>
      <c r="L62" s="6" t="s">
        <v>70</v>
      </c>
      <c r="M62" s="6" t="s">
        <v>45</v>
      </c>
      <c r="N62" s="7" t="s">
        <v>726</v>
      </c>
      <c r="O62" s="6" t="s">
        <v>247</v>
      </c>
      <c r="P62" s="6" t="s">
        <v>48</v>
      </c>
      <c r="Q62" s="47" t="s">
        <v>652</v>
      </c>
      <c r="R62" s="47" t="s">
        <v>727</v>
      </c>
      <c r="S62" s="6" t="s">
        <v>728</v>
      </c>
      <c r="T62" s="48" t="s">
        <v>135</v>
      </c>
      <c r="U62" s="48" t="s">
        <v>729</v>
      </c>
      <c r="V62" s="49" t="s">
        <v>413</v>
      </c>
      <c r="W62" s="49" t="s">
        <v>128</v>
      </c>
      <c r="X62" s="42"/>
      <c r="Y62" s="49" t="s">
        <v>128</v>
      </c>
      <c r="Z62" s="23" t="s">
        <v>730</v>
      </c>
      <c r="AA62" s="23" t="s">
        <v>284</v>
      </c>
      <c r="AB62" s="9" t="s">
        <v>731</v>
      </c>
      <c r="AC62" s="6" t="s">
        <v>172</v>
      </c>
      <c r="AD62" s="6" t="s">
        <v>60</v>
      </c>
      <c r="AE62" s="6" t="s">
        <v>60</v>
      </c>
      <c r="AF62" s="6">
        <v>21.9</v>
      </c>
      <c r="AG62" s="6" t="s">
        <v>431</v>
      </c>
      <c r="AH62" s="50" t="s">
        <v>141</v>
      </c>
      <c r="AI62" s="4"/>
    </row>
    <row r="63" spans="1:36" ht="104.25" customHeight="1" x14ac:dyDescent="0.25">
      <c r="A63" s="7">
        <v>52</v>
      </c>
      <c r="B63" s="6" t="s">
        <v>732</v>
      </c>
      <c r="C63" s="7" t="s">
        <v>733</v>
      </c>
      <c r="D63" s="7">
        <v>26</v>
      </c>
      <c r="E63" s="46" t="s">
        <v>734</v>
      </c>
      <c r="F63" s="8" t="s">
        <v>39</v>
      </c>
      <c r="G63" s="6" t="s">
        <v>91</v>
      </c>
      <c r="H63" s="6" t="s">
        <v>91</v>
      </c>
      <c r="I63" s="47" t="s">
        <v>496</v>
      </c>
      <c r="J63" s="6" t="s">
        <v>449</v>
      </c>
      <c r="K63" s="47" t="s">
        <v>735</v>
      </c>
      <c r="L63" s="6" t="s">
        <v>736</v>
      </c>
      <c r="M63" s="6" t="s">
        <v>737</v>
      </c>
      <c r="N63" s="7" t="s">
        <v>738</v>
      </c>
      <c r="O63" s="6" t="s">
        <v>739</v>
      </c>
      <c r="P63" s="6" t="s">
        <v>48</v>
      </c>
      <c r="Q63" s="47" t="s">
        <v>740</v>
      </c>
      <c r="R63" s="47" t="s">
        <v>741</v>
      </c>
      <c r="S63" s="6" t="s">
        <v>742</v>
      </c>
      <c r="T63" s="48" t="s">
        <v>135</v>
      </c>
      <c r="U63" s="48" t="s">
        <v>743</v>
      </c>
      <c r="V63" s="49" t="s">
        <v>535</v>
      </c>
      <c r="W63" s="49" t="s">
        <v>180</v>
      </c>
      <c r="X63" s="42"/>
      <c r="Y63" s="49" t="s">
        <v>640</v>
      </c>
      <c r="Z63" s="23" t="s">
        <v>744</v>
      </c>
      <c r="AA63" s="23" t="s">
        <v>745</v>
      </c>
      <c r="AB63" s="9" t="s">
        <v>278</v>
      </c>
      <c r="AC63" s="6" t="s">
        <v>746</v>
      </c>
      <c r="AD63" s="6" t="s">
        <v>60</v>
      </c>
      <c r="AE63" s="6" t="s">
        <v>60</v>
      </c>
      <c r="AF63" s="6">
        <v>20.100000000000001</v>
      </c>
      <c r="AG63" s="6" t="s">
        <v>215</v>
      </c>
      <c r="AH63" s="50" t="s">
        <v>141</v>
      </c>
    </row>
    <row r="64" spans="1:36" ht="113.25" customHeight="1" x14ac:dyDescent="0.25">
      <c r="A64" s="7">
        <v>53</v>
      </c>
      <c r="B64" s="6" t="s">
        <v>747</v>
      </c>
      <c r="C64" s="7" t="s">
        <v>748</v>
      </c>
      <c r="D64" s="7">
        <v>29</v>
      </c>
      <c r="E64" s="46" t="s">
        <v>749</v>
      </c>
      <c r="F64" s="8" t="s">
        <v>89</v>
      </c>
      <c r="G64" s="6" t="s">
        <v>231</v>
      </c>
      <c r="H64" s="6" t="s">
        <v>66</v>
      </c>
      <c r="I64" s="47" t="s">
        <v>750</v>
      </c>
      <c r="J64" s="6" t="s">
        <v>751</v>
      </c>
      <c r="K64" s="47" t="s">
        <v>752</v>
      </c>
      <c r="L64" s="6" t="s">
        <v>751</v>
      </c>
      <c r="M64" s="6" t="s">
        <v>753</v>
      </c>
      <c r="N64" s="7" t="s">
        <v>754</v>
      </c>
      <c r="O64" s="6" t="s">
        <v>115</v>
      </c>
      <c r="P64" s="6" t="s">
        <v>48</v>
      </c>
      <c r="Q64" s="47" t="s">
        <v>277</v>
      </c>
      <c r="R64" s="47" t="s">
        <v>755</v>
      </c>
      <c r="S64" s="6" t="s">
        <v>77</v>
      </c>
      <c r="T64" s="48" t="s">
        <v>135</v>
      </c>
      <c r="U64" s="48" t="s">
        <v>291</v>
      </c>
      <c r="V64" s="49" t="s">
        <v>756</v>
      </c>
      <c r="W64" s="49" t="s">
        <v>757</v>
      </c>
      <c r="X64" s="42"/>
      <c r="Y64" s="49"/>
      <c r="Z64" s="23" t="s">
        <v>705</v>
      </c>
      <c r="AA64" s="23"/>
      <c r="AB64" s="9" t="s">
        <v>758</v>
      </c>
      <c r="AC64" s="6" t="s">
        <v>59</v>
      </c>
      <c r="AD64" s="6" t="s">
        <v>60</v>
      </c>
      <c r="AE64" s="6" t="s">
        <v>60</v>
      </c>
      <c r="AF64" s="6">
        <v>19</v>
      </c>
      <c r="AG64" s="6" t="s">
        <v>263</v>
      </c>
      <c r="AH64" s="50"/>
    </row>
    <row r="65" spans="1:35" ht="15.6" x14ac:dyDescent="0.25">
      <c r="A65" s="141">
        <v>45261</v>
      </c>
      <c r="B65" s="141"/>
      <c r="C65" s="16"/>
      <c r="D65" s="17"/>
      <c r="E65" s="18"/>
      <c r="F65" s="17"/>
      <c r="G65" s="17"/>
      <c r="H65" s="17"/>
      <c r="I65" s="17"/>
      <c r="J65" s="16"/>
      <c r="K65" s="17"/>
      <c r="L65" s="16"/>
      <c r="M65" s="16"/>
      <c r="N65" s="17"/>
      <c r="O65" s="17"/>
      <c r="P65" s="17"/>
      <c r="Q65" s="17"/>
      <c r="R65" s="17"/>
      <c r="S65" s="17"/>
      <c r="T65" s="19"/>
      <c r="U65" s="16"/>
      <c r="V65" s="17"/>
      <c r="W65" s="17"/>
      <c r="X65" s="17"/>
      <c r="Y65" s="16"/>
      <c r="Z65" s="17"/>
      <c r="AA65" s="20"/>
      <c r="AB65" s="9"/>
      <c r="AC65" s="6"/>
      <c r="AD65" s="6"/>
      <c r="AE65" s="6"/>
      <c r="AF65" s="6"/>
      <c r="AG65" s="21"/>
      <c r="AH65" s="1"/>
    </row>
    <row r="66" spans="1:35" ht="108" customHeight="1" x14ac:dyDescent="0.25">
      <c r="A66" s="7">
        <v>54</v>
      </c>
      <c r="B66" s="6" t="s">
        <v>759</v>
      </c>
      <c r="C66" s="7" t="s">
        <v>760</v>
      </c>
      <c r="D66" s="7">
        <v>34</v>
      </c>
      <c r="E66" s="46" t="s">
        <v>761</v>
      </c>
      <c r="F66" s="8" t="s">
        <v>89</v>
      </c>
      <c r="G66" s="6"/>
      <c r="H66" s="6" t="s">
        <v>66</v>
      </c>
      <c r="I66" s="47" t="s">
        <v>762</v>
      </c>
      <c r="J66" s="6" t="s">
        <v>70</v>
      </c>
      <c r="K66" s="47" t="s">
        <v>335</v>
      </c>
      <c r="L66" s="6" t="s">
        <v>70</v>
      </c>
      <c r="M66" s="6" t="s">
        <v>763</v>
      </c>
      <c r="N66" s="7" t="s">
        <v>764</v>
      </c>
      <c r="O66" s="6" t="s">
        <v>390</v>
      </c>
      <c r="P66" s="6" t="s">
        <v>48</v>
      </c>
      <c r="Q66" s="47" t="s">
        <v>420</v>
      </c>
      <c r="R66" s="47" t="s">
        <v>765</v>
      </c>
      <c r="S66" s="6">
        <v>2</v>
      </c>
      <c r="T66" s="48" t="s">
        <v>135</v>
      </c>
      <c r="U66" s="48" t="s">
        <v>153</v>
      </c>
      <c r="V66" s="49" t="s">
        <v>766</v>
      </c>
      <c r="W66" s="49" t="s">
        <v>767</v>
      </c>
      <c r="X66" s="42"/>
      <c r="Y66" s="49" t="s">
        <v>565</v>
      </c>
      <c r="Z66" s="23" t="s">
        <v>768</v>
      </c>
      <c r="AA66" s="23" t="s">
        <v>517</v>
      </c>
      <c r="AB66" s="9" t="s">
        <v>382</v>
      </c>
      <c r="AC66" s="6" t="s">
        <v>324</v>
      </c>
      <c r="AD66" s="6" t="s">
        <v>60</v>
      </c>
      <c r="AE66" s="6" t="s">
        <v>60</v>
      </c>
      <c r="AF66" s="6">
        <v>20</v>
      </c>
      <c r="AG66" s="6" t="s">
        <v>399</v>
      </c>
      <c r="AH66" s="50" t="s">
        <v>60</v>
      </c>
      <c r="AI66" s="52" t="s">
        <v>296</v>
      </c>
    </row>
    <row r="67" spans="1:35" ht="83.4" x14ac:dyDescent="0.25">
      <c r="A67" s="7">
        <v>55</v>
      </c>
      <c r="B67" s="6" t="s">
        <v>325</v>
      </c>
      <c r="C67" s="7" t="s">
        <v>769</v>
      </c>
      <c r="D67" s="7">
        <v>33</v>
      </c>
      <c r="E67" s="46" t="s">
        <v>770</v>
      </c>
      <c r="F67" s="8" t="s">
        <v>39</v>
      </c>
      <c r="G67" s="6" t="s">
        <v>231</v>
      </c>
      <c r="H67" s="6" t="s">
        <v>66</v>
      </c>
      <c r="I67" s="47" t="s">
        <v>599</v>
      </c>
      <c r="J67" s="6" t="s">
        <v>771</v>
      </c>
      <c r="K67" s="47" t="s">
        <v>683</v>
      </c>
      <c r="L67" s="6" t="s">
        <v>70</v>
      </c>
      <c r="M67" s="6" t="s">
        <v>772</v>
      </c>
      <c r="N67" s="7" t="s">
        <v>773</v>
      </c>
      <c r="O67" s="6" t="s">
        <v>774</v>
      </c>
      <c r="P67" s="6" t="s">
        <v>48</v>
      </c>
      <c r="Q67" s="47" t="s">
        <v>775</v>
      </c>
      <c r="R67" s="47" t="s">
        <v>396</v>
      </c>
      <c r="S67" s="6">
        <v>1</v>
      </c>
      <c r="T67" s="48" t="s">
        <v>52</v>
      </c>
      <c r="U67" s="48" t="s">
        <v>776</v>
      </c>
      <c r="V67" s="49" t="s">
        <v>640</v>
      </c>
      <c r="W67" s="49" t="s">
        <v>212</v>
      </c>
      <c r="X67" s="42"/>
      <c r="Y67" s="49" t="s">
        <v>212</v>
      </c>
      <c r="Z67" s="23" t="s">
        <v>777</v>
      </c>
      <c r="AA67" s="23" t="s">
        <v>308</v>
      </c>
      <c r="AB67" s="9" t="s">
        <v>382</v>
      </c>
      <c r="AC67" s="6" t="s">
        <v>59</v>
      </c>
      <c r="AD67" s="6" t="s">
        <v>60</v>
      </c>
      <c r="AE67" s="6" t="s">
        <v>60</v>
      </c>
      <c r="AF67" s="6">
        <v>25</v>
      </c>
      <c r="AG67" s="6" t="s">
        <v>215</v>
      </c>
      <c r="AH67" s="50" t="s">
        <v>60</v>
      </c>
      <c r="AI67" s="53" t="s">
        <v>778</v>
      </c>
    </row>
    <row r="68" spans="1:35" ht="100.5" customHeight="1" x14ac:dyDescent="0.25">
      <c r="A68" s="7">
        <v>56</v>
      </c>
      <c r="B68" s="6" t="s">
        <v>779</v>
      </c>
      <c r="C68" s="7" t="s">
        <v>780</v>
      </c>
      <c r="D68" s="7">
        <v>27</v>
      </c>
      <c r="E68" s="46" t="s">
        <v>781</v>
      </c>
      <c r="F68" s="8" t="s">
        <v>39</v>
      </c>
      <c r="G68" s="6"/>
      <c r="H68" s="6" t="s">
        <v>66</v>
      </c>
      <c r="I68" s="47" t="s">
        <v>782</v>
      </c>
      <c r="J68" s="6" t="s">
        <v>783</v>
      </c>
      <c r="K68" s="47" t="s">
        <v>511</v>
      </c>
      <c r="L68" s="6" t="s">
        <v>784</v>
      </c>
      <c r="M68" s="6" t="s">
        <v>785</v>
      </c>
      <c r="N68" s="7" t="s">
        <v>786</v>
      </c>
      <c r="O68" s="6" t="s">
        <v>787</v>
      </c>
      <c r="P68" s="6" t="s">
        <v>74</v>
      </c>
      <c r="Q68" s="47" t="s">
        <v>630</v>
      </c>
      <c r="R68" s="47" t="s">
        <v>403</v>
      </c>
      <c r="S68" s="6">
        <v>2</v>
      </c>
      <c r="T68" s="48" t="s">
        <v>135</v>
      </c>
      <c r="U68" s="48" t="s">
        <v>788</v>
      </c>
      <c r="V68" s="49" t="s">
        <v>240</v>
      </c>
      <c r="W68" s="49" t="s">
        <v>789</v>
      </c>
      <c r="X68" s="42"/>
      <c r="Y68" s="49" t="s">
        <v>790</v>
      </c>
      <c r="Z68" s="23" t="s">
        <v>791</v>
      </c>
      <c r="AA68" s="23" t="s">
        <v>792</v>
      </c>
      <c r="AB68" s="9" t="s">
        <v>338</v>
      </c>
      <c r="AC68" s="6" t="s">
        <v>59</v>
      </c>
      <c r="AD68" s="6" t="s">
        <v>60</v>
      </c>
      <c r="AE68" s="6" t="s">
        <v>60</v>
      </c>
      <c r="AF68" s="6">
        <v>18</v>
      </c>
      <c r="AG68" s="6" t="s">
        <v>173</v>
      </c>
      <c r="AH68" s="50" t="s">
        <v>60</v>
      </c>
      <c r="AI68" s="53" t="s">
        <v>793</v>
      </c>
    </row>
    <row r="69" spans="1:35" ht="96" customHeight="1" x14ac:dyDescent="0.25">
      <c r="A69" s="7">
        <v>57</v>
      </c>
      <c r="B69" s="6" t="s">
        <v>794</v>
      </c>
      <c r="C69" s="7" t="s">
        <v>795</v>
      </c>
      <c r="D69" s="7">
        <v>30</v>
      </c>
      <c r="E69" s="46" t="s">
        <v>796</v>
      </c>
      <c r="F69" s="8" t="s">
        <v>39</v>
      </c>
      <c r="G69" s="6" t="s">
        <v>462</v>
      </c>
      <c r="H69" s="6" t="s">
        <v>66</v>
      </c>
      <c r="I69" s="47" t="s">
        <v>661</v>
      </c>
      <c r="J69" s="6" t="s">
        <v>797</v>
      </c>
      <c r="K69" s="47" t="s">
        <v>798</v>
      </c>
      <c r="L69" s="6" t="s">
        <v>799</v>
      </c>
      <c r="M69" s="6" t="s">
        <v>71</v>
      </c>
      <c r="N69" s="7" t="s">
        <v>480</v>
      </c>
      <c r="O69" s="6" t="s">
        <v>800</v>
      </c>
      <c r="P69" s="6" t="s">
        <v>48</v>
      </c>
      <c r="Q69" s="47" t="s">
        <v>801</v>
      </c>
      <c r="R69" s="47" t="s">
        <v>802</v>
      </c>
      <c r="S69" s="6" t="s">
        <v>650</v>
      </c>
      <c r="T69" s="48" t="s">
        <v>135</v>
      </c>
      <c r="U69" s="48" t="s">
        <v>803</v>
      </c>
      <c r="V69" s="49" t="s">
        <v>123</v>
      </c>
      <c r="W69" s="49" t="s">
        <v>617</v>
      </c>
      <c r="X69" s="42"/>
      <c r="Y69" s="49" t="s">
        <v>396</v>
      </c>
      <c r="Z69" s="23" t="s">
        <v>804</v>
      </c>
      <c r="AA69" s="23" t="s">
        <v>730</v>
      </c>
      <c r="AB69" s="9" t="s">
        <v>323</v>
      </c>
      <c r="AC69" s="6" t="s">
        <v>746</v>
      </c>
      <c r="AD69" s="6" t="s">
        <v>60</v>
      </c>
      <c r="AE69" s="6" t="s">
        <v>60</v>
      </c>
      <c r="AF69" s="6">
        <v>18</v>
      </c>
      <c r="AG69" s="6" t="s">
        <v>805</v>
      </c>
      <c r="AH69" s="50" t="s">
        <v>60</v>
      </c>
      <c r="AI69" s="54" t="s">
        <v>793</v>
      </c>
    </row>
    <row r="70" spans="1:35" ht="157.19999999999999" x14ac:dyDescent="0.25">
      <c r="A70" s="7">
        <v>58</v>
      </c>
      <c r="B70" s="6" t="s">
        <v>806</v>
      </c>
      <c r="C70" s="7" t="s">
        <v>807</v>
      </c>
      <c r="D70" s="7">
        <v>29</v>
      </c>
      <c r="E70" s="46" t="s">
        <v>808</v>
      </c>
      <c r="F70" s="8" t="s">
        <v>39</v>
      </c>
      <c r="G70" s="6" t="s">
        <v>462</v>
      </c>
      <c r="H70" s="6" t="s">
        <v>66</v>
      </c>
      <c r="I70" s="47" t="s">
        <v>335</v>
      </c>
      <c r="J70" s="6" t="s">
        <v>477</v>
      </c>
      <c r="K70" s="47" t="s">
        <v>809</v>
      </c>
      <c r="L70" s="6" t="s">
        <v>314</v>
      </c>
      <c r="M70" s="6" t="s">
        <v>810</v>
      </c>
      <c r="N70" s="7" t="s">
        <v>811</v>
      </c>
      <c r="O70" s="6" t="s">
        <v>47</v>
      </c>
      <c r="P70" s="6" t="s">
        <v>74</v>
      </c>
      <c r="Q70" s="47" t="s">
        <v>687</v>
      </c>
      <c r="R70" s="47" t="s">
        <v>688</v>
      </c>
      <c r="S70" s="6" t="s">
        <v>347</v>
      </c>
      <c r="T70" s="48" t="s">
        <v>135</v>
      </c>
      <c r="U70" s="48" t="s">
        <v>428</v>
      </c>
      <c r="V70" s="49" t="s">
        <v>56</v>
      </c>
      <c r="W70" s="49" t="s">
        <v>56</v>
      </c>
      <c r="X70" s="42" t="s">
        <v>812</v>
      </c>
      <c r="Y70" s="49" t="s">
        <v>470</v>
      </c>
      <c r="Z70" s="23" t="s">
        <v>238</v>
      </c>
      <c r="AA70" s="23" t="s">
        <v>660</v>
      </c>
      <c r="AB70" s="9" t="s">
        <v>813</v>
      </c>
      <c r="AC70" s="6" t="s">
        <v>655</v>
      </c>
      <c r="AD70" s="6" t="s">
        <v>60</v>
      </c>
      <c r="AE70" s="6" t="s">
        <v>60</v>
      </c>
      <c r="AF70" s="6" t="s">
        <v>60</v>
      </c>
      <c r="AG70" s="6" t="s">
        <v>431</v>
      </c>
      <c r="AH70" s="50" t="s">
        <v>60</v>
      </c>
      <c r="AI70" s="53" t="s">
        <v>248</v>
      </c>
    </row>
    <row r="71" spans="1:35" ht="15.6" x14ac:dyDescent="0.25">
      <c r="A71" s="141">
        <v>45292</v>
      </c>
      <c r="B71" s="141"/>
      <c r="C71" s="16"/>
      <c r="D71" s="17"/>
      <c r="E71" s="18"/>
      <c r="F71" s="17"/>
      <c r="G71" s="17"/>
      <c r="H71" s="17"/>
      <c r="I71" s="17"/>
      <c r="J71" s="16"/>
      <c r="K71" s="17"/>
      <c r="L71" s="16"/>
      <c r="M71" s="16"/>
      <c r="N71" s="17"/>
      <c r="O71" s="17"/>
      <c r="P71" s="17"/>
      <c r="Q71" s="17"/>
      <c r="R71" s="17"/>
      <c r="S71" s="17"/>
      <c r="T71" s="19"/>
      <c r="U71" s="16"/>
      <c r="V71" s="17"/>
      <c r="W71" s="17"/>
      <c r="X71" s="17"/>
      <c r="Y71" s="16"/>
      <c r="Z71" s="17"/>
      <c r="AA71" s="20"/>
      <c r="AB71" s="9"/>
      <c r="AC71" s="6"/>
      <c r="AD71" s="6"/>
      <c r="AE71" s="6"/>
      <c r="AF71" s="6"/>
      <c r="AG71" s="21"/>
      <c r="AH71" s="1"/>
    </row>
    <row r="72" spans="1:35" ht="124.8" x14ac:dyDescent="0.25">
      <c r="A72" s="7">
        <v>59</v>
      </c>
      <c r="B72" s="6" t="s">
        <v>814</v>
      </c>
      <c r="C72" s="7" t="s">
        <v>815</v>
      </c>
      <c r="D72" s="7">
        <v>37</v>
      </c>
      <c r="E72" s="46" t="s">
        <v>816</v>
      </c>
      <c r="F72" s="8" t="s">
        <v>89</v>
      </c>
      <c r="G72" s="6" t="s">
        <v>218</v>
      </c>
      <c r="H72" s="6" t="s">
        <v>66</v>
      </c>
      <c r="I72" s="47" t="s">
        <v>817</v>
      </c>
      <c r="J72" s="6" t="s">
        <v>70</v>
      </c>
      <c r="K72" s="47" t="s">
        <v>818</v>
      </c>
      <c r="L72" s="6" t="s">
        <v>70</v>
      </c>
      <c r="M72" s="6" t="s">
        <v>819</v>
      </c>
      <c r="N72" s="7" t="s">
        <v>820</v>
      </c>
      <c r="O72" s="6" t="s">
        <v>821</v>
      </c>
      <c r="P72" s="6" t="s">
        <v>48</v>
      </c>
      <c r="Q72" s="47" t="s">
        <v>181</v>
      </c>
      <c r="R72" s="47" t="s">
        <v>822</v>
      </c>
      <c r="S72" s="6" t="s">
        <v>823</v>
      </c>
      <c r="T72" s="48" t="s">
        <v>135</v>
      </c>
      <c r="U72" s="48" t="s">
        <v>348</v>
      </c>
      <c r="V72" s="49" t="s">
        <v>672</v>
      </c>
      <c r="W72" s="49" t="s">
        <v>824</v>
      </c>
      <c r="X72" s="42"/>
      <c r="Y72" s="49" t="s">
        <v>825</v>
      </c>
      <c r="Z72" s="23"/>
      <c r="AA72" s="23"/>
      <c r="AB72" s="9" t="s">
        <v>338</v>
      </c>
      <c r="AC72" s="6" t="s">
        <v>59</v>
      </c>
      <c r="AD72" s="6" t="s">
        <v>60</v>
      </c>
      <c r="AE72" s="6" t="s">
        <v>826</v>
      </c>
      <c r="AF72" s="6">
        <v>18.3</v>
      </c>
      <c r="AG72" s="6" t="s">
        <v>827</v>
      </c>
      <c r="AH72" s="50" t="s">
        <v>60</v>
      </c>
    </row>
    <row r="73" spans="1:35" ht="111" customHeight="1" x14ac:dyDescent="0.25">
      <c r="A73" s="7">
        <v>60</v>
      </c>
      <c r="B73" s="6" t="s">
        <v>142</v>
      </c>
      <c r="C73" s="7" t="s">
        <v>828</v>
      </c>
      <c r="D73" s="7">
        <v>28</v>
      </c>
      <c r="E73" s="46" t="s">
        <v>829</v>
      </c>
      <c r="F73" s="8" t="s">
        <v>89</v>
      </c>
      <c r="G73" s="6" t="s">
        <v>830</v>
      </c>
      <c r="H73" s="6" t="s">
        <v>66</v>
      </c>
      <c r="I73" s="47" t="s">
        <v>831</v>
      </c>
      <c r="J73" s="6" t="s">
        <v>477</v>
      </c>
      <c r="K73" s="47" t="s">
        <v>832</v>
      </c>
      <c r="L73" s="6" t="s">
        <v>314</v>
      </c>
      <c r="M73" s="6" t="s">
        <v>833</v>
      </c>
      <c r="N73" s="7" t="s">
        <v>834</v>
      </c>
      <c r="O73" s="6" t="s">
        <v>835</v>
      </c>
      <c r="P73" s="6" t="s">
        <v>48</v>
      </c>
      <c r="Q73" s="47" t="s">
        <v>427</v>
      </c>
      <c r="R73" s="47" t="s">
        <v>836</v>
      </c>
      <c r="S73" s="6" t="s">
        <v>77</v>
      </c>
      <c r="T73" s="48" t="s">
        <v>135</v>
      </c>
      <c r="U73" s="48" t="s">
        <v>837</v>
      </c>
      <c r="V73" s="49" t="s">
        <v>403</v>
      </c>
      <c r="W73" s="49" t="s">
        <v>838</v>
      </c>
      <c r="X73" s="42" t="s">
        <v>56</v>
      </c>
      <c r="Y73" s="49" t="s">
        <v>387</v>
      </c>
      <c r="Z73" s="23"/>
      <c r="AA73" s="23"/>
      <c r="AB73" s="9" t="s">
        <v>278</v>
      </c>
      <c r="AC73" s="6" t="s">
        <v>140</v>
      </c>
      <c r="AD73" s="6" t="s">
        <v>60</v>
      </c>
      <c r="AE73" s="6" t="s">
        <v>839</v>
      </c>
      <c r="AF73" s="6">
        <v>24</v>
      </c>
      <c r="AG73" s="6" t="s">
        <v>263</v>
      </c>
      <c r="AH73" s="50" t="s">
        <v>60</v>
      </c>
    </row>
    <row r="74" spans="1:35" ht="105" customHeight="1" x14ac:dyDescent="0.25">
      <c r="A74" s="7">
        <v>61</v>
      </c>
      <c r="B74" s="6" t="s">
        <v>371</v>
      </c>
      <c r="C74" s="7" t="s">
        <v>840</v>
      </c>
      <c r="D74" s="7">
        <v>21</v>
      </c>
      <c r="E74" s="46" t="s">
        <v>841</v>
      </c>
      <c r="F74" s="8" t="s">
        <v>89</v>
      </c>
      <c r="G74" s="6" t="s">
        <v>159</v>
      </c>
      <c r="H74" s="6" t="s">
        <v>66</v>
      </c>
      <c r="I74" s="47" t="s">
        <v>842</v>
      </c>
      <c r="J74" s="6" t="s">
        <v>477</v>
      </c>
      <c r="K74" s="47" t="s">
        <v>843</v>
      </c>
      <c r="L74" s="6" t="s">
        <v>314</v>
      </c>
      <c r="M74" s="6" t="s">
        <v>844</v>
      </c>
      <c r="N74" s="7" t="s">
        <v>845</v>
      </c>
      <c r="O74" s="6" t="s">
        <v>390</v>
      </c>
      <c r="P74" s="6" t="s">
        <v>74</v>
      </c>
      <c r="Q74" s="47" t="s">
        <v>846</v>
      </c>
      <c r="R74" s="47" t="s">
        <v>847</v>
      </c>
      <c r="S74" s="6" t="s">
        <v>848</v>
      </c>
      <c r="T74" s="48" t="s">
        <v>135</v>
      </c>
      <c r="U74" s="48" t="s">
        <v>456</v>
      </c>
      <c r="V74" s="49" t="s">
        <v>56</v>
      </c>
      <c r="W74" s="49" t="s">
        <v>56</v>
      </c>
      <c r="X74" s="42" t="s">
        <v>647</v>
      </c>
      <c r="Y74" s="49" t="s">
        <v>849</v>
      </c>
      <c r="Z74" s="23"/>
      <c r="AA74" s="23"/>
      <c r="AB74" s="9" t="s">
        <v>460</v>
      </c>
      <c r="AC74" s="6" t="s">
        <v>59</v>
      </c>
      <c r="AD74" s="6" t="s">
        <v>60</v>
      </c>
      <c r="AE74" s="6" t="s">
        <v>850</v>
      </c>
      <c r="AF74" s="6">
        <v>19</v>
      </c>
      <c r="AG74" s="6" t="s">
        <v>263</v>
      </c>
      <c r="AH74" s="50" t="s">
        <v>60</v>
      </c>
    </row>
    <row r="75" spans="1:35" ht="114" customHeight="1" x14ac:dyDescent="0.25">
      <c r="A75" s="7">
        <v>62</v>
      </c>
      <c r="B75" s="6" t="s">
        <v>174</v>
      </c>
      <c r="C75" s="7" t="s">
        <v>851</v>
      </c>
      <c r="D75" s="7">
        <v>22</v>
      </c>
      <c r="E75" s="46" t="s">
        <v>852</v>
      </c>
      <c r="F75" s="8" t="s">
        <v>89</v>
      </c>
      <c r="G75" s="6" t="s">
        <v>853</v>
      </c>
      <c r="H75" s="6" t="s">
        <v>66</v>
      </c>
      <c r="I75" s="47" t="s">
        <v>688</v>
      </c>
      <c r="J75" s="6" t="s">
        <v>477</v>
      </c>
      <c r="K75" s="47" t="s">
        <v>854</v>
      </c>
      <c r="L75" s="6" t="s">
        <v>314</v>
      </c>
      <c r="M75" s="6" t="s">
        <v>855</v>
      </c>
      <c r="N75" s="7" t="s">
        <v>856</v>
      </c>
      <c r="O75" s="6" t="s">
        <v>390</v>
      </c>
      <c r="P75" s="6" t="s">
        <v>48</v>
      </c>
      <c r="Q75" s="47" t="s">
        <v>857</v>
      </c>
      <c r="R75" s="47" t="s">
        <v>858</v>
      </c>
      <c r="S75" s="6" t="s">
        <v>859</v>
      </c>
      <c r="T75" s="48" t="s">
        <v>135</v>
      </c>
      <c r="U75" s="48" t="s">
        <v>860</v>
      </c>
      <c r="V75" s="49" t="s">
        <v>605</v>
      </c>
      <c r="W75" s="49" t="s">
        <v>582</v>
      </c>
      <c r="X75" s="42"/>
      <c r="Y75" s="49" t="s">
        <v>117</v>
      </c>
      <c r="Z75" s="23" t="s">
        <v>666</v>
      </c>
      <c r="AA75" s="23" t="s">
        <v>861</v>
      </c>
      <c r="AB75" s="9" t="s">
        <v>338</v>
      </c>
      <c r="AC75" s="6" t="s">
        <v>59</v>
      </c>
      <c r="AD75" s="6" t="s">
        <v>60</v>
      </c>
      <c r="AE75" s="6" t="s">
        <v>859</v>
      </c>
      <c r="AF75" s="6">
        <v>20.100000000000001</v>
      </c>
      <c r="AG75" s="6" t="s">
        <v>173</v>
      </c>
      <c r="AH75" s="50" t="s">
        <v>60</v>
      </c>
    </row>
    <row r="76" spans="1:35" ht="111.75" customHeight="1" x14ac:dyDescent="0.25">
      <c r="A76" s="7">
        <v>63</v>
      </c>
      <c r="B76" s="6" t="s">
        <v>325</v>
      </c>
      <c r="C76" s="7" t="s">
        <v>862</v>
      </c>
      <c r="D76" s="7">
        <v>36</v>
      </c>
      <c r="E76" s="46" t="s">
        <v>863</v>
      </c>
      <c r="F76" s="8" t="s">
        <v>39</v>
      </c>
      <c r="G76" s="6" t="s">
        <v>231</v>
      </c>
      <c r="H76" s="6" t="s">
        <v>66</v>
      </c>
      <c r="I76" s="47" t="s">
        <v>688</v>
      </c>
      <c r="J76" s="6" t="s">
        <v>70</v>
      </c>
      <c r="K76" s="47" t="s">
        <v>818</v>
      </c>
      <c r="L76" s="6" t="s">
        <v>70</v>
      </c>
      <c r="M76" s="6" t="s">
        <v>864</v>
      </c>
      <c r="N76" s="7" t="s">
        <v>865</v>
      </c>
      <c r="O76" s="6" t="s">
        <v>866</v>
      </c>
      <c r="P76" s="6" t="s">
        <v>48</v>
      </c>
      <c r="Q76" s="47" t="s">
        <v>867</v>
      </c>
      <c r="R76" s="47" t="s">
        <v>868</v>
      </c>
      <c r="S76" s="6" t="s">
        <v>77</v>
      </c>
      <c r="T76" s="48" t="s">
        <v>52</v>
      </c>
      <c r="U76" s="48"/>
      <c r="V76" s="49" t="s">
        <v>838</v>
      </c>
      <c r="W76" s="49" t="s">
        <v>869</v>
      </c>
      <c r="X76" s="42"/>
      <c r="Y76" s="49" t="s">
        <v>531</v>
      </c>
      <c r="Z76" s="23" t="s">
        <v>838</v>
      </c>
      <c r="AA76" s="23" t="s">
        <v>555</v>
      </c>
      <c r="AB76" s="9" t="s">
        <v>870</v>
      </c>
      <c r="AC76" s="6" t="s">
        <v>746</v>
      </c>
      <c r="AD76" s="6" t="s">
        <v>60</v>
      </c>
      <c r="AE76" s="6" t="s">
        <v>61</v>
      </c>
      <c r="AF76" s="6"/>
      <c r="AG76" s="6" t="s">
        <v>567</v>
      </c>
      <c r="AH76" s="50" t="s">
        <v>60</v>
      </c>
    </row>
    <row r="77" spans="1:35" ht="116.25" customHeight="1" x14ac:dyDescent="0.25">
      <c r="A77" s="7">
        <v>64</v>
      </c>
      <c r="B77" s="6" t="s">
        <v>124</v>
      </c>
      <c r="C77" s="7" t="s">
        <v>871</v>
      </c>
      <c r="D77" s="7">
        <v>38</v>
      </c>
      <c r="E77" s="46" t="s">
        <v>872</v>
      </c>
      <c r="F77" s="8" t="s">
        <v>39</v>
      </c>
      <c r="G77" s="6"/>
      <c r="H77" s="6" t="s">
        <v>66</v>
      </c>
      <c r="I77" s="47" t="s">
        <v>873</v>
      </c>
      <c r="J77" s="6" t="s">
        <v>111</v>
      </c>
      <c r="K77" s="47" t="s">
        <v>755</v>
      </c>
      <c r="L77" s="6" t="s">
        <v>874</v>
      </c>
      <c r="M77" s="6" t="s">
        <v>875</v>
      </c>
      <c r="N77" s="7" t="s">
        <v>876</v>
      </c>
      <c r="O77" s="6" t="s">
        <v>877</v>
      </c>
      <c r="P77" s="6" t="s">
        <v>74</v>
      </c>
      <c r="Q77" s="47" t="s">
        <v>878</v>
      </c>
      <c r="R77" s="47" t="s">
        <v>791</v>
      </c>
      <c r="S77" s="6" t="s">
        <v>77</v>
      </c>
      <c r="T77" s="48" t="s">
        <v>135</v>
      </c>
      <c r="U77" s="48" t="s">
        <v>641</v>
      </c>
      <c r="V77" s="49"/>
      <c r="W77" s="49"/>
      <c r="X77" s="42" t="s">
        <v>137</v>
      </c>
      <c r="Y77" s="49" t="s">
        <v>879</v>
      </c>
      <c r="Z77" s="23" t="s">
        <v>880</v>
      </c>
      <c r="AA77" s="23" t="s">
        <v>511</v>
      </c>
      <c r="AB77" s="9" t="s">
        <v>58</v>
      </c>
      <c r="AC77" s="6" t="s">
        <v>140</v>
      </c>
      <c r="AD77" s="6" t="s">
        <v>60</v>
      </c>
      <c r="AE77" s="6" t="s">
        <v>61</v>
      </c>
      <c r="AF77" s="6">
        <v>25</v>
      </c>
      <c r="AG77" s="6" t="s">
        <v>881</v>
      </c>
      <c r="AH77" s="50" t="s">
        <v>60</v>
      </c>
    </row>
    <row r="78" spans="1:35" ht="132.75" customHeight="1" x14ac:dyDescent="0.25">
      <c r="A78" s="7">
        <v>65</v>
      </c>
      <c r="B78" s="6" t="s">
        <v>882</v>
      </c>
      <c r="C78" s="7" t="s">
        <v>883</v>
      </c>
      <c r="D78" s="7">
        <v>33</v>
      </c>
      <c r="E78" s="46" t="s">
        <v>884</v>
      </c>
      <c r="F78" s="8" t="s">
        <v>89</v>
      </c>
      <c r="G78" s="6" t="s">
        <v>159</v>
      </c>
      <c r="H78" s="6" t="s">
        <v>66</v>
      </c>
      <c r="I78" s="47" t="s">
        <v>885</v>
      </c>
      <c r="J78" s="6" t="s">
        <v>477</v>
      </c>
      <c r="K78" s="47" t="s">
        <v>886</v>
      </c>
      <c r="L78" s="6" t="s">
        <v>887</v>
      </c>
      <c r="M78" s="6" t="s">
        <v>888</v>
      </c>
      <c r="N78" s="7" t="s">
        <v>889</v>
      </c>
      <c r="O78" s="6" t="s">
        <v>890</v>
      </c>
      <c r="P78" s="6" t="s">
        <v>48</v>
      </c>
      <c r="Q78" s="47" t="s">
        <v>261</v>
      </c>
      <c r="R78" s="47" t="s">
        <v>886</v>
      </c>
      <c r="S78" s="6" t="s">
        <v>77</v>
      </c>
      <c r="T78" s="48" t="s">
        <v>135</v>
      </c>
      <c r="U78" s="48" t="s">
        <v>153</v>
      </c>
      <c r="V78" s="49" t="s">
        <v>804</v>
      </c>
      <c r="W78" s="49" t="s">
        <v>253</v>
      </c>
      <c r="X78" s="42"/>
      <c r="Y78" s="49" t="s">
        <v>253</v>
      </c>
      <c r="Z78" s="23" t="s">
        <v>482</v>
      </c>
      <c r="AA78" s="23" t="s">
        <v>582</v>
      </c>
      <c r="AB78" s="9" t="s">
        <v>338</v>
      </c>
      <c r="AC78" s="6" t="s">
        <v>140</v>
      </c>
      <c r="AD78" s="6" t="s">
        <v>60</v>
      </c>
      <c r="AE78" s="6" t="s">
        <v>61</v>
      </c>
      <c r="AF78" s="6">
        <v>21</v>
      </c>
      <c r="AG78" s="6" t="s">
        <v>805</v>
      </c>
      <c r="AH78" s="50" t="s">
        <v>60</v>
      </c>
    </row>
    <row r="79" spans="1:35" ht="117.75" customHeight="1" x14ac:dyDescent="0.25">
      <c r="A79" s="7">
        <v>66</v>
      </c>
      <c r="B79" s="6" t="s">
        <v>891</v>
      </c>
      <c r="C79" s="7" t="s">
        <v>892</v>
      </c>
      <c r="D79" s="7">
        <v>32</v>
      </c>
      <c r="E79" s="46" t="s">
        <v>893</v>
      </c>
      <c r="F79" s="8" t="s">
        <v>39</v>
      </c>
      <c r="G79" s="6" t="s">
        <v>40</v>
      </c>
      <c r="H79" s="6" t="s">
        <v>40</v>
      </c>
      <c r="I79" s="47" t="s">
        <v>672</v>
      </c>
      <c r="J79" s="6" t="s">
        <v>637</v>
      </c>
      <c r="K79" s="47" t="s">
        <v>818</v>
      </c>
      <c r="L79" s="6" t="s">
        <v>894</v>
      </c>
      <c r="M79" s="6" t="s">
        <v>178</v>
      </c>
      <c r="N79" s="7" t="s">
        <v>895</v>
      </c>
      <c r="O79" s="6" t="s">
        <v>896</v>
      </c>
      <c r="P79" s="6" t="s">
        <v>74</v>
      </c>
      <c r="Q79" s="47" t="s">
        <v>897</v>
      </c>
      <c r="R79" s="47" t="s">
        <v>725</v>
      </c>
      <c r="S79" s="6" t="s">
        <v>380</v>
      </c>
      <c r="T79" s="48" t="s">
        <v>898</v>
      </c>
      <c r="U79" s="48" t="s">
        <v>689</v>
      </c>
      <c r="V79" s="49" t="s">
        <v>782</v>
      </c>
      <c r="W79" s="49" t="s">
        <v>306</v>
      </c>
      <c r="X79" s="42"/>
      <c r="Y79" s="49" t="s">
        <v>128</v>
      </c>
      <c r="Z79" s="23" t="s">
        <v>899</v>
      </c>
      <c r="AA79" s="23" t="s">
        <v>766</v>
      </c>
      <c r="AB79" s="9" t="s">
        <v>338</v>
      </c>
      <c r="AC79" s="6" t="s">
        <v>746</v>
      </c>
      <c r="AD79" s="6" t="s">
        <v>60</v>
      </c>
      <c r="AE79" s="6" t="s">
        <v>61</v>
      </c>
      <c r="AF79" s="6">
        <v>20</v>
      </c>
      <c r="AG79" s="6" t="s">
        <v>279</v>
      </c>
      <c r="AH79" s="55"/>
    </row>
    <row r="80" spans="1:35" ht="82.2" x14ac:dyDescent="0.25">
      <c r="A80" s="7">
        <v>67</v>
      </c>
      <c r="B80" s="6" t="s">
        <v>891</v>
      </c>
      <c r="C80" s="7" t="s">
        <v>900</v>
      </c>
      <c r="D80" s="7">
        <v>33</v>
      </c>
      <c r="E80" s="46" t="s">
        <v>901</v>
      </c>
      <c r="F80" s="8" t="s">
        <v>89</v>
      </c>
      <c r="G80" s="6" t="s">
        <v>66</v>
      </c>
      <c r="H80" s="6" t="s">
        <v>66</v>
      </c>
      <c r="I80" s="47" t="s">
        <v>902</v>
      </c>
      <c r="J80" s="6" t="s">
        <v>111</v>
      </c>
      <c r="K80" s="47" t="s">
        <v>854</v>
      </c>
      <c r="L80" s="6" t="s">
        <v>162</v>
      </c>
      <c r="M80" s="6" t="s">
        <v>71</v>
      </c>
      <c r="N80" s="7" t="s">
        <v>903</v>
      </c>
      <c r="O80" s="6" t="s">
        <v>904</v>
      </c>
      <c r="P80" s="6" t="s">
        <v>74</v>
      </c>
      <c r="Q80" s="47" t="s">
        <v>905</v>
      </c>
      <c r="R80" s="47" t="s">
        <v>906</v>
      </c>
      <c r="S80" s="6" t="s">
        <v>380</v>
      </c>
      <c r="T80" s="48" t="s">
        <v>135</v>
      </c>
      <c r="U80" s="48" t="s">
        <v>100</v>
      </c>
      <c r="V80" s="49"/>
      <c r="W80" s="49"/>
      <c r="X80" s="42" t="s">
        <v>387</v>
      </c>
      <c r="Y80" s="49" t="s">
        <v>907</v>
      </c>
      <c r="Z80" s="23" t="s">
        <v>908</v>
      </c>
      <c r="AA80" s="23" t="s">
        <v>745</v>
      </c>
      <c r="AB80" s="9" t="s">
        <v>338</v>
      </c>
      <c r="AC80" s="6" t="s">
        <v>746</v>
      </c>
      <c r="AD80" s="6" t="s">
        <v>60</v>
      </c>
      <c r="AE80" s="6" t="s">
        <v>61</v>
      </c>
      <c r="AF80" s="6">
        <v>23</v>
      </c>
      <c r="AG80" s="6" t="s">
        <v>431</v>
      </c>
      <c r="AH80" s="55"/>
    </row>
    <row r="81" spans="1:34" ht="82.2" x14ac:dyDescent="0.25">
      <c r="A81" s="7">
        <v>68</v>
      </c>
      <c r="B81" s="6" t="s">
        <v>577</v>
      </c>
      <c r="C81" s="7" t="s">
        <v>909</v>
      </c>
      <c r="D81" s="7">
        <v>30</v>
      </c>
      <c r="E81" s="46" t="s">
        <v>910</v>
      </c>
      <c r="F81" s="8" t="s">
        <v>89</v>
      </c>
      <c r="G81" s="6" t="s">
        <v>231</v>
      </c>
      <c r="H81" s="6" t="s">
        <v>66</v>
      </c>
      <c r="I81" s="47" t="s">
        <v>911</v>
      </c>
      <c r="J81" s="6" t="s">
        <v>554</v>
      </c>
      <c r="K81" s="47" t="s">
        <v>911</v>
      </c>
      <c r="L81" s="6" t="s">
        <v>554</v>
      </c>
      <c r="M81" s="6" t="s">
        <v>71</v>
      </c>
      <c r="N81" s="7" t="s">
        <v>912</v>
      </c>
      <c r="O81" s="6" t="s">
        <v>913</v>
      </c>
      <c r="P81" s="6" t="s">
        <v>48</v>
      </c>
      <c r="Q81" s="47" t="s">
        <v>123</v>
      </c>
      <c r="R81" s="47" t="s">
        <v>914</v>
      </c>
      <c r="S81" s="6" t="s">
        <v>915</v>
      </c>
      <c r="T81" s="48" t="s">
        <v>135</v>
      </c>
      <c r="U81" s="48" t="s">
        <v>916</v>
      </c>
      <c r="V81" s="49" t="s">
        <v>812</v>
      </c>
      <c r="W81" s="49" t="s">
        <v>917</v>
      </c>
      <c r="X81" s="42"/>
      <c r="Y81" s="49" t="s">
        <v>315</v>
      </c>
      <c r="Z81" s="23" t="s">
        <v>117</v>
      </c>
      <c r="AA81" s="23" t="s">
        <v>918</v>
      </c>
      <c r="AB81" s="9" t="s">
        <v>919</v>
      </c>
      <c r="AC81" s="6" t="s">
        <v>243</v>
      </c>
      <c r="AD81" s="6" t="s">
        <v>60</v>
      </c>
      <c r="AE81" s="6" t="s">
        <v>61</v>
      </c>
      <c r="AF81" s="6">
        <v>21</v>
      </c>
      <c r="AG81" s="6" t="s">
        <v>567</v>
      </c>
      <c r="AH81" s="55"/>
    </row>
    <row r="82" spans="1:34" ht="157.19999999999999" x14ac:dyDescent="0.25">
      <c r="A82" s="7">
        <v>69</v>
      </c>
      <c r="B82" s="6" t="s">
        <v>920</v>
      </c>
      <c r="C82" s="7" t="s">
        <v>921</v>
      </c>
      <c r="D82" s="7">
        <v>33</v>
      </c>
      <c r="E82" s="46" t="s">
        <v>922</v>
      </c>
      <c r="F82" s="8" t="s">
        <v>39</v>
      </c>
      <c r="G82" s="6" t="s">
        <v>40</v>
      </c>
      <c r="H82" s="6" t="s">
        <v>40</v>
      </c>
      <c r="I82" s="47" t="s">
        <v>923</v>
      </c>
      <c r="J82" s="6" t="s">
        <v>477</v>
      </c>
      <c r="K82" s="47" t="s">
        <v>924</v>
      </c>
      <c r="L82" s="6" t="s">
        <v>162</v>
      </c>
      <c r="M82" s="6" t="s">
        <v>269</v>
      </c>
      <c r="N82" s="7" t="s">
        <v>925</v>
      </c>
      <c r="O82" s="6" t="s">
        <v>926</v>
      </c>
      <c r="P82" s="6" t="s">
        <v>48</v>
      </c>
      <c r="Q82" s="47" t="s">
        <v>927</v>
      </c>
      <c r="R82" s="47" t="s">
        <v>928</v>
      </c>
      <c r="S82" s="6" t="s">
        <v>929</v>
      </c>
      <c r="T82" s="48" t="s">
        <v>135</v>
      </c>
      <c r="U82" s="48" t="s">
        <v>153</v>
      </c>
      <c r="V82" s="49" t="s">
        <v>94</v>
      </c>
      <c r="W82" s="49" t="s">
        <v>468</v>
      </c>
      <c r="X82" s="42"/>
      <c r="Y82" s="49" t="s">
        <v>94</v>
      </c>
      <c r="Z82" s="23" t="s">
        <v>484</v>
      </c>
      <c r="AA82" s="23" t="s">
        <v>485</v>
      </c>
      <c r="AB82" s="9" t="s">
        <v>430</v>
      </c>
      <c r="AC82" s="6" t="s">
        <v>746</v>
      </c>
      <c r="AD82" s="6"/>
      <c r="AE82" s="6" t="s">
        <v>61</v>
      </c>
      <c r="AF82" s="6">
        <v>27.2</v>
      </c>
      <c r="AG82" s="6" t="s">
        <v>930</v>
      </c>
      <c r="AH82" s="55"/>
    </row>
    <row r="83" spans="1:34" ht="15.6" x14ac:dyDescent="0.25">
      <c r="A83" s="141">
        <v>45323</v>
      </c>
      <c r="B83" s="141"/>
      <c r="C83" s="16"/>
      <c r="D83" s="17"/>
      <c r="E83" s="18"/>
      <c r="F83" s="17"/>
      <c r="G83" s="17"/>
      <c r="H83" s="17"/>
      <c r="I83" s="17"/>
      <c r="J83" s="16"/>
      <c r="K83" s="17"/>
      <c r="L83" s="16"/>
      <c r="M83" s="16"/>
      <c r="N83" s="17"/>
      <c r="O83" s="17"/>
      <c r="P83" s="17"/>
      <c r="Q83" s="17"/>
      <c r="R83" s="17"/>
      <c r="S83" s="17"/>
      <c r="T83" s="19"/>
      <c r="U83" s="16"/>
      <c r="V83" s="17"/>
      <c r="W83" s="17"/>
      <c r="X83" s="17"/>
      <c r="Y83" s="16"/>
      <c r="Z83" s="17"/>
      <c r="AA83" s="20"/>
      <c r="AB83" s="9"/>
      <c r="AC83" s="6"/>
      <c r="AD83" s="6"/>
      <c r="AE83" s="6"/>
      <c r="AF83" s="6"/>
      <c r="AG83" s="21"/>
      <c r="AH83" s="1"/>
    </row>
    <row r="84" spans="1:34" ht="102.75" customHeight="1" x14ac:dyDescent="0.25">
      <c r="A84" s="7">
        <v>70</v>
      </c>
      <c r="B84" s="6" t="s">
        <v>37</v>
      </c>
      <c r="C84" s="7" t="s">
        <v>931</v>
      </c>
      <c r="D84" s="7">
        <v>33</v>
      </c>
      <c r="E84" s="46" t="s">
        <v>932</v>
      </c>
      <c r="F84" s="8" t="s">
        <v>39</v>
      </c>
      <c r="G84" s="6" t="s">
        <v>231</v>
      </c>
      <c r="H84" s="6" t="s">
        <v>66</v>
      </c>
      <c r="I84" s="47" t="s">
        <v>301</v>
      </c>
      <c r="J84" s="6" t="s">
        <v>70</v>
      </c>
      <c r="K84" s="47" t="s">
        <v>933</v>
      </c>
      <c r="L84" s="6" t="s">
        <v>70</v>
      </c>
      <c r="M84" s="6" t="s">
        <v>934</v>
      </c>
      <c r="N84" s="7" t="s">
        <v>935</v>
      </c>
      <c r="O84" s="6" t="s">
        <v>936</v>
      </c>
      <c r="P84" s="6" t="s">
        <v>74</v>
      </c>
      <c r="Q84" s="47" t="s">
        <v>54</v>
      </c>
      <c r="R84" s="47" t="s">
        <v>664</v>
      </c>
      <c r="S84" s="6" t="s">
        <v>77</v>
      </c>
      <c r="T84" s="48" t="s">
        <v>135</v>
      </c>
      <c r="U84" s="48" t="s">
        <v>937</v>
      </c>
      <c r="V84" s="49" t="s">
        <v>938</v>
      </c>
      <c r="W84" s="49" t="s">
        <v>176</v>
      </c>
      <c r="X84" s="42"/>
      <c r="Y84" s="49" t="s">
        <v>301</v>
      </c>
      <c r="Z84" s="23"/>
      <c r="AA84" s="23"/>
      <c r="AB84" s="9" t="s">
        <v>294</v>
      </c>
      <c r="AC84" s="6" t="s">
        <v>746</v>
      </c>
      <c r="AD84" s="6" t="s">
        <v>60</v>
      </c>
      <c r="AE84" s="6" t="s">
        <v>939</v>
      </c>
      <c r="AF84" s="6">
        <v>26</v>
      </c>
      <c r="AG84" s="6" t="s">
        <v>551</v>
      </c>
      <c r="AH84" s="50" t="s">
        <v>60</v>
      </c>
    </row>
    <row r="85" spans="1:34" ht="91.5" customHeight="1" x14ac:dyDescent="0.25">
      <c r="A85" s="7">
        <v>71</v>
      </c>
      <c r="B85" s="6" t="s">
        <v>142</v>
      </c>
      <c r="C85" s="7" t="s">
        <v>940</v>
      </c>
      <c r="D85" s="7">
        <v>37</v>
      </c>
      <c r="E85" s="46" t="s">
        <v>941</v>
      </c>
      <c r="F85" s="8" t="s">
        <v>89</v>
      </c>
      <c r="G85" s="6" t="s">
        <v>231</v>
      </c>
      <c r="H85" s="6" t="s">
        <v>66</v>
      </c>
      <c r="I85" s="47" t="s">
        <v>817</v>
      </c>
      <c r="J85" s="6" t="s">
        <v>252</v>
      </c>
      <c r="K85" s="47" t="s">
        <v>942</v>
      </c>
      <c r="L85" s="6" t="s">
        <v>162</v>
      </c>
      <c r="M85" s="6" t="s">
        <v>943</v>
      </c>
      <c r="N85" s="7" t="s">
        <v>944</v>
      </c>
      <c r="O85" s="6" t="s">
        <v>945</v>
      </c>
      <c r="P85" s="6" t="s">
        <v>74</v>
      </c>
      <c r="Q85" s="47" t="s">
        <v>946</v>
      </c>
      <c r="R85" s="47" t="s">
        <v>947</v>
      </c>
      <c r="S85" s="6" t="s">
        <v>51</v>
      </c>
      <c r="T85" s="48" t="s">
        <v>135</v>
      </c>
      <c r="U85" s="48" t="s">
        <v>153</v>
      </c>
      <c r="V85" s="49" t="s">
        <v>948</v>
      </c>
      <c r="W85" s="49" t="s">
        <v>949</v>
      </c>
      <c r="X85" s="42"/>
      <c r="Y85" s="49" t="s">
        <v>885</v>
      </c>
      <c r="Z85" s="23"/>
      <c r="AA85" s="23"/>
      <c r="AB85" s="9" t="s">
        <v>950</v>
      </c>
      <c r="AC85" s="6" t="s">
        <v>172</v>
      </c>
      <c r="AD85" s="6" t="s">
        <v>60</v>
      </c>
      <c r="AE85" s="6" t="s">
        <v>61</v>
      </c>
      <c r="AF85" s="6">
        <v>20</v>
      </c>
      <c r="AG85" s="6" t="s">
        <v>951</v>
      </c>
      <c r="AH85" s="50" t="s">
        <v>60</v>
      </c>
    </row>
    <row r="86" spans="1:34" ht="98.25" customHeight="1" x14ac:dyDescent="0.25">
      <c r="A86" s="7">
        <v>72</v>
      </c>
      <c r="B86" s="6" t="s">
        <v>86</v>
      </c>
      <c r="C86" s="7" t="s">
        <v>952</v>
      </c>
      <c r="D86" s="7">
        <v>29</v>
      </c>
      <c r="E86" s="46" t="s">
        <v>953</v>
      </c>
      <c r="F86" s="8" t="s">
        <v>89</v>
      </c>
      <c r="G86" s="6" t="s">
        <v>40</v>
      </c>
      <c r="H86" s="6" t="s">
        <v>40</v>
      </c>
      <c r="I86" s="47" t="s">
        <v>954</v>
      </c>
      <c r="J86" s="6" t="s">
        <v>70</v>
      </c>
      <c r="K86" s="47" t="s">
        <v>955</v>
      </c>
      <c r="L86" s="6" t="s">
        <v>70</v>
      </c>
      <c r="M86" s="6" t="s">
        <v>956</v>
      </c>
      <c r="N86" s="7" t="s">
        <v>957</v>
      </c>
      <c r="O86" s="6" t="s">
        <v>958</v>
      </c>
      <c r="P86" s="6" t="s">
        <v>74</v>
      </c>
      <c r="Q86" s="47" t="s">
        <v>959</v>
      </c>
      <c r="R86" s="47" t="s">
        <v>960</v>
      </c>
      <c r="S86" s="6" t="s">
        <v>961</v>
      </c>
      <c r="T86" s="48" t="s">
        <v>52</v>
      </c>
      <c r="U86" s="48" t="s">
        <v>689</v>
      </c>
      <c r="V86" s="49" t="s">
        <v>336</v>
      </c>
      <c r="W86" s="49" t="s">
        <v>962</v>
      </c>
      <c r="X86" s="42"/>
      <c r="Y86" s="49" t="s">
        <v>842</v>
      </c>
      <c r="Z86" s="23" t="s">
        <v>963</v>
      </c>
      <c r="AA86" s="23"/>
      <c r="AB86" s="9" t="s">
        <v>382</v>
      </c>
      <c r="AC86" s="6" t="s">
        <v>59</v>
      </c>
      <c r="AD86" s="6" t="s">
        <v>60</v>
      </c>
      <c r="AE86" s="6" t="s">
        <v>61</v>
      </c>
      <c r="AF86" s="6">
        <v>26</v>
      </c>
      <c r="AG86" s="6"/>
      <c r="AH86" s="50" t="s">
        <v>107</v>
      </c>
    </row>
    <row r="87" spans="1:34" ht="82.2" x14ac:dyDescent="0.25">
      <c r="A87" s="7">
        <v>73</v>
      </c>
      <c r="B87" s="6" t="s">
        <v>124</v>
      </c>
      <c r="C87" s="7" t="s">
        <v>964</v>
      </c>
      <c r="D87" s="7">
        <v>26</v>
      </c>
      <c r="E87" s="46" t="s">
        <v>965</v>
      </c>
      <c r="F87" s="8" t="s">
        <v>89</v>
      </c>
      <c r="G87" s="6" t="s">
        <v>66</v>
      </c>
      <c r="H87" s="6" t="s">
        <v>66</v>
      </c>
      <c r="I87" s="47" t="s">
        <v>818</v>
      </c>
      <c r="J87" s="6" t="s">
        <v>70</v>
      </c>
      <c r="K87" s="47" t="s">
        <v>966</v>
      </c>
      <c r="L87" s="6" t="s">
        <v>70</v>
      </c>
      <c r="M87" s="6" t="s">
        <v>967</v>
      </c>
      <c r="N87" s="7" t="s">
        <v>968</v>
      </c>
      <c r="O87" s="6" t="s">
        <v>149</v>
      </c>
      <c r="P87" s="6" t="s">
        <v>48</v>
      </c>
      <c r="Q87" s="47" t="s">
        <v>969</v>
      </c>
      <c r="R87" s="47" t="s">
        <v>970</v>
      </c>
      <c r="S87" s="6" t="s">
        <v>77</v>
      </c>
      <c r="T87" s="48" t="s">
        <v>135</v>
      </c>
      <c r="U87" s="48" t="s">
        <v>971</v>
      </c>
      <c r="V87" s="49" t="s">
        <v>838</v>
      </c>
      <c r="W87" s="49" t="s">
        <v>972</v>
      </c>
      <c r="X87" s="42"/>
      <c r="Y87" s="49" t="s">
        <v>973</v>
      </c>
      <c r="Z87" s="23" t="s">
        <v>907</v>
      </c>
      <c r="AA87" s="23" t="s">
        <v>974</v>
      </c>
      <c r="AB87" s="9" t="s">
        <v>919</v>
      </c>
      <c r="AC87" s="6" t="s">
        <v>140</v>
      </c>
      <c r="AD87" s="6" t="s">
        <v>60</v>
      </c>
      <c r="AE87" s="6" t="s">
        <v>61</v>
      </c>
      <c r="AF87" s="6">
        <v>22</v>
      </c>
      <c r="AG87" s="6"/>
      <c r="AH87" s="50" t="s">
        <v>107</v>
      </c>
    </row>
    <row r="88" spans="1:34" ht="105.6" x14ac:dyDescent="0.25">
      <c r="A88" s="7">
        <v>74</v>
      </c>
      <c r="B88" s="6" t="s">
        <v>157</v>
      </c>
      <c r="C88" s="7" t="s">
        <v>975</v>
      </c>
      <c r="D88" s="7">
        <v>28</v>
      </c>
      <c r="E88" s="46" t="s">
        <v>976</v>
      </c>
      <c r="F88" s="8" t="s">
        <v>89</v>
      </c>
      <c r="G88" s="6" t="s">
        <v>40</v>
      </c>
      <c r="H88" s="6" t="s">
        <v>40</v>
      </c>
      <c r="I88" s="47" t="s">
        <v>277</v>
      </c>
      <c r="J88" s="6" t="s">
        <v>977</v>
      </c>
      <c r="K88" s="47" t="s">
        <v>978</v>
      </c>
      <c r="L88" s="6" t="s">
        <v>979</v>
      </c>
      <c r="M88" s="6" t="s">
        <v>405</v>
      </c>
      <c r="N88" s="7" t="s">
        <v>980</v>
      </c>
      <c r="O88" s="6" t="s">
        <v>877</v>
      </c>
      <c r="P88" s="6" t="s">
        <v>48</v>
      </c>
      <c r="Q88" s="47" t="s">
        <v>981</v>
      </c>
      <c r="R88" s="47" t="s">
        <v>69</v>
      </c>
      <c r="S88" s="6" t="s">
        <v>587</v>
      </c>
      <c r="T88" s="48" t="s">
        <v>135</v>
      </c>
      <c r="U88" s="48" t="s">
        <v>982</v>
      </c>
      <c r="V88" s="49" t="s">
        <v>575</v>
      </c>
      <c r="W88" s="49" t="s">
        <v>260</v>
      </c>
      <c r="X88" s="42"/>
      <c r="Y88" s="49" t="s">
        <v>259</v>
      </c>
      <c r="Z88" s="23" t="s">
        <v>983</v>
      </c>
      <c r="AA88" s="23" t="s">
        <v>984</v>
      </c>
      <c r="AB88" s="9" t="s">
        <v>262</v>
      </c>
      <c r="AC88" s="6" t="s">
        <v>59</v>
      </c>
      <c r="AD88" s="6" t="s">
        <v>60</v>
      </c>
      <c r="AE88" s="6" t="s">
        <v>370</v>
      </c>
      <c r="AF88" s="6">
        <v>28</v>
      </c>
      <c r="AG88" s="6" t="s">
        <v>173</v>
      </c>
      <c r="AH88" s="50" t="s">
        <v>107</v>
      </c>
    </row>
    <row r="89" spans="1:34" ht="82.2" x14ac:dyDescent="0.25">
      <c r="A89" s="7">
        <v>75</v>
      </c>
      <c r="B89" s="6" t="s">
        <v>400</v>
      </c>
      <c r="C89" s="7" t="s">
        <v>985</v>
      </c>
      <c r="D89" s="7">
        <v>36</v>
      </c>
      <c r="E89" s="46" t="s">
        <v>986</v>
      </c>
      <c r="F89" s="8" t="s">
        <v>89</v>
      </c>
      <c r="G89" s="6" t="s">
        <v>462</v>
      </c>
      <c r="H89" s="6" t="s">
        <v>66</v>
      </c>
      <c r="I89" s="47" t="s">
        <v>858</v>
      </c>
      <c r="J89" s="6" t="s">
        <v>111</v>
      </c>
      <c r="K89" s="47" t="s">
        <v>987</v>
      </c>
      <c r="L89" s="6" t="s">
        <v>111</v>
      </c>
      <c r="M89" s="6" t="s">
        <v>988</v>
      </c>
      <c r="N89" s="7" t="s">
        <v>989</v>
      </c>
      <c r="O89" s="6" t="s">
        <v>115</v>
      </c>
      <c r="P89" s="6" t="s">
        <v>990</v>
      </c>
      <c r="Q89" s="47" t="s">
        <v>991</v>
      </c>
      <c r="R89" s="47" t="s">
        <v>992</v>
      </c>
      <c r="S89" s="6" t="s">
        <v>993</v>
      </c>
      <c r="T89" s="48" t="s">
        <v>135</v>
      </c>
      <c r="U89" s="48" t="s">
        <v>394</v>
      </c>
      <c r="V89" s="49" t="s">
        <v>750</v>
      </c>
      <c r="W89" s="49" t="s">
        <v>994</v>
      </c>
      <c r="X89" s="42"/>
      <c r="Y89" s="49" t="s">
        <v>750</v>
      </c>
      <c r="Z89" s="23" t="s">
        <v>995</v>
      </c>
      <c r="AA89" s="23" t="s">
        <v>996</v>
      </c>
      <c r="AB89" s="9" t="s">
        <v>278</v>
      </c>
      <c r="AC89" s="6" t="s">
        <v>997</v>
      </c>
      <c r="AD89" s="6" t="s">
        <v>60</v>
      </c>
      <c r="AE89" s="6" t="s">
        <v>370</v>
      </c>
      <c r="AF89" s="6">
        <v>17.11</v>
      </c>
      <c r="AG89" s="6" t="s">
        <v>998</v>
      </c>
      <c r="AH89" s="50" t="s">
        <v>107</v>
      </c>
    </row>
    <row r="90" spans="1:34" ht="15.6" x14ac:dyDescent="0.25">
      <c r="A90" s="141">
        <v>45352</v>
      </c>
      <c r="B90" s="141"/>
      <c r="C90" s="16"/>
      <c r="D90" s="17"/>
      <c r="E90" s="18"/>
      <c r="F90" s="17"/>
      <c r="G90" s="17"/>
      <c r="H90" s="17"/>
      <c r="I90" s="17"/>
      <c r="J90" s="16"/>
      <c r="K90" s="17"/>
      <c r="L90" s="16"/>
      <c r="M90" s="16"/>
      <c r="N90" s="17"/>
      <c r="O90" s="17"/>
      <c r="P90" s="17"/>
      <c r="Q90" s="17"/>
      <c r="R90" s="17"/>
      <c r="S90" s="17"/>
      <c r="T90" s="19"/>
      <c r="U90" s="16"/>
      <c r="V90" s="17"/>
      <c r="W90" s="17"/>
      <c r="X90" s="17"/>
      <c r="Y90" s="16"/>
      <c r="Z90" s="17"/>
      <c r="AA90" s="20"/>
      <c r="AB90" s="9"/>
      <c r="AC90" s="6"/>
      <c r="AD90" s="6"/>
      <c r="AE90" s="6"/>
      <c r="AF90" s="6"/>
      <c r="AG90" s="21"/>
      <c r="AH90" s="1"/>
    </row>
    <row r="91" spans="1:34" ht="99.75" customHeight="1" x14ac:dyDescent="0.25">
      <c r="A91" s="7">
        <v>76</v>
      </c>
      <c r="B91" s="6" t="s">
        <v>124</v>
      </c>
      <c r="C91" s="7" t="s">
        <v>999</v>
      </c>
      <c r="D91" s="8">
        <v>35</v>
      </c>
      <c r="E91" s="8">
        <v>129011396575</v>
      </c>
      <c r="F91" s="8" t="s">
        <v>39</v>
      </c>
      <c r="G91" s="8" t="s">
        <v>40</v>
      </c>
      <c r="H91" s="8" t="s">
        <v>40</v>
      </c>
      <c r="I91" s="47" t="s">
        <v>1000</v>
      </c>
      <c r="J91" s="8" t="s">
        <v>1001</v>
      </c>
      <c r="K91" s="47" t="s">
        <v>1002</v>
      </c>
      <c r="L91" s="8" t="s">
        <v>1003</v>
      </c>
      <c r="M91" s="6" t="s">
        <v>753</v>
      </c>
      <c r="N91" s="32" t="s">
        <v>1004</v>
      </c>
      <c r="O91" s="6" t="s">
        <v>1005</v>
      </c>
      <c r="P91" s="8" t="s">
        <v>74</v>
      </c>
      <c r="Q91" s="47" t="s">
        <v>484</v>
      </c>
      <c r="R91" s="47" t="s">
        <v>1006</v>
      </c>
      <c r="S91" s="8" t="s">
        <v>546</v>
      </c>
      <c r="T91" s="8" t="s">
        <v>52</v>
      </c>
      <c r="U91" s="8" t="s">
        <v>368</v>
      </c>
      <c r="V91" s="8" t="s">
        <v>301</v>
      </c>
      <c r="W91" s="8" t="s">
        <v>392</v>
      </c>
      <c r="X91" s="47"/>
      <c r="Y91" s="47" t="s">
        <v>949</v>
      </c>
      <c r="Z91" s="47" t="s">
        <v>1007</v>
      </c>
      <c r="AA91" s="23"/>
      <c r="AB91" s="1" t="s">
        <v>414</v>
      </c>
      <c r="AC91" s="6" t="s">
        <v>140</v>
      </c>
      <c r="AD91" s="6" t="s">
        <v>60</v>
      </c>
      <c r="AE91" s="6" t="s">
        <v>60</v>
      </c>
      <c r="AF91" s="1">
        <v>26</v>
      </c>
      <c r="AG91" s="6"/>
      <c r="AH91" s="50" t="s">
        <v>107</v>
      </c>
    </row>
    <row r="92" spans="1:34" ht="103.5" customHeight="1" x14ac:dyDescent="0.3">
      <c r="A92" s="7">
        <v>77</v>
      </c>
      <c r="B92" s="6" t="s">
        <v>86</v>
      </c>
      <c r="C92" s="7" t="s">
        <v>1008</v>
      </c>
      <c r="D92" s="8">
        <v>30</v>
      </c>
      <c r="E92" s="8">
        <v>129028200191</v>
      </c>
      <c r="F92" s="8" t="s">
        <v>89</v>
      </c>
      <c r="G92" s="8" t="s">
        <v>1009</v>
      </c>
      <c r="H92" s="8" t="s">
        <v>66</v>
      </c>
      <c r="I92" s="47" t="s">
        <v>1010</v>
      </c>
      <c r="J92" s="8" t="s">
        <v>1011</v>
      </c>
      <c r="K92" s="47" t="s">
        <v>847</v>
      </c>
      <c r="L92" s="8" t="s">
        <v>1011</v>
      </c>
      <c r="M92" s="6" t="s">
        <v>1012</v>
      </c>
      <c r="N92" s="32" t="s">
        <v>1013</v>
      </c>
      <c r="O92" s="6" t="s">
        <v>1014</v>
      </c>
      <c r="P92" s="8" t="s">
        <v>1015</v>
      </c>
      <c r="Q92" s="47" t="s">
        <v>435</v>
      </c>
      <c r="R92" s="47" t="s">
        <v>1016</v>
      </c>
      <c r="S92" s="8" t="s">
        <v>77</v>
      </c>
      <c r="T92" s="8" t="s">
        <v>52</v>
      </c>
      <c r="U92" s="8" t="s">
        <v>1017</v>
      </c>
      <c r="V92" s="47" t="s">
        <v>809</v>
      </c>
      <c r="W92" s="47" t="s">
        <v>600</v>
      </c>
      <c r="X92" s="47"/>
      <c r="Y92" s="47" t="s">
        <v>1018</v>
      </c>
      <c r="Z92" s="47" t="s">
        <v>1019</v>
      </c>
      <c r="AA92" s="56"/>
      <c r="AB92" s="1" t="s">
        <v>460</v>
      </c>
      <c r="AC92" s="6" t="s">
        <v>59</v>
      </c>
      <c r="AD92" s="6" t="s">
        <v>60</v>
      </c>
      <c r="AE92" s="6" t="s">
        <v>60</v>
      </c>
      <c r="AF92" s="1">
        <v>24</v>
      </c>
      <c r="AG92" s="56"/>
      <c r="AH92" s="50" t="s">
        <v>107</v>
      </c>
    </row>
    <row r="93" spans="1:34" ht="201.75" customHeight="1" x14ac:dyDescent="0.3">
      <c r="A93" s="7">
        <v>78</v>
      </c>
      <c r="B93" s="6" t="s">
        <v>86</v>
      </c>
      <c r="C93" s="7" t="s">
        <v>1020</v>
      </c>
      <c r="D93" s="8">
        <v>37</v>
      </c>
      <c r="E93" s="8">
        <v>129012901437</v>
      </c>
      <c r="F93" s="8" t="s">
        <v>39</v>
      </c>
      <c r="G93" s="8" t="s">
        <v>1009</v>
      </c>
      <c r="H93" s="8" t="s">
        <v>66</v>
      </c>
      <c r="I93" s="47" t="s">
        <v>847</v>
      </c>
      <c r="J93" s="8" t="s">
        <v>1011</v>
      </c>
      <c r="K93" s="47" t="s">
        <v>1021</v>
      </c>
      <c r="L93" s="8" t="s">
        <v>1011</v>
      </c>
      <c r="M93" s="6" t="s">
        <v>1022</v>
      </c>
      <c r="N93" s="32" t="s">
        <v>1023</v>
      </c>
      <c r="O93" s="6" t="s">
        <v>1024</v>
      </c>
      <c r="P93" s="8" t="s">
        <v>48</v>
      </c>
      <c r="Q93" s="47" t="s">
        <v>1025</v>
      </c>
      <c r="R93" s="47" t="s">
        <v>698</v>
      </c>
      <c r="S93" s="8" t="s">
        <v>1026</v>
      </c>
      <c r="T93" s="8" t="s">
        <v>52</v>
      </c>
      <c r="U93" s="8" t="s">
        <v>1027</v>
      </c>
      <c r="V93" s="47" t="s">
        <v>661</v>
      </c>
      <c r="W93" s="47" t="s">
        <v>1028</v>
      </c>
      <c r="X93" s="47"/>
      <c r="Y93" s="47" t="s">
        <v>809</v>
      </c>
      <c r="Z93" s="47" t="s">
        <v>1029</v>
      </c>
      <c r="AA93" s="56"/>
      <c r="AB93" s="1" t="s">
        <v>1030</v>
      </c>
      <c r="AC93" s="6" t="s">
        <v>1031</v>
      </c>
      <c r="AD93" s="6" t="s">
        <v>60</v>
      </c>
      <c r="AE93" s="6" t="s">
        <v>60</v>
      </c>
      <c r="AF93" s="1">
        <v>24</v>
      </c>
      <c r="AG93" s="56"/>
      <c r="AH93" s="50" t="s">
        <v>107</v>
      </c>
    </row>
    <row r="94" spans="1:34" ht="114" customHeight="1" x14ac:dyDescent="0.3">
      <c r="A94" s="7">
        <v>79</v>
      </c>
      <c r="B94" s="6" t="s">
        <v>1032</v>
      </c>
      <c r="C94" s="7" t="s">
        <v>1033</v>
      </c>
      <c r="D94" s="8">
        <v>24</v>
      </c>
      <c r="E94" s="8">
        <v>129028083685</v>
      </c>
      <c r="F94" s="8" t="s">
        <v>39</v>
      </c>
      <c r="G94" s="8" t="s">
        <v>40</v>
      </c>
      <c r="H94" s="8" t="s">
        <v>40</v>
      </c>
      <c r="I94" s="47" t="s">
        <v>1034</v>
      </c>
      <c r="J94" s="8" t="s">
        <v>1035</v>
      </c>
      <c r="K94" s="47" t="s">
        <v>1036</v>
      </c>
      <c r="L94" s="8" t="s">
        <v>70</v>
      </c>
      <c r="M94" s="6" t="s">
        <v>1037</v>
      </c>
      <c r="N94" s="32" t="s">
        <v>1038</v>
      </c>
      <c r="O94" s="6" t="s">
        <v>1039</v>
      </c>
      <c r="P94" s="8" t="s">
        <v>48</v>
      </c>
      <c r="Q94" s="47" t="s">
        <v>1040</v>
      </c>
      <c r="R94" s="47" t="s">
        <v>1041</v>
      </c>
      <c r="S94" s="8" t="s">
        <v>77</v>
      </c>
      <c r="T94" s="8" t="s">
        <v>52</v>
      </c>
      <c r="U94" s="8" t="s">
        <v>1042</v>
      </c>
      <c r="V94" s="47" t="s">
        <v>914</v>
      </c>
      <c r="W94" s="47" t="s">
        <v>1043</v>
      </c>
      <c r="X94" s="47"/>
      <c r="Y94" s="47" t="s">
        <v>1044</v>
      </c>
      <c r="Z94" s="47" t="s">
        <v>1045</v>
      </c>
      <c r="AA94" s="47" t="s">
        <v>809</v>
      </c>
      <c r="AB94" s="1">
        <v>12</v>
      </c>
      <c r="AC94" s="6" t="s">
        <v>746</v>
      </c>
      <c r="AD94" s="6" t="s">
        <v>60</v>
      </c>
      <c r="AE94" s="6" t="s">
        <v>60</v>
      </c>
      <c r="AF94" s="1">
        <v>34</v>
      </c>
      <c r="AG94" s="56"/>
      <c r="AH94" s="50" t="s">
        <v>60</v>
      </c>
    </row>
    <row r="95" spans="1:34" ht="101.25" customHeight="1" x14ac:dyDescent="0.3">
      <c r="A95" s="12">
        <v>80</v>
      </c>
      <c r="B95" s="10" t="s">
        <v>446</v>
      </c>
      <c r="C95" s="12" t="s">
        <v>1046</v>
      </c>
      <c r="D95" s="13">
        <v>30</v>
      </c>
      <c r="E95" s="13">
        <v>129027865159</v>
      </c>
      <c r="F95" s="13" t="s">
        <v>89</v>
      </c>
      <c r="G95" s="13" t="s">
        <v>1047</v>
      </c>
      <c r="H95" s="13" t="s">
        <v>66</v>
      </c>
      <c r="I95" s="57" t="s">
        <v>955</v>
      </c>
      <c r="J95" s="13" t="s">
        <v>477</v>
      </c>
      <c r="K95" s="57" t="s">
        <v>1048</v>
      </c>
      <c r="L95" s="13" t="s">
        <v>477</v>
      </c>
      <c r="M95" s="10" t="s">
        <v>1049</v>
      </c>
      <c r="N95" s="58" t="s">
        <v>1050</v>
      </c>
      <c r="O95" s="10" t="s">
        <v>890</v>
      </c>
      <c r="P95" s="13" t="s">
        <v>48</v>
      </c>
      <c r="Q95" s="57" t="s">
        <v>1051</v>
      </c>
      <c r="R95" s="57" t="s">
        <v>1052</v>
      </c>
      <c r="S95" s="13" t="s">
        <v>77</v>
      </c>
      <c r="T95" s="13" t="s">
        <v>135</v>
      </c>
      <c r="U95" s="13" t="s">
        <v>1053</v>
      </c>
      <c r="V95" s="57" t="s">
        <v>595</v>
      </c>
      <c r="W95" s="57" t="s">
        <v>672</v>
      </c>
      <c r="X95" s="57"/>
      <c r="Y95" s="57" t="s">
        <v>596</v>
      </c>
      <c r="Z95" s="57" t="s">
        <v>672</v>
      </c>
      <c r="AA95" s="57" t="s">
        <v>335</v>
      </c>
      <c r="AB95" s="11">
        <v>12.8</v>
      </c>
      <c r="AC95" s="10" t="s">
        <v>1054</v>
      </c>
      <c r="AD95" s="10" t="s">
        <v>60</v>
      </c>
      <c r="AE95" s="10" t="s">
        <v>60</v>
      </c>
      <c r="AF95" s="11">
        <v>28</v>
      </c>
      <c r="AG95" s="59"/>
      <c r="AH95" s="60" t="s">
        <v>107</v>
      </c>
    </row>
    <row r="96" spans="1:34" ht="137.4" x14ac:dyDescent="0.3">
      <c r="A96" s="7">
        <v>81</v>
      </c>
      <c r="B96" s="6" t="s">
        <v>1055</v>
      </c>
      <c r="C96" s="7" t="s">
        <v>1056</v>
      </c>
      <c r="D96" s="8">
        <v>30</v>
      </c>
      <c r="E96" s="8">
        <v>129022030732</v>
      </c>
      <c r="F96" s="8" t="s">
        <v>39</v>
      </c>
      <c r="G96" s="8" t="s">
        <v>1057</v>
      </c>
      <c r="H96" s="8" t="s">
        <v>66</v>
      </c>
      <c r="I96" s="47" t="s">
        <v>1006</v>
      </c>
      <c r="J96" s="8" t="s">
        <v>1058</v>
      </c>
      <c r="K96" s="47" t="s">
        <v>1059</v>
      </c>
      <c r="L96" s="8" t="s">
        <v>1058</v>
      </c>
      <c r="M96" s="6" t="s">
        <v>888</v>
      </c>
      <c r="N96" s="32" t="s">
        <v>1060</v>
      </c>
      <c r="O96" s="6" t="s">
        <v>1061</v>
      </c>
      <c r="P96" s="8" t="s">
        <v>48</v>
      </c>
      <c r="Q96" s="47" t="s">
        <v>571</v>
      </c>
      <c r="R96" s="47" t="s">
        <v>1062</v>
      </c>
      <c r="S96" s="8" t="s">
        <v>1063</v>
      </c>
      <c r="T96" s="8" t="s">
        <v>135</v>
      </c>
      <c r="U96" s="8" t="s">
        <v>1064</v>
      </c>
      <c r="V96" s="47" t="s">
        <v>361</v>
      </c>
      <c r="W96" s="47" t="s">
        <v>1065</v>
      </c>
      <c r="X96" s="47"/>
      <c r="Y96" s="47" t="s">
        <v>924</v>
      </c>
      <c r="Z96" s="47"/>
      <c r="AA96" s="56"/>
      <c r="AB96" s="1" t="s">
        <v>1066</v>
      </c>
      <c r="AC96" s="6" t="s">
        <v>243</v>
      </c>
      <c r="AD96" s="6" t="s">
        <v>60</v>
      </c>
      <c r="AE96" s="6" t="s">
        <v>60</v>
      </c>
      <c r="AF96" s="1">
        <v>18</v>
      </c>
      <c r="AG96" s="6" t="s">
        <v>1067</v>
      </c>
      <c r="AH96" s="50" t="s">
        <v>107</v>
      </c>
    </row>
    <row r="97" spans="1:34" ht="108.75" customHeight="1" x14ac:dyDescent="0.25">
      <c r="A97" s="7">
        <v>82</v>
      </c>
      <c r="B97" s="6" t="s">
        <v>1068</v>
      </c>
      <c r="C97" s="7" t="s">
        <v>1069</v>
      </c>
      <c r="D97" s="8">
        <v>30</v>
      </c>
      <c r="E97" s="8">
        <v>129018355470</v>
      </c>
      <c r="F97" s="8" t="s">
        <v>39</v>
      </c>
      <c r="G97" s="8" t="s">
        <v>462</v>
      </c>
      <c r="H97" s="8" t="s">
        <v>66</v>
      </c>
      <c r="I97" s="47" t="s">
        <v>765</v>
      </c>
      <c r="J97" s="8" t="s">
        <v>1070</v>
      </c>
      <c r="K97" s="47" t="s">
        <v>1071</v>
      </c>
      <c r="L97" s="8" t="s">
        <v>1072</v>
      </c>
      <c r="M97" s="6" t="s">
        <v>1073</v>
      </c>
      <c r="N97" s="32" t="s">
        <v>1074</v>
      </c>
      <c r="O97" s="6" t="s">
        <v>1061</v>
      </c>
      <c r="P97" s="8" t="s">
        <v>426</v>
      </c>
      <c r="Q97" s="47" t="s">
        <v>128</v>
      </c>
      <c r="R97" s="47" t="s">
        <v>1075</v>
      </c>
      <c r="S97" s="8" t="s">
        <v>118</v>
      </c>
      <c r="T97" s="8" t="s">
        <v>135</v>
      </c>
      <c r="U97" s="8" t="s">
        <v>1076</v>
      </c>
      <c r="V97" s="47" t="s">
        <v>1077</v>
      </c>
      <c r="W97" s="47" t="s">
        <v>963</v>
      </c>
      <c r="X97" s="47"/>
      <c r="Y97" s="47" t="s">
        <v>1078</v>
      </c>
      <c r="Z97" s="47" t="s">
        <v>1079</v>
      </c>
      <c r="AA97" s="47" t="s">
        <v>994</v>
      </c>
      <c r="AB97" s="1" t="s">
        <v>1080</v>
      </c>
      <c r="AC97" s="6" t="s">
        <v>59</v>
      </c>
      <c r="AD97" s="6" t="s">
        <v>60</v>
      </c>
      <c r="AE97" s="6" t="s">
        <v>60</v>
      </c>
      <c r="AF97" s="1">
        <v>20</v>
      </c>
      <c r="AG97" s="6" t="s">
        <v>173</v>
      </c>
      <c r="AH97" s="50" t="s">
        <v>107</v>
      </c>
    </row>
  </sheetData>
  <autoFilter ref="A3:AJ97" xr:uid="{00000000-0009-0000-0000-000000000000}"/>
  <mergeCells count="44">
    <mergeCell ref="A1:AD1"/>
    <mergeCell ref="A2:A3"/>
    <mergeCell ref="B2:B3"/>
    <mergeCell ref="C2:C3"/>
    <mergeCell ref="D2:D3"/>
    <mergeCell ref="E2:E3"/>
    <mergeCell ref="F2:F3"/>
    <mergeCell ref="G2:G3"/>
    <mergeCell ref="H2:H3"/>
    <mergeCell ref="I2:I3"/>
    <mergeCell ref="T2:T3"/>
    <mergeCell ref="U2:U3"/>
    <mergeCell ref="O2:O3"/>
    <mergeCell ref="A13:B13"/>
    <mergeCell ref="A20:B20"/>
    <mergeCell ref="A8:B8"/>
    <mergeCell ref="R2:R3"/>
    <mergeCell ref="S2:S3"/>
    <mergeCell ref="N2:N3"/>
    <mergeCell ref="AH2:AH3"/>
    <mergeCell ref="A4:B4"/>
    <mergeCell ref="AD2:AD3"/>
    <mergeCell ref="AE2:AE3"/>
    <mergeCell ref="AF2:AF3"/>
    <mergeCell ref="M2:M3"/>
    <mergeCell ref="AG2:AG3"/>
    <mergeCell ref="V2:X2"/>
    <mergeCell ref="Y2:AA2"/>
    <mergeCell ref="AB2:AB3"/>
    <mergeCell ref="AC2:AC3"/>
    <mergeCell ref="P2:P3"/>
    <mergeCell ref="Q2:Q3"/>
    <mergeCell ref="J2:J3"/>
    <mergeCell ref="K2:K3"/>
    <mergeCell ref="L2:L3"/>
    <mergeCell ref="A90:B90"/>
    <mergeCell ref="AI21:AI52"/>
    <mergeCell ref="A28:B28"/>
    <mergeCell ref="A39:B39"/>
    <mergeCell ref="A59:B59"/>
    <mergeCell ref="A65:B65"/>
    <mergeCell ref="A53:B53"/>
    <mergeCell ref="A71:B71"/>
    <mergeCell ref="A83:B8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14"/>
  <sheetViews>
    <sheetView topLeftCell="A3" zoomScale="96" zoomScaleNormal="96" workbookViewId="0">
      <pane xSplit="3" ySplit="1" topLeftCell="D4" activePane="bottomRight" state="frozen"/>
      <selection activeCell="A3" sqref="A3"/>
      <selection pane="topRight" activeCell="D3" sqref="D3"/>
      <selection pane="bottomLeft" activeCell="A4" sqref="A4"/>
      <selection pane="bottomRight" activeCell="N5" sqref="N5"/>
    </sheetView>
  </sheetViews>
  <sheetFormatPr defaultRowHeight="13.2" x14ac:dyDescent="0.25"/>
  <cols>
    <col min="1" max="1" width="4.33203125" style="5" customWidth="1"/>
    <col min="2" max="2" width="9.109375" style="5" customWidth="1"/>
    <col min="3" max="3" width="20" style="61" customWidth="1"/>
    <col min="4" max="9" width="5" style="5" customWidth="1"/>
    <col min="10" max="10" width="7" style="5" customWidth="1"/>
    <col min="11" max="11" width="5" style="5" customWidth="1"/>
    <col min="12" max="12" width="7" style="5" customWidth="1"/>
    <col min="13" max="13" width="5" style="5" customWidth="1"/>
    <col min="14" max="14" width="31.6640625" style="64" customWidth="1"/>
    <col min="15" max="15" width="35.33203125" style="5" customWidth="1"/>
    <col min="16" max="25" width="3.6640625" style="5" customWidth="1"/>
    <col min="26" max="26" width="3.6640625" style="61" customWidth="1"/>
    <col min="27" max="28" width="3.6640625" style="5" customWidth="1"/>
    <col min="29" max="29" width="3.6640625" style="62" customWidth="1"/>
    <col min="30" max="34" width="3.6640625" style="5" customWidth="1"/>
    <col min="35" max="35" width="5" style="5" customWidth="1"/>
    <col min="36" max="250" width="9.109375" style="5"/>
    <col min="251" max="251" width="3.6640625" style="5" customWidth="1"/>
    <col min="252" max="252" width="4" style="5" customWidth="1"/>
    <col min="253" max="253" width="4.33203125" style="5" customWidth="1"/>
    <col min="254" max="254" width="4.88671875" style="5" customWidth="1"/>
    <col min="255" max="255" width="20" style="5" customWidth="1"/>
    <col min="256" max="261" width="5" style="5" customWidth="1"/>
    <col min="262" max="262" width="7" style="5" customWidth="1"/>
    <col min="263" max="263" width="5" style="5" customWidth="1"/>
    <col min="264" max="264" width="7" style="5" customWidth="1"/>
    <col min="265" max="265" width="5" style="5" customWidth="1"/>
    <col min="266" max="266" width="35.33203125" style="5" customWidth="1"/>
    <col min="267" max="285" width="3.6640625" style="5" customWidth="1"/>
    <col min="286" max="286" width="5" style="5" customWidth="1"/>
    <col min="287" max="287" width="8" style="5" customWidth="1"/>
    <col min="288" max="288" width="5.6640625" style="5" customWidth="1"/>
    <col min="289" max="289" width="7.88671875" style="5" customWidth="1"/>
    <col min="290" max="290" width="4.88671875" style="5" customWidth="1"/>
    <col min="291" max="291" width="4.33203125" style="5" customWidth="1"/>
    <col min="292" max="506" width="9.109375" style="5"/>
    <col min="507" max="507" width="3.6640625" style="5" customWidth="1"/>
    <col min="508" max="508" width="4" style="5" customWidth="1"/>
    <col min="509" max="509" width="4.33203125" style="5" customWidth="1"/>
    <col min="510" max="510" width="4.88671875" style="5" customWidth="1"/>
    <col min="511" max="511" width="20" style="5" customWidth="1"/>
    <col min="512" max="517" width="5" style="5" customWidth="1"/>
    <col min="518" max="518" width="7" style="5" customWidth="1"/>
    <col min="519" max="519" width="5" style="5" customWidth="1"/>
    <col min="520" max="520" width="7" style="5" customWidth="1"/>
    <col min="521" max="521" width="5" style="5" customWidth="1"/>
    <col min="522" max="522" width="35.33203125" style="5" customWidth="1"/>
    <col min="523" max="541" width="3.6640625" style="5" customWidth="1"/>
    <col min="542" max="542" width="5" style="5" customWidth="1"/>
    <col min="543" max="543" width="8" style="5" customWidth="1"/>
    <col min="544" max="544" width="5.6640625" style="5" customWidth="1"/>
    <col min="545" max="545" width="7.88671875" style="5" customWidth="1"/>
    <col min="546" max="546" width="4.88671875" style="5" customWidth="1"/>
    <col min="547" max="547" width="4.33203125" style="5" customWidth="1"/>
    <col min="548" max="762" width="9.109375" style="5"/>
    <col min="763" max="763" width="3.6640625" style="5" customWidth="1"/>
    <col min="764" max="764" width="4" style="5" customWidth="1"/>
    <col min="765" max="765" width="4.33203125" style="5" customWidth="1"/>
    <col min="766" max="766" width="4.88671875" style="5" customWidth="1"/>
    <col min="767" max="767" width="20" style="5" customWidth="1"/>
    <col min="768" max="773" width="5" style="5" customWidth="1"/>
    <col min="774" max="774" width="7" style="5" customWidth="1"/>
    <col min="775" max="775" width="5" style="5" customWidth="1"/>
    <col min="776" max="776" width="7" style="5" customWidth="1"/>
    <col min="777" max="777" width="5" style="5" customWidth="1"/>
    <col min="778" max="778" width="35.33203125" style="5" customWidth="1"/>
    <col min="779" max="797" width="3.6640625" style="5" customWidth="1"/>
    <col min="798" max="798" width="5" style="5" customWidth="1"/>
    <col min="799" max="799" width="8" style="5" customWidth="1"/>
    <col min="800" max="800" width="5.6640625" style="5" customWidth="1"/>
    <col min="801" max="801" width="7.88671875" style="5" customWidth="1"/>
    <col min="802" max="802" width="4.88671875" style="5" customWidth="1"/>
    <col min="803" max="803" width="4.33203125" style="5" customWidth="1"/>
    <col min="804" max="1018" width="9.109375" style="5"/>
    <col min="1019" max="1019" width="3.6640625" style="5" customWidth="1"/>
    <col min="1020" max="1020" width="4" style="5" customWidth="1"/>
    <col min="1021" max="1021" width="4.33203125" style="5" customWidth="1"/>
    <col min="1022" max="1022" width="4.88671875" style="5" customWidth="1"/>
    <col min="1023" max="1023" width="20" style="5" customWidth="1"/>
    <col min="1024" max="1029" width="5" style="5" customWidth="1"/>
    <col min="1030" max="1030" width="7" style="5" customWidth="1"/>
    <col min="1031" max="1031" width="5" style="5" customWidth="1"/>
    <col min="1032" max="1032" width="7" style="5" customWidth="1"/>
    <col min="1033" max="1033" width="5" style="5" customWidth="1"/>
    <col min="1034" max="1034" width="35.33203125" style="5" customWidth="1"/>
    <col min="1035" max="1053" width="3.6640625" style="5" customWidth="1"/>
    <col min="1054" max="1054" width="5" style="5" customWidth="1"/>
    <col min="1055" max="1055" width="8" style="5" customWidth="1"/>
    <col min="1056" max="1056" width="5.6640625" style="5" customWidth="1"/>
    <col min="1057" max="1057" width="7.88671875" style="5" customWidth="1"/>
    <col min="1058" max="1058" width="4.88671875" style="5" customWidth="1"/>
    <col min="1059" max="1059" width="4.33203125" style="5" customWidth="1"/>
    <col min="1060" max="1274" width="9.109375" style="5"/>
    <col min="1275" max="1275" width="3.6640625" style="5" customWidth="1"/>
    <col min="1276" max="1276" width="4" style="5" customWidth="1"/>
    <col min="1277" max="1277" width="4.33203125" style="5" customWidth="1"/>
    <col min="1278" max="1278" width="4.88671875" style="5" customWidth="1"/>
    <col min="1279" max="1279" width="20" style="5" customWidth="1"/>
    <col min="1280" max="1285" width="5" style="5" customWidth="1"/>
    <col min="1286" max="1286" width="7" style="5" customWidth="1"/>
    <col min="1287" max="1287" width="5" style="5" customWidth="1"/>
    <col min="1288" max="1288" width="7" style="5" customWidth="1"/>
    <col min="1289" max="1289" width="5" style="5" customWidth="1"/>
    <col min="1290" max="1290" width="35.33203125" style="5" customWidth="1"/>
    <col min="1291" max="1309" width="3.6640625" style="5" customWidth="1"/>
    <col min="1310" max="1310" width="5" style="5" customWidth="1"/>
    <col min="1311" max="1311" width="8" style="5" customWidth="1"/>
    <col min="1312" max="1312" width="5.6640625" style="5" customWidth="1"/>
    <col min="1313" max="1313" width="7.88671875" style="5" customWidth="1"/>
    <col min="1314" max="1314" width="4.88671875" style="5" customWidth="1"/>
    <col min="1315" max="1315" width="4.33203125" style="5" customWidth="1"/>
    <col min="1316" max="1530" width="9.109375" style="5"/>
    <col min="1531" max="1531" width="3.6640625" style="5" customWidth="1"/>
    <col min="1532" max="1532" width="4" style="5" customWidth="1"/>
    <col min="1533" max="1533" width="4.33203125" style="5" customWidth="1"/>
    <col min="1534" max="1534" width="4.88671875" style="5" customWidth="1"/>
    <col min="1535" max="1535" width="20" style="5" customWidth="1"/>
    <col min="1536" max="1541" width="5" style="5" customWidth="1"/>
    <col min="1542" max="1542" width="7" style="5" customWidth="1"/>
    <col min="1543" max="1543" width="5" style="5" customWidth="1"/>
    <col min="1544" max="1544" width="7" style="5" customWidth="1"/>
    <col min="1545" max="1545" width="5" style="5" customWidth="1"/>
    <col min="1546" max="1546" width="35.33203125" style="5" customWidth="1"/>
    <col min="1547" max="1565" width="3.6640625" style="5" customWidth="1"/>
    <col min="1566" max="1566" width="5" style="5" customWidth="1"/>
    <col min="1567" max="1567" width="8" style="5" customWidth="1"/>
    <col min="1568" max="1568" width="5.6640625" style="5" customWidth="1"/>
    <col min="1569" max="1569" width="7.88671875" style="5" customWidth="1"/>
    <col min="1570" max="1570" width="4.88671875" style="5" customWidth="1"/>
    <col min="1571" max="1571" width="4.33203125" style="5" customWidth="1"/>
    <col min="1572" max="1786" width="9.109375" style="5"/>
    <col min="1787" max="1787" width="3.6640625" style="5" customWidth="1"/>
    <col min="1788" max="1788" width="4" style="5" customWidth="1"/>
    <col min="1789" max="1789" width="4.33203125" style="5" customWidth="1"/>
    <col min="1790" max="1790" width="4.88671875" style="5" customWidth="1"/>
    <col min="1791" max="1791" width="20" style="5" customWidth="1"/>
    <col min="1792" max="1797" width="5" style="5" customWidth="1"/>
    <col min="1798" max="1798" width="7" style="5" customWidth="1"/>
    <col min="1799" max="1799" width="5" style="5" customWidth="1"/>
    <col min="1800" max="1800" width="7" style="5" customWidth="1"/>
    <col min="1801" max="1801" width="5" style="5" customWidth="1"/>
    <col min="1802" max="1802" width="35.33203125" style="5" customWidth="1"/>
    <col min="1803" max="1821" width="3.6640625" style="5" customWidth="1"/>
    <col min="1822" max="1822" width="5" style="5" customWidth="1"/>
    <col min="1823" max="1823" width="8" style="5" customWidth="1"/>
    <col min="1824" max="1824" width="5.6640625" style="5" customWidth="1"/>
    <col min="1825" max="1825" width="7.88671875" style="5" customWidth="1"/>
    <col min="1826" max="1826" width="4.88671875" style="5" customWidth="1"/>
    <col min="1827" max="1827" width="4.33203125" style="5" customWidth="1"/>
    <col min="1828" max="2042" width="9.109375" style="5"/>
    <col min="2043" max="2043" width="3.6640625" style="5" customWidth="1"/>
    <col min="2044" max="2044" width="4" style="5" customWidth="1"/>
    <col min="2045" max="2045" width="4.33203125" style="5" customWidth="1"/>
    <col min="2046" max="2046" width="4.88671875" style="5" customWidth="1"/>
    <col min="2047" max="2047" width="20" style="5" customWidth="1"/>
    <col min="2048" max="2053" width="5" style="5" customWidth="1"/>
    <col min="2054" max="2054" width="7" style="5" customWidth="1"/>
    <col min="2055" max="2055" width="5" style="5" customWidth="1"/>
    <col min="2056" max="2056" width="7" style="5" customWidth="1"/>
    <col min="2057" max="2057" width="5" style="5" customWidth="1"/>
    <col min="2058" max="2058" width="35.33203125" style="5" customWidth="1"/>
    <col min="2059" max="2077" width="3.6640625" style="5" customWidth="1"/>
    <col min="2078" max="2078" width="5" style="5" customWidth="1"/>
    <col min="2079" max="2079" width="8" style="5" customWidth="1"/>
    <col min="2080" max="2080" width="5.6640625" style="5" customWidth="1"/>
    <col min="2081" max="2081" width="7.88671875" style="5" customWidth="1"/>
    <col min="2082" max="2082" width="4.88671875" style="5" customWidth="1"/>
    <col min="2083" max="2083" width="4.33203125" style="5" customWidth="1"/>
    <col min="2084" max="2298" width="9.109375" style="5"/>
    <col min="2299" max="2299" width="3.6640625" style="5" customWidth="1"/>
    <col min="2300" max="2300" width="4" style="5" customWidth="1"/>
    <col min="2301" max="2301" width="4.33203125" style="5" customWidth="1"/>
    <col min="2302" max="2302" width="4.88671875" style="5" customWidth="1"/>
    <col min="2303" max="2303" width="20" style="5" customWidth="1"/>
    <col min="2304" max="2309" width="5" style="5" customWidth="1"/>
    <col min="2310" max="2310" width="7" style="5" customWidth="1"/>
    <col min="2311" max="2311" width="5" style="5" customWidth="1"/>
    <col min="2312" max="2312" width="7" style="5" customWidth="1"/>
    <col min="2313" max="2313" width="5" style="5" customWidth="1"/>
    <col min="2314" max="2314" width="35.33203125" style="5" customWidth="1"/>
    <col min="2315" max="2333" width="3.6640625" style="5" customWidth="1"/>
    <col min="2334" max="2334" width="5" style="5" customWidth="1"/>
    <col min="2335" max="2335" width="8" style="5" customWidth="1"/>
    <col min="2336" max="2336" width="5.6640625" style="5" customWidth="1"/>
    <col min="2337" max="2337" width="7.88671875" style="5" customWidth="1"/>
    <col min="2338" max="2338" width="4.88671875" style="5" customWidth="1"/>
    <col min="2339" max="2339" width="4.33203125" style="5" customWidth="1"/>
    <col min="2340" max="2554" width="9.109375" style="5"/>
    <col min="2555" max="2555" width="3.6640625" style="5" customWidth="1"/>
    <col min="2556" max="2556" width="4" style="5" customWidth="1"/>
    <col min="2557" max="2557" width="4.33203125" style="5" customWidth="1"/>
    <col min="2558" max="2558" width="4.88671875" style="5" customWidth="1"/>
    <col min="2559" max="2559" width="20" style="5" customWidth="1"/>
    <col min="2560" max="2565" width="5" style="5" customWidth="1"/>
    <col min="2566" max="2566" width="7" style="5" customWidth="1"/>
    <col min="2567" max="2567" width="5" style="5" customWidth="1"/>
    <col min="2568" max="2568" width="7" style="5" customWidth="1"/>
    <col min="2569" max="2569" width="5" style="5" customWidth="1"/>
    <col min="2570" max="2570" width="35.33203125" style="5" customWidth="1"/>
    <col min="2571" max="2589" width="3.6640625" style="5" customWidth="1"/>
    <col min="2590" max="2590" width="5" style="5" customWidth="1"/>
    <col min="2591" max="2591" width="8" style="5" customWidth="1"/>
    <col min="2592" max="2592" width="5.6640625" style="5" customWidth="1"/>
    <col min="2593" max="2593" width="7.88671875" style="5" customWidth="1"/>
    <col min="2594" max="2594" width="4.88671875" style="5" customWidth="1"/>
    <col min="2595" max="2595" width="4.33203125" style="5" customWidth="1"/>
    <col min="2596" max="2810" width="9.109375" style="5"/>
    <col min="2811" max="2811" width="3.6640625" style="5" customWidth="1"/>
    <col min="2812" max="2812" width="4" style="5" customWidth="1"/>
    <col min="2813" max="2813" width="4.33203125" style="5" customWidth="1"/>
    <col min="2814" max="2814" width="4.88671875" style="5" customWidth="1"/>
    <col min="2815" max="2815" width="20" style="5" customWidth="1"/>
    <col min="2816" max="2821" width="5" style="5" customWidth="1"/>
    <col min="2822" max="2822" width="7" style="5" customWidth="1"/>
    <col min="2823" max="2823" width="5" style="5" customWidth="1"/>
    <col min="2824" max="2824" width="7" style="5" customWidth="1"/>
    <col min="2825" max="2825" width="5" style="5" customWidth="1"/>
    <col min="2826" max="2826" width="35.33203125" style="5" customWidth="1"/>
    <col min="2827" max="2845" width="3.6640625" style="5" customWidth="1"/>
    <col min="2846" max="2846" width="5" style="5" customWidth="1"/>
    <col min="2847" max="2847" width="8" style="5" customWidth="1"/>
    <col min="2848" max="2848" width="5.6640625" style="5" customWidth="1"/>
    <col min="2849" max="2849" width="7.88671875" style="5" customWidth="1"/>
    <col min="2850" max="2850" width="4.88671875" style="5" customWidth="1"/>
    <col min="2851" max="2851" width="4.33203125" style="5" customWidth="1"/>
    <col min="2852" max="3066" width="9.109375" style="5"/>
    <col min="3067" max="3067" width="3.6640625" style="5" customWidth="1"/>
    <col min="3068" max="3068" width="4" style="5" customWidth="1"/>
    <col min="3069" max="3069" width="4.33203125" style="5" customWidth="1"/>
    <col min="3070" max="3070" width="4.88671875" style="5" customWidth="1"/>
    <col min="3071" max="3071" width="20" style="5" customWidth="1"/>
    <col min="3072" max="3077" width="5" style="5" customWidth="1"/>
    <col min="3078" max="3078" width="7" style="5" customWidth="1"/>
    <col min="3079" max="3079" width="5" style="5" customWidth="1"/>
    <col min="3080" max="3080" width="7" style="5" customWidth="1"/>
    <col min="3081" max="3081" width="5" style="5" customWidth="1"/>
    <col min="3082" max="3082" width="35.33203125" style="5" customWidth="1"/>
    <col min="3083" max="3101" width="3.6640625" style="5" customWidth="1"/>
    <col min="3102" max="3102" width="5" style="5" customWidth="1"/>
    <col min="3103" max="3103" width="8" style="5" customWidth="1"/>
    <col min="3104" max="3104" width="5.6640625" style="5" customWidth="1"/>
    <col min="3105" max="3105" width="7.88671875" style="5" customWidth="1"/>
    <col min="3106" max="3106" width="4.88671875" style="5" customWidth="1"/>
    <col min="3107" max="3107" width="4.33203125" style="5" customWidth="1"/>
    <col min="3108" max="3322" width="9.109375" style="5"/>
    <col min="3323" max="3323" width="3.6640625" style="5" customWidth="1"/>
    <col min="3324" max="3324" width="4" style="5" customWidth="1"/>
    <col min="3325" max="3325" width="4.33203125" style="5" customWidth="1"/>
    <col min="3326" max="3326" width="4.88671875" style="5" customWidth="1"/>
    <col min="3327" max="3327" width="20" style="5" customWidth="1"/>
    <col min="3328" max="3333" width="5" style="5" customWidth="1"/>
    <col min="3334" max="3334" width="7" style="5" customWidth="1"/>
    <col min="3335" max="3335" width="5" style="5" customWidth="1"/>
    <col min="3336" max="3336" width="7" style="5" customWidth="1"/>
    <col min="3337" max="3337" width="5" style="5" customWidth="1"/>
    <col min="3338" max="3338" width="35.33203125" style="5" customWidth="1"/>
    <col min="3339" max="3357" width="3.6640625" style="5" customWidth="1"/>
    <col min="3358" max="3358" width="5" style="5" customWidth="1"/>
    <col min="3359" max="3359" width="8" style="5" customWidth="1"/>
    <col min="3360" max="3360" width="5.6640625" style="5" customWidth="1"/>
    <col min="3361" max="3361" width="7.88671875" style="5" customWidth="1"/>
    <col min="3362" max="3362" width="4.88671875" style="5" customWidth="1"/>
    <col min="3363" max="3363" width="4.33203125" style="5" customWidth="1"/>
    <col min="3364" max="3578" width="9.109375" style="5"/>
    <col min="3579" max="3579" width="3.6640625" style="5" customWidth="1"/>
    <col min="3580" max="3580" width="4" style="5" customWidth="1"/>
    <col min="3581" max="3581" width="4.33203125" style="5" customWidth="1"/>
    <col min="3582" max="3582" width="4.88671875" style="5" customWidth="1"/>
    <col min="3583" max="3583" width="20" style="5" customWidth="1"/>
    <col min="3584" max="3589" width="5" style="5" customWidth="1"/>
    <col min="3590" max="3590" width="7" style="5" customWidth="1"/>
    <col min="3591" max="3591" width="5" style="5" customWidth="1"/>
    <col min="3592" max="3592" width="7" style="5" customWidth="1"/>
    <col min="3593" max="3593" width="5" style="5" customWidth="1"/>
    <col min="3594" max="3594" width="35.33203125" style="5" customWidth="1"/>
    <col min="3595" max="3613" width="3.6640625" style="5" customWidth="1"/>
    <col min="3614" max="3614" width="5" style="5" customWidth="1"/>
    <col min="3615" max="3615" width="8" style="5" customWidth="1"/>
    <col min="3616" max="3616" width="5.6640625" style="5" customWidth="1"/>
    <col min="3617" max="3617" width="7.88671875" style="5" customWidth="1"/>
    <col min="3618" max="3618" width="4.88671875" style="5" customWidth="1"/>
    <col min="3619" max="3619" width="4.33203125" style="5" customWidth="1"/>
    <col min="3620" max="3834" width="9.109375" style="5"/>
    <col min="3835" max="3835" width="3.6640625" style="5" customWidth="1"/>
    <col min="3836" max="3836" width="4" style="5" customWidth="1"/>
    <col min="3837" max="3837" width="4.33203125" style="5" customWidth="1"/>
    <col min="3838" max="3838" width="4.88671875" style="5" customWidth="1"/>
    <col min="3839" max="3839" width="20" style="5" customWidth="1"/>
    <col min="3840" max="3845" width="5" style="5" customWidth="1"/>
    <col min="3846" max="3846" width="7" style="5" customWidth="1"/>
    <col min="3847" max="3847" width="5" style="5" customWidth="1"/>
    <col min="3848" max="3848" width="7" style="5" customWidth="1"/>
    <col min="3849" max="3849" width="5" style="5" customWidth="1"/>
    <col min="3850" max="3850" width="35.33203125" style="5" customWidth="1"/>
    <col min="3851" max="3869" width="3.6640625" style="5" customWidth="1"/>
    <col min="3870" max="3870" width="5" style="5" customWidth="1"/>
    <col min="3871" max="3871" width="8" style="5" customWidth="1"/>
    <col min="3872" max="3872" width="5.6640625" style="5" customWidth="1"/>
    <col min="3873" max="3873" width="7.88671875" style="5" customWidth="1"/>
    <col min="3874" max="3874" width="4.88671875" style="5" customWidth="1"/>
    <col min="3875" max="3875" width="4.33203125" style="5" customWidth="1"/>
    <col min="3876" max="4090" width="9.109375" style="5"/>
    <col min="4091" max="4091" width="3.6640625" style="5" customWidth="1"/>
    <col min="4092" max="4092" width="4" style="5" customWidth="1"/>
    <col min="4093" max="4093" width="4.33203125" style="5" customWidth="1"/>
    <col min="4094" max="4094" width="4.88671875" style="5" customWidth="1"/>
    <col min="4095" max="4095" width="20" style="5" customWidth="1"/>
    <col min="4096" max="4101" width="5" style="5" customWidth="1"/>
    <col min="4102" max="4102" width="7" style="5" customWidth="1"/>
    <col min="4103" max="4103" width="5" style="5" customWidth="1"/>
    <col min="4104" max="4104" width="7" style="5" customWidth="1"/>
    <col min="4105" max="4105" width="5" style="5" customWidth="1"/>
    <col min="4106" max="4106" width="35.33203125" style="5" customWidth="1"/>
    <col min="4107" max="4125" width="3.6640625" style="5" customWidth="1"/>
    <col min="4126" max="4126" width="5" style="5" customWidth="1"/>
    <col min="4127" max="4127" width="8" style="5" customWidth="1"/>
    <col min="4128" max="4128" width="5.6640625" style="5" customWidth="1"/>
    <col min="4129" max="4129" width="7.88671875" style="5" customWidth="1"/>
    <col min="4130" max="4130" width="4.88671875" style="5" customWidth="1"/>
    <col min="4131" max="4131" width="4.33203125" style="5" customWidth="1"/>
    <col min="4132" max="4346" width="9.109375" style="5"/>
    <col min="4347" max="4347" width="3.6640625" style="5" customWidth="1"/>
    <col min="4348" max="4348" width="4" style="5" customWidth="1"/>
    <col min="4349" max="4349" width="4.33203125" style="5" customWidth="1"/>
    <col min="4350" max="4350" width="4.88671875" style="5" customWidth="1"/>
    <col min="4351" max="4351" width="20" style="5" customWidth="1"/>
    <col min="4352" max="4357" width="5" style="5" customWidth="1"/>
    <col min="4358" max="4358" width="7" style="5" customWidth="1"/>
    <col min="4359" max="4359" width="5" style="5" customWidth="1"/>
    <col min="4360" max="4360" width="7" style="5" customWidth="1"/>
    <col min="4361" max="4361" width="5" style="5" customWidth="1"/>
    <col min="4362" max="4362" width="35.33203125" style="5" customWidth="1"/>
    <col min="4363" max="4381" width="3.6640625" style="5" customWidth="1"/>
    <col min="4382" max="4382" width="5" style="5" customWidth="1"/>
    <col min="4383" max="4383" width="8" style="5" customWidth="1"/>
    <col min="4384" max="4384" width="5.6640625" style="5" customWidth="1"/>
    <col min="4385" max="4385" width="7.88671875" style="5" customWidth="1"/>
    <col min="4386" max="4386" width="4.88671875" style="5" customWidth="1"/>
    <col min="4387" max="4387" width="4.33203125" style="5" customWidth="1"/>
    <col min="4388" max="4602" width="9.109375" style="5"/>
    <col min="4603" max="4603" width="3.6640625" style="5" customWidth="1"/>
    <col min="4604" max="4604" width="4" style="5" customWidth="1"/>
    <col min="4605" max="4605" width="4.33203125" style="5" customWidth="1"/>
    <col min="4606" max="4606" width="4.88671875" style="5" customWidth="1"/>
    <col min="4607" max="4607" width="20" style="5" customWidth="1"/>
    <col min="4608" max="4613" width="5" style="5" customWidth="1"/>
    <col min="4614" max="4614" width="7" style="5" customWidth="1"/>
    <col min="4615" max="4615" width="5" style="5" customWidth="1"/>
    <col min="4616" max="4616" width="7" style="5" customWidth="1"/>
    <col min="4617" max="4617" width="5" style="5" customWidth="1"/>
    <col min="4618" max="4618" width="35.33203125" style="5" customWidth="1"/>
    <col min="4619" max="4637" width="3.6640625" style="5" customWidth="1"/>
    <col min="4638" max="4638" width="5" style="5" customWidth="1"/>
    <col min="4639" max="4639" width="8" style="5" customWidth="1"/>
    <col min="4640" max="4640" width="5.6640625" style="5" customWidth="1"/>
    <col min="4641" max="4641" width="7.88671875" style="5" customWidth="1"/>
    <col min="4642" max="4642" width="4.88671875" style="5" customWidth="1"/>
    <col min="4643" max="4643" width="4.33203125" style="5" customWidth="1"/>
    <col min="4644" max="4858" width="9.109375" style="5"/>
    <col min="4859" max="4859" width="3.6640625" style="5" customWidth="1"/>
    <col min="4860" max="4860" width="4" style="5" customWidth="1"/>
    <col min="4861" max="4861" width="4.33203125" style="5" customWidth="1"/>
    <col min="4862" max="4862" width="4.88671875" style="5" customWidth="1"/>
    <col min="4863" max="4863" width="20" style="5" customWidth="1"/>
    <col min="4864" max="4869" width="5" style="5" customWidth="1"/>
    <col min="4870" max="4870" width="7" style="5" customWidth="1"/>
    <col min="4871" max="4871" width="5" style="5" customWidth="1"/>
    <col min="4872" max="4872" width="7" style="5" customWidth="1"/>
    <col min="4873" max="4873" width="5" style="5" customWidth="1"/>
    <col min="4874" max="4874" width="35.33203125" style="5" customWidth="1"/>
    <col min="4875" max="4893" width="3.6640625" style="5" customWidth="1"/>
    <col min="4894" max="4894" width="5" style="5" customWidth="1"/>
    <col min="4895" max="4895" width="8" style="5" customWidth="1"/>
    <col min="4896" max="4896" width="5.6640625" style="5" customWidth="1"/>
    <col min="4897" max="4897" width="7.88671875" style="5" customWidth="1"/>
    <col min="4898" max="4898" width="4.88671875" style="5" customWidth="1"/>
    <col min="4899" max="4899" width="4.33203125" style="5" customWidth="1"/>
    <col min="4900" max="5114" width="9.109375" style="5"/>
    <col min="5115" max="5115" width="3.6640625" style="5" customWidth="1"/>
    <col min="5116" max="5116" width="4" style="5" customWidth="1"/>
    <col min="5117" max="5117" width="4.33203125" style="5" customWidth="1"/>
    <col min="5118" max="5118" width="4.88671875" style="5" customWidth="1"/>
    <col min="5119" max="5119" width="20" style="5" customWidth="1"/>
    <col min="5120" max="5125" width="5" style="5" customWidth="1"/>
    <col min="5126" max="5126" width="7" style="5" customWidth="1"/>
    <col min="5127" max="5127" width="5" style="5" customWidth="1"/>
    <col min="5128" max="5128" width="7" style="5" customWidth="1"/>
    <col min="5129" max="5129" width="5" style="5" customWidth="1"/>
    <col min="5130" max="5130" width="35.33203125" style="5" customWidth="1"/>
    <col min="5131" max="5149" width="3.6640625" style="5" customWidth="1"/>
    <col min="5150" max="5150" width="5" style="5" customWidth="1"/>
    <col min="5151" max="5151" width="8" style="5" customWidth="1"/>
    <col min="5152" max="5152" width="5.6640625" style="5" customWidth="1"/>
    <col min="5153" max="5153" width="7.88671875" style="5" customWidth="1"/>
    <col min="5154" max="5154" width="4.88671875" style="5" customWidth="1"/>
    <col min="5155" max="5155" width="4.33203125" style="5" customWidth="1"/>
    <col min="5156" max="5370" width="9.109375" style="5"/>
    <col min="5371" max="5371" width="3.6640625" style="5" customWidth="1"/>
    <col min="5372" max="5372" width="4" style="5" customWidth="1"/>
    <col min="5373" max="5373" width="4.33203125" style="5" customWidth="1"/>
    <col min="5374" max="5374" width="4.88671875" style="5" customWidth="1"/>
    <col min="5375" max="5375" width="20" style="5" customWidth="1"/>
    <col min="5376" max="5381" width="5" style="5" customWidth="1"/>
    <col min="5382" max="5382" width="7" style="5" customWidth="1"/>
    <col min="5383" max="5383" width="5" style="5" customWidth="1"/>
    <col min="5384" max="5384" width="7" style="5" customWidth="1"/>
    <col min="5385" max="5385" width="5" style="5" customWidth="1"/>
    <col min="5386" max="5386" width="35.33203125" style="5" customWidth="1"/>
    <col min="5387" max="5405" width="3.6640625" style="5" customWidth="1"/>
    <col min="5406" max="5406" width="5" style="5" customWidth="1"/>
    <col min="5407" max="5407" width="8" style="5" customWidth="1"/>
    <col min="5408" max="5408" width="5.6640625" style="5" customWidth="1"/>
    <col min="5409" max="5409" width="7.88671875" style="5" customWidth="1"/>
    <col min="5410" max="5410" width="4.88671875" style="5" customWidth="1"/>
    <col min="5411" max="5411" width="4.33203125" style="5" customWidth="1"/>
    <col min="5412" max="5626" width="9.109375" style="5"/>
    <col min="5627" max="5627" width="3.6640625" style="5" customWidth="1"/>
    <col min="5628" max="5628" width="4" style="5" customWidth="1"/>
    <col min="5629" max="5629" width="4.33203125" style="5" customWidth="1"/>
    <col min="5630" max="5630" width="4.88671875" style="5" customWidth="1"/>
    <col min="5631" max="5631" width="20" style="5" customWidth="1"/>
    <col min="5632" max="5637" width="5" style="5" customWidth="1"/>
    <col min="5638" max="5638" width="7" style="5" customWidth="1"/>
    <col min="5639" max="5639" width="5" style="5" customWidth="1"/>
    <col min="5640" max="5640" width="7" style="5" customWidth="1"/>
    <col min="5641" max="5641" width="5" style="5" customWidth="1"/>
    <col min="5642" max="5642" width="35.33203125" style="5" customWidth="1"/>
    <col min="5643" max="5661" width="3.6640625" style="5" customWidth="1"/>
    <col min="5662" max="5662" width="5" style="5" customWidth="1"/>
    <col min="5663" max="5663" width="8" style="5" customWidth="1"/>
    <col min="5664" max="5664" width="5.6640625" style="5" customWidth="1"/>
    <col min="5665" max="5665" width="7.88671875" style="5" customWidth="1"/>
    <col min="5666" max="5666" width="4.88671875" style="5" customWidth="1"/>
    <col min="5667" max="5667" width="4.33203125" style="5" customWidth="1"/>
    <col min="5668" max="5882" width="9.109375" style="5"/>
    <col min="5883" max="5883" width="3.6640625" style="5" customWidth="1"/>
    <col min="5884" max="5884" width="4" style="5" customWidth="1"/>
    <col min="5885" max="5885" width="4.33203125" style="5" customWidth="1"/>
    <col min="5886" max="5886" width="4.88671875" style="5" customWidth="1"/>
    <col min="5887" max="5887" width="20" style="5" customWidth="1"/>
    <col min="5888" max="5893" width="5" style="5" customWidth="1"/>
    <col min="5894" max="5894" width="7" style="5" customWidth="1"/>
    <col min="5895" max="5895" width="5" style="5" customWidth="1"/>
    <col min="5896" max="5896" width="7" style="5" customWidth="1"/>
    <col min="5897" max="5897" width="5" style="5" customWidth="1"/>
    <col min="5898" max="5898" width="35.33203125" style="5" customWidth="1"/>
    <col min="5899" max="5917" width="3.6640625" style="5" customWidth="1"/>
    <col min="5918" max="5918" width="5" style="5" customWidth="1"/>
    <col min="5919" max="5919" width="8" style="5" customWidth="1"/>
    <col min="5920" max="5920" width="5.6640625" style="5" customWidth="1"/>
    <col min="5921" max="5921" width="7.88671875" style="5" customWidth="1"/>
    <col min="5922" max="5922" width="4.88671875" style="5" customWidth="1"/>
    <col min="5923" max="5923" width="4.33203125" style="5" customWidth="1"/>
    <col min="5924" max="6138" width="9.109375" style="5"/>
    <col min="6139" max="6139" width="3.6640625" style="5" customWidth="1"/>
    <col min="6140" max="6140" width="4" style="5" customWidth="1"/>
    <col min="6141" max="6141" width="4.33203125" style="5" customWidth="1"/>
    <col min="6142" max="6142" width="4.88671875" style="5" customWidth="1"/>
    <col min="6143" max="6143" width="20" style="5" customWidth="1"/>
    <col min="6144" max="6149" width="5" style="5" customWidth="1"/>
    <col min="6150" max="6150" width="7" style="5" customWidth="1"/>
    <col min="6151" max="6151" width="5" style="5" customWidth="1"/>
    <col min="6152" max="6152" width="7" style="5" customWidth="1"/>
    <col min="6153" max="6153" width="5" style="5" customWidth="1"/>
    <col min="6154" max="6154" width="35.33203125" style="5" customWidth="1"/>
    <col min="6155" max="6173" width="3.6640625" style="5" customWidth="1"/>
    <col min="6174" max="6174" width="5" style="5" customWidth="1"/>
    <col min="6175" max="6175" width="8" style="5" customWidth="1"/>
    <col min="6176" max="6176" width="5.6640625" style="5" customWidth="1"/>
    <col min="6177" max="6177" width="7.88671875" style="5" customWidth="1"/>
    <col min="6178" max="6178" width="4.88671875" style="5" customWidth="1"/>
    <col min="6179" max="6179" width="4.33203125" style="5" customWidth="1"/>
    <col min="6180" max="6394" width="9.109375" style="5"/>
    <col min="6395" max="6395" width="3.6640625" style="5" customWidth="1"/>
    <col min="6396" max="6396" width="4" style="5" customWidth="1"/>
    <col min="6397" max="6397" width="4.33203125" style="5" customWidth="1"/>
    <col min="6398" max="6398" width="4.88671875" style="5" customWidth="1"/>
    <col min="6399" max="6399" width="20" style="5" customWidth="1"/>
    <col min="6400" max="6405" width="5" style="5" customWidth="1"/>
    <col min="6406" max="6406" width="7" style="5" customWidth="1"/>
    <col min="6407" max="6407" width="5" style="5" customWidth="1"/>
    <col min="6408" max="6408" width="7" style="5" customWidth="1"/>
    <col min="6409" max="6409" width="5" style="5" customWidth="1"/>
    <col min="6410" max="6410" width="35.33203125" style="5" customWidth="1"/>
    <col min="6411" max="6429" width="3.6640625" style="5" customWidth="1"/>
    <col min="6430" max="6430" width="5" style="5" customWidth="1"/>
    <col min="6431" max="6431" width="8" style="5" customWidth="1"/>
    <col min="6432" max="6432" width="5.6640625" style="5" customWidth="1"/>
    <col min="6433" max="6433" width="7.88671875" style="5" customWidth="1"/>
    <col min="6434" max="6434" width="4.88671875" style="5" customWidth="1"/>
    <col min="6435" max="6435" width="4.33203125" style="5" customWidth="1"/>
    <col min="6436" max="6650" width="9.109375" style="5"/>
    <col min="6651" max="6651" width="3.6640625" style="5" customWidth="1"/>
    <col min="6652" max="6652" width="4" style="5" customWidth="1"/>
    <col min="6653" max="6653" width="4.33203125" style="5" customWidth="1"/>
    <col min="6654" max="6654" width="4.88671875" style="5" customWidth="1"/>
    <col min="6655" max="6655" width="20" style="5" customWidth="1"/>
    <col min="6656" max="6661" width="5" style="5" customWidth="1"/>
    <col min="6662" max="6662" width="7" style="5" customWidth="1"/>
    <col min="6663" max="6663" width="5" style="5" customWidth="1"/>
    <col min="6664" max="6664" width="7" style="5" customWidth="1"/>
    <col min="6665" max="6665" width="5" style="5" customWidth="1"/>
    <col min="6666" max="6666" width="35.33203125" style="5" customWidth="1"/>
    <col min="6667" max="6685" width="3.6640625" style="5" customWidth="1"/>
    <col min="6686" max="6686" width="5" style="5" customWidth="1"/>
    <col min="6687" max="6687" width="8" style="5" customWidth="1"/>
    <col min="6688" max="6688" width="5.6640625" style="5" customWidth="1"/>
    <col min="6689" max="6689" width="7.88671875" style="5" customWidth="1"/>
    <col min="6690" max="6690" width="4.88671875" style="5" customWidth="1"/>
    <col min="6691" max="6691" width="4.33203125" style="5" customWidth="1"/>
    <col min="6692" max="6906" width="9.109375" style="5"/>
    <col min="6907" max="6907" width="3.6640625" style="5" customWidth="1"/>
    <col min="6908" max="6908" width="4" style="5" customWidth="1"/>
    <col min="6909" max="6909" width="4.33203125" style="5" customWidth="1"/>
    <col min="6910" max="6910" width="4.88671875" style="5" customWidth="1"/>
    <col min="6911" max="6911" width="20" style="5" customWidth="1"/>
    <col min="6912" max="6917" width="5" style="5" customWidth="1"/>
    <col min="6918" max="6918" width="7" style="5" customWidth="1"/>
    <col min="6919" max="6919" width="5" style="5" customWidth="1"/>
    <col min="6920" max="6920" width="7" style="5" customWidth="1"/>
    <col min="6921" max="6921" width="5" style="5" customWidth="1"/>
    <col min="6922" max="6922" width="35.33203125" style="5" customWidth="1"/>
    <col min="6923" max="6941" width="3.6640625" style="5" customWidth="1"/>
    <col min="6942" max="6942" width="5" style="5" customWidth="1"/>
    <col min="6943" max="6943" width="8" style="5" customWidth="1"/>
    <col min="6944" max="6944" width="5.6640625" style="5" customWidth="1"/>
    <col min="6945" max="6945" width="7.88671875" style="5" customWidth="1"/>
    <col min="6946" max="6946" width="4.88671875" style="5" customWidth="1"/>
    <col min="6947" max="6947" width="4.33203125" style="5" customWidth="1"/>
    <col min="6948" max="7162" width="9.109375" style="5"/>
    <col min="7163" max="7163" width="3.6640625" style="5" customWidth="1"/>
    <col min="7164" max="7164" width="4" style="5" customWidth="1"/>
    <col min="7165" max="7165" width="4.33203125" style="5" customWidth="1"/>
    <col min="7166" max="7166" width="4.88671875" style="5" customWidth="1"/>
    <col min="7167" max="7167" width="20" style="5" customWidth="1"/>
    <col min="7168" max="7173" width="5" style="5" customWidth="1"/>
    <col min="7174" max="7174" width="7" style="5" customWidth="1"/>
    <col min="7175" max="7175" width="5" style="5" customWidth="1"/>
    <col min="7176" max="7176" width="7" style="5" customWidth="1"/>
    <col min="7177" max="7177" width="5" style="5" customWidth="1"/>
    <col min="7178" max="7178" width="35.33203125" style="5" customWidth="1"/>
    <col min="7179" max="7197" width="3.6640625" style="5" customWidth="1"/>
    <col min="7198" max="7198" width="5" style="5" customWidth="1"/>
    <col min="7199" max="7199" width="8" style="5" customWidth="1"/>
    <col min="7200" max="7200" width="5.6640625" style="5" customWidth="1"/>
    <col min="7201" max="7201" width="7.88671875" style="5" customWidth="1"/>
    <col min="7202" max="7202" width="4.88671875" style="5" customWidth="1"/>
    <col min="7203" max="7203" width="4.33203125" style="5" customWidth="1"/>
    <col min="7204" max="7418" width="9.109375" style="5"/>
    <col min="7419" max="7419" width="3.6640625" style="5" customWidth="1"/>
    <col min="7420" max="7420" width="4" style="5" customWidth="1"/>
    <col min="7421" max="7421" width="4.33203125" style="5" customWidth="1"/>
    <col min="7422" max="7422" width="4.88671875" style="5" customWidth="1"/>
    <col min="7423" max="7423" width="20" style="5" customWidth="1"/>
    <col min="7424" max="7429" width="5" style="5" customWidth="1"/>
    <col min="7430" max="7430" width="7" style="5" customWidth="1"/>
    <col min="7431" max="7431" width="5" style="5" customWidth="1"/>
    <col min="7432" max="7432" width="7" style="5" customWidth="1"/>
    <col min="7433" max="7433" width="5" style="5" customWidth="1"/>
    <col min="7434" max="7434" width="35.33203125" style="5" customWidth="1"/>
    <col min="7435" max="7453" width="3.6640625" style="5" customWidth="1"/>
    <col min="7454" max="7454" width="5" style="5" customWidth="1"/>
    <col min="7455" max="7455" width="8" style="5" customWidth="1"/>
    <col min="7456" max="7456" width="5.6640625" style="5" customWidth="1"/>
    <col min="7457" max="7457" width="7.88671875" style="5" customWidth="1"/>
    <col min="7458" max="7458" width="4.88671875" style="5" customWidth="1"/>
    <col min="7459" max="7459" width="4.33203125" style="5" customWidth="1"/>
    <col min="7460" max="7674" width="9.109375" style="5"/>
    <col min="7675" max="7675" width="3.6640625" style="5" customWidth="1"/>
    <col min="7676" max="7676" width="4" style="5" customWidth="1"/>
    <col min="7677" max="7677" width="4.33203125" style="5" customWidth="1"/>
    <col min="7678" max="7678" width="4.88671875" style="5" customWidth="1"/>
    <col min="7679" max="7679" width="20" style="5" customWidth="1"/>
    <col min="7680" max="7685" width="5" style="5" customWidth="1"/>
    <col min="7686" max="7686" width="7" style="5" customWidth="1"/>
    <col min="7687" max="7687" width="5" style="5" customWidth="1"/>
    <col min="7688" max="7688" width="7" style="5" customWidth="1"/>
    <col min="7689" max="7689" width="5" style="5" customWidth="1"/>
    <col min="7690" max="7690" width="35.33203125" style="5" customWidth="1"/>
    <col min="7691" max="7709" width="3.6640625" style="5" customWidth="1"/>
    <col min="7710" max="7710" width="5" style="5" customWidth="1"/>
    <col min="7711" max="7711" width="8" style="5" customWidth="1"/>
    <col min="7712" max="7712" width="5.6640625" style="5" customWidth="1"/>
    <col min="7713" max="7713" width="7.88671875" style="5" customWidth="1"/>
    <col min="7714" max="7714" width="4.88671875" style="5" customWidth="1"/>
    <col min="7715" max="7715" width="4.33203125" style="5" customWidth="1"/>
    <col min="7716" max="7930" width="9.109375" style="5"/>
    <col min="7931" max="7931" width="3.6640625" style="5" customWidth="1"/>
    <col min="7932" max="7932" width="4" style="5" customWidth="1"/>
    <col min="7933" max="7933" width="4.33203125" style="5" customWidth="1"/>
    <col min="7934" max="7934" width="4.88671875" style="5" customWidth="1"/>
    <col min="7935" max="7935" width="20" style="5" customWidth="1"/>
    <col min="7936" max="7941" width="5" style="5" customWidth="1"/>
    <col min="7942" max="7942" width="7" style="5" customWidth="1"/>
    <col min="7943" max="7943" width="5" style="5" customWidth="1"/>
    <col min="7944" max="7944" width="7" style="5" customWidth="1"/>
    <col min="7945" max="7945" width="5" style="5" customWidth="1"/>
    <col min="7946" max="7946" width="35.33203125" style="5" customWidth="1"/>
    <col min="7947" max="7965" width="3.6640625" style="5" customWidth="1"/>
    <col min="7966" max="7966" width="5" style="5" customWidth="1"/>
    <col min="7967" max="7967" width="8" style="5" customWidth="1"/>
    <col min="7968" max="7968" width="5.6640625" style="5" customWidth="1"/>
    <col min="7969" max="7969" width="7.88671875" style="5" customWidth="1"/>
    <col min="7970" max="7970" width="4.88671875" style="5" customWidth="1"/>
    <col min="7971" max="7971" width="4.33203125" style="5" customWidth="1"/>
    <col min="7972" max="8186" width="9.109375" style="5"/>
    <col min="8187" max="8187" width="3.6640625" style="5" customWidth="1"/>
    <col min="8188" max="8188" width="4" style="5" customWidth="1"/>
    <col min="8189" max="8189" width="4.33203125" style="5" customWidth="1"/>
    <col min="8190" max="8190" width="4.88671875" style="5" customWidth="1"/>
    <col min="8191" max="8191" width="20" style="5" customWidth="1"/>
    <col min="8192" max="8197" width="5" style="5" customWidth="1"/>
    <col min="8198" max="8198" width="7" style="5" customWidth="1"/>
    <col min="8199" max="8199" width="5" style="5" customWidth="1"/>
    <col min="8200" max="8200" width="7" style="5" customWidth="1"/>
    <col min="8201" max="8201" width="5" style="5" customWidth="1"/>
    <col min="8202" max="8202" width="35.33203125" style="5" customWidth="1"/>
    <col min="8203" max="8221" width="3.6640625" style="5" customWidth="1"/>
    <col min="8222" max="8222" width="5" style="5" customWidth="1"/>
    <col min="8223" max="8223" width="8" style="5" customWidth="1"/>
    <col min="8224" max="8224" width="5.6640625" style="5" customWidth="1"/>
    <col min="8225" max="8225" width="7.88671875" style="5" customWidth="1"/>
    <col min="8226" max="8226" width="4.88671875" style="5" customWidth="1"/>
    <col min="8227" max="8227" width="4.33203125" style="5" customWidth="1"/>
    <col min="8228" max="8442" width="9.109375" style="5"/>
    <col min="8443" max="8443" width="3.6640625" style="5" customWidth="1"/>
    <col min="8444" max="8444" width="4" style="5" customWidth="1"/>
    <col min="8445" max="8445" width="4.33203125" style="5" customWidth="1"/>
    <col min="8446" max="8446" width="4.88671875" style="5" customWidth="1"/>
    <col min="8447" max="8447" width="20" style="5" customWidth="1"/>
    <col min="8448" max="8453" width="5" style="5" customWidth="1"/>
    <col min="8454" max="8454" width="7" style="5" customWidth="1"/>
    <col min="8455" max="8455" width="5" style="5" customWidth="1"/>
    <col min="8456" max="8456" width="7" style="5" customWidth="1"/>
    <col min="8457" max="8457" width="5" style="5" customWidth="1"/>
    <col min="8458" max="8458" width="35.33203125" style="5" customWidth="1"/>
    <col min="8459" max="8477" width="3.6640625" style="5" customWidth="1"/>
    <col min="8478" max="8478" width="5" style="5" customWidth="1"/>
    <col min="8479" max="8479" width="8" style="5" customWidth="1"/>
    <col min="8480" max="8480" width="5.6640625" style="5" customWidth="1"/>
    <col min="8481" max="8481" width="7.88671875" style="5" customWidth="1"/>
    <col min="8482" max="8482" width="4.88671875" style="5" customWidth="1"/>
    <col min="8483" max="8483" width="4.33203125" style="5" customWidth="1"/>
    <col min="8484" max="8698" width="9.109375" style="5"/>
    <col min="8699" max="8699" width="3.6640625" style="5" customWidth="1"/>
    <col min="8700" max="8700" width="4" style="5" customWidth="1"/>
    <col min="8701" max="8701" width="4.33203125" style="5" customWidth="1"/>
    <col min="8702" max="8702" width="4.88671875" style="5" customWidth="1"/>
    <col min="8703" max="8703" width="20" style="5" customWidth="1"/>
    <col min="8704" max="8709" width="5" style="5" customWidth="1"/>
    <col min="8710" max="8710" width="7" style="5" customWidth="1"/>
    <col min="8711" max="8711" width="5" style="5" customWidth="1"/>
    <col min="8712" max="8712" width="7" style="5" customWidth="1"/>
    <col min="8713" max="8713" width="5" style="5" customWidth="1"/>
    <col min="8714" max="8714" width="35.33203125" style="5" customWidth="1"/>
    <col min="8715" max="8733" width="3.6640625" style="5" customWidth="1"/>
    <col min="8734" max="8734" width="5" style="5" customWidth="1"/>
    <col min="8735" max="8735" width="8" style="5" customWidth="1"/>
    <col min="8736" max="8736" width="5.6640625" style="5" customWidth="1"/>
    <col min="8737" max="8737" width="7.88671875" style="5" customWidth="1"/>
    <col min="8738" max="8738" width="4.88671875" style="5" customWidth="1"/>
    <col min="8739" max="8739" width="4.33203125" style="5" customWidth="1"/>
    <col min="8740" max="8954" width="9.109375" style="5"/>
    <col min="8955" max="8955" width="3.6640625" style="5" customWidth="1"/>
    <col min="8956" max="8956" width="4" style="5" customWidth="1"/>
    <col min="8957" max="8957" width="4.33203125" style="5" customWidth="1"/>
    <col min="8958" max="8958" width="4.88671875" style="5" customWidth="1"/>
    <col min="8959" max="8959" width="20" style="5" customWidth="1"/>
    <col min="8960" max="8965" width="5" style="5" customWidth="1"/>
    <col min="8966" max="8966" width="7" style="5" customWidth="1"/>
    <col min="8967" max="8967" width="5" style="5" customWidth="1"/>
    <col min="8968" max="8968" width="7" style="5" customWidth="1"/>
    <col min="8969" max="8969" width="5" style="5" customWidth="1"/>
    <col min="8970" max="8970" width="35.33203125" style="5" customWidth="1"/>
    <col min="8971" max="8989" width="3.6640625" style="5" customWidth="1"/>
    <col min="8990" max="8990" width="5" style="5" customWidth="1"/>
    <col min="8991" max="8991" width="8" style="5" customWidth="1"/>
    <col min="8992" max="8992" width="5.6640625" style="5" customWidth="1"/>
    <col min="8993" max="8993" width="7.88671875" style="5" customWidth="1"/>
    <col min="8994" max="8994" width="4.88671875" style="5" customWidth="1"/>
    <col min="8995" max="8995" width="4.33203125" style="5" customWidth="1"/>
    <col min="8996" max="9210" width="9.109375" style="5"/>
    <col min="9211" max="9211" width="3.6640625" style="5" customWidth="1"/>
    <col min="9212" max="9212" width="4" style="5" customWidth="1"/>
    <col min="9213" max="9213" width="4.33203125" style="5" customWidth="1"/>
    <col min="9214" max="9214" width="4.88671875" style="5" customWidth="1"/>
    <col min="9215" max="9215" width="20" style="5" customWidth="1"/>
    <col min="9216" max="9221" width="5" style="5" customWidth="1"/>
    <col min="9222" max="9222" width="7" style="5" customWidth="1"/>
    <col min="9223" max="9223" width="5" style="5" customWidth="1"/>
    <col min="9224" max="9224" width="7" style="5" customWidth="1"/>
    <col min="9225" max="9225" width="5" style="5" customWidth="1"/>
    <col min="9226" max="9226" width="35.33203125" style="5" customWidth="1"/>
    <col min="9227" max="9245" width="3.6640625" style="5" customWidth="1"/>
    <col min="9246" max="9246" width="5" style="5" customWidth="1"/>
    <col min="9247" max="9247" width="8" style="5" customWidth="1"/>
    <col min="9248" max="9248" width="5.6640625" style="5" customWidth="1"/>
    <col min="9249" max="9249" width="7.88671875" style="5" customWidth="1"/>
    <col min="9250" max="9250" width="4.88671875" style="5" customWidth="1"/>
    <col min="9251" max="9251" width="4.33203125" style="5" customWidth="1"/>
    <col min="9252" max="9466" width="9.109375" style="5"/>
    <col min="9467" max="9467" width="3.6640625" style="5" customWidth="1"/>
    <col min="9468" max="9468" width="4" style="5" customWidth="1"/>
    <col min="9469" max="9469" width="4.33203125" style="5" customWidth="1"/>
    <col min="9470" max="9470" width="4.88671875" style="5" customWidth="1"/>
    <col min="9471" max="9471" width="20" style="5" customWidth="1"/>
    <col min="9472" max="9477" width="5" style="5" customWidth="1"/>
    <col min="9478" max="9478" width="7" style="5" customWidth="1"/>
    <col min="9479" max="9479" width="5" style="5" customWidth="1"/>
    <col min="9480" max="9480" width="7" style="5" customWidth="1"/>
    <col min="9481" max="9481" width="5" style="5" customWidth="1"/>
    <col min="9482" max="9482" width="35.33203125" style="5" customWidth="1"/>
    <col min="9483" max="9501" width="3.6640625" style="5" customWidth="1"/>
    <col min="9502" max="9502" width="5" style="5" customWidth="1"/>
    <col min="9503" max="9503" width="8" style="5" customWidth="1"/>
    <col min="9504" max="9504" width="5.6640625" style="5" customWidth="1"/>
    <col min="9505" max="9505" width="7.88671875" style="5" customWidth="1"/>
    <col min="9506" max="9506" width="4.88671875" style="5" customWidth="1"/>
    <col min="9507" max="9507" width="4.33203125" style="5" customWidth="1"/>
    <col min="9508" max="9722" width="9.109375" style="5"/>
    <col min="9723" max="9723" width="3.6640625" style="5" customWidth="1"/>
    <col min="9724" max="9724" width="4" style="5" customWidth="1"/>
    <col min="9725" max="9725" width="4.33203125" style="5" customWidth="1"/>
    <col min="9726" max="9726" width="4.88671875" style="5" customWidth="1"/>
    <col min="9727" max="9727" width="20" style="5" customWidth="1"/>
    <col min="9728" max="9733" width="5" style="5" customWidth="1"/>
    <col min="9734" max="9734" width="7" style="5" customWidth="1"/>
    <col min="9735" max="9735" width="5" style="5" customWidth="1"/>
    <col min="9736" max="9736" width="7" style="5" customWidth="1"/>
    <col min="9737" max="9737" width="5" style="5" customWidth="1"/>
    <col min="9738" max="9738" width="35.33203125" style="5" customWidth="1"/>
    <col min="9739" max="9757" width="3.6640625" style="5" customWidth="1"/>
    <col min="9758" max="9758" width="5" style="5" customWidth="1"/>
    <col min="9759" max="9759" width="8" style="5" customWidth="1"/>
    <col min="9760" max="9760" width="5.6640625" style="5" customWidth="1"/>
    <col min="9761" max="9761" width="7.88671875" style="5" customWidth="1"/>
    <col min="9762" max="9762" width="4.88671875" style="5" customWidth="1"/>
    <col min="9763" max="9763" width="4.33203125" style="5" customWidth="1"/>
    <col min="9764" max="9978" width="9.109375" style="5"/>
    <col min="9979" max="9979" width="3.6640625" style="5" customWidth="1"/>
    <col min="9980" max="9980" width="4" style="5" customWidth="1"/>
    <col min="9981" max="9981" width="4.33203125" style="5" customWidth="1"/>
    <col min="9982" max="9982" width="4.88671875" style="5" customWidth="1"/>
    <col min="9983" max="9983" width="20" style="5" customWidth="1"/>
    <col min="9984" max="9989" width="5" style="5" customWidth="1"/>
    <col min="9990" max="9990" width="7" style="5" customWidth="1"/>
    <col min="9991" max="9991" width="5" style="5" customWidth="1"/>
    <col min="9992" max="9992" width="7" style="5" customWidth="1"/>
    <col min="9993" max="9993" width="5" style="5" customWidth="1"/>
    <col min="9994" max="9994" width="35.33203125" style="5" customWidth="1"/>
    <col min="9995" max="10013" width="3.6640625" style="5" customWidth="1"/>
    <col min="10014" max="10014" width="5" style="5" customWidth="1"/>
    <col min="10015" max="10015" width="8" style="5" customWidth="1"/>
    <col min="10016" max="10016" width="5.6640625" style="5" customWidth="1"/>
    <col min="10017" max="10017" width="7.88671875" style="5" customWidth="1"/>
    <col min="10018" max="10018" width="4.88671875" style="5" customWidth="1"/>
    <col min="10019" max="10019" width="4.33203125" style="5" customWidth="1"/>
    <col min="10020" max="10234" width="9.109375" style="5"/>
    <col min="10235" max="10235" width="3.6640625" style="5" customWidth="1"/>
    <col min="10236" max="10236" width="4" style="5" customWidth="1"/>
    <col min="10237" max="10237" width="4.33203125" style="5" customWidth="1"/>
    <col min="10238" max="10238" width="4.88671875" style="5" customWidth="1"/>
    <col min="10239" max="10239" width="20" style="5" customWidth="1"/>
    <col min="10240" max="10245" width="5" style="5" customWidth="1"/>
    <col min="10246" max="10246" width="7" style="5" customWidth="1"/>
    <col min="10247" max="10247" width="5" style="5" customWidth="1"/>
    <col min="10248" max="10248" width="7" style="5" customWidth="1"/>
    <col min="10249" max="10249" width="5" style="5" customWidth="1"/>
    <col min="10250" max="10250" width="35.33203125" style="5" customWidth="1"/>
    <col min="10251" max="10269" width="3.6640625" style="5" customWidth="1"/>
    <col min="10270" max="10270" width="5" style="5" customWidth="1"/>
    <col min="10271" max="10271" width="8" style="5" customWidth="1"/>
    <col min="10272" max="10272" width="5.6640625" style="5" customWidth="1"/>
    <col min="10273" max="10273" width="7.88671875" style="5" customWidth="1"/>
    <col min="10274" max="10274" width="4.88671875" style="5" customWidth="1"/>
    <col min="10275" max="10275" width="4.33203125" style="5" customWidth="1"/>
    <col min="10276" max="10490" width="9.109375" style="5"/>
    <col min="10491" max="10491" width="3.6640625" style="5" customWidth="1"/>
    <col min="10492" max="10492" width="4" style="5" customWidth="1"/>
    <col min="10493" max="10493" width="4.33203125" style="5" customWidth="1"/>
    <col min="10494" max="10494" width="4.88671875" style="5" customWidth="1"/>
    <col min="10495" max="10495" width="20" style="5" customWidth="1"/>
    <col min="10496" max="10501" width="5" style="5" customWidth="1"/>
    <col min="10502" max="10502" width="7" style="5" customWidth="1"/>
    <col min="10503" max="10503" width="5" style="5" customWidth="1"/>
    <col min="10504" max="10504" width="7" style="5" customWidth="1"/>
    <col min="10505" max="10505" width="5" style="5" customWidth="1"/>
    <col min="10506" max="10506" width="35.33203125" style="5" customWidth="1"/>
    <col min="10507" max="10525" width="3.6640625" style="5" customWidth="1"/>
    <col min="10526" max="10526" width="5" style="5" customWidth="1"/>
    <col min="10527" max="10527" width="8" style="5" customWidth="1"/>
    <col min="10528" max="10528" width="5.6640625" style="5" customWidth="1"/>
    <col min="10529" max="10529" width="7.88671875" style="5" customWidth="1"/>
    <col min="10530" max="10530" width="4.88671875" style="5" customWidth="1"/>
    <col min="10531" max="10531" width="4.33203125" style="5" customWidth="1"/>
    <col min="10532" max="10746" width="9.109375" style="5"/>
    <col min="10747" max="10747" width="3.6640625" style="5" customWidth="1"/>
    <col min="10748" max="10748" width="4" style="5" customWidth="1"/>
    <col min="10749" max="10749" width="4.33203125" style="5" customWidth="1"/>
    <col min="10750" max="10750" width="4.88671875" style="5" customWidth="1"/>
    <col min="10751" max="10751" width="20" style="5" customWidth="1"/>
    <col min="10752" max="10757" width="5" style="5" customWidth="1"/>
    <col min="10758" max="10758" width="7" style="5" customWidth="1"/>
    <col min="10759" max="10759" width="5" style="5" customWidth="1"/>
    <col min="10760" max="10760" width="7" style="5" customWidth="1"/>
    <col min="10761" max="10761" width="5" style="5" customWidth="1"/>
    <col min="10762" max="10762" width="35.33203125" style="5" customWidth="1"/>
    <col min="10763" max="10781" width="3.6640625" style="5" customWidth="1"/>
    <col min="10782" max="10782" width="5" style="5" customWidth="1"/>
    <col min="10783" max="10783" width="8" style="5" customWidth="1"/>
    <col min="10784" max="10784" width="5.6640625" style="5" customWidth="1"/>
    <col min="10785" max="10785" width="7.88671875" style="5" customWidth="1"/>
    <col min="10786" max="10786" width="4.88671875" style="5" customWidth="1"/>
    <col min="10787" max="10787" width="4.33203125" style="5" customWidth="1"/>
    <col min="10788" max="11002" width="9.109375" style="5"/>
    <col min="11003" max="11003" width="3.6640625" style="5" customWidth="1"/>
    <col min="11004" max="11004" width="4" style="5" customWidth="1"/>
    <col min="11005" max="11005" width="4.33203125" style="5" customWidth="1"/>
    <col min="11006" max="11006" width="4.88671875" style="5" customWidth="1"/>
    <col min="11007" max="11007" width="20" style="5" customWidth="1"/>
    <col min="11008" max="11013" width="5" style="5" customWidth="1"/>
    <col min="11014" max="11014" width="7" style="5" customWidth="1"/>
    <col min="11015" max="11015" width="5" style="5" customWidth="1"/>
    <col min="11016" max="11016" width="7" style="5" customWidth="1"/>
    <col min="11017" max="11017" width="5" style="5" customWidth="1"/>
    <col min="11018" max="11018" width="35.33203125" style="5" customWidth="1"/>
    <col min="11019" max="11037" width="3.6640625" style="5" customWidth="1"/>
    <col min="11038" max="11038" width="5" style="5" customWidth="1"/>
    <col min="11039" max="11039" width="8" style="5" customWidth="1"/>
    <col min="11040" max="11040" width="5.6640625" style="5" customWidth="1"/>
    <col min="11041" max="11041" width="7.88671875" style="5" customWidth="1"/>
    <col min="11042" max="11042" width="4.88671875" style="5" customWidth="1"/>
    <col min="11043" max="11043" width="4.33203125" style="5" customWidth="1"/>
    <col min="11044" max="11258" width="9.109375" style="5"/>
    <col min="11259" max="11259" width="3.6640625" style="5" customWidth="1"/>
    <col min="11260" max="11260" width="4" style="5" customWidth="1"/>
    <col min="11261" max="11261" width="4.33203125" style="5" customWidth="1"/>
    <col min="11262" max="11262" width="4.88671875" style="5" customWidth="1"/>
    <col min="11263" max="11263" width="20" style="5" customWidth="1"/>
    <col min="11264" max="11269" width="5" style="5" customWidth="1"/>
    <col min="11270" max="11270" width="7" style="5" customWidth="1"/>
    <col min="11271" max="11271" width="5" style="5" customWidth="1"/>
    <col min="11272" max="11272" width="7" style="5" customWidth="1"/>
    <col min="11273" max="11273" width="5" style="5" customWidth="1"/>
    <col min="11274" max="11274" width="35.33203125" style="5" customWidth="1"/>
    <col min="11275" max="11293" width="3.6640625" style="5" customWidth="1"/>
    <col min="11294" max="11294" width="5" style="5" customWidth="1"/>
    <col min="11295" max="11295" width="8" style="5" customWidth="1"/>
    <col min="11296" max="11296" width="5.6640625" style="5" customWidth="1"/>
    <col min="11297" max="11297" width="7.88671875" style="5" customWidth="1"/>
    <col min="11298" max="11298" width="4.88671875" style="5" customWidth="1"/>
    <col min="11299" max="11299" width="4.33203125" style="5" customWidth="1"/>
    <col min="11300" max="11514" width="9.109375" style="5"/>
    <col min="11515" max="11515" width="3.6640625" style="5" customWidth="1"/>
    <col min="11516" max="11516" width="4" style="5" customWidth="1"/>
    <col min="11517" max="11517" width="4.33203125" style="5" customWidth="1"/>
    <col min="11518" max="11518" width="4.88671875" style="5" customWidth="1"/>
    <col min="11519" max="11519" width="20" style="5" customWidth="1"/>
    <col min="11520" max="11525" width="5" style="5" customWidth="1"/>
    <col min="11526" max="11526" width="7" style="5" customWidth="1"/>
    <col min="11527" max="11527" width="5" style="5" customWidth="1"/>
    <col min="11528" max="11528" width="7" style="5" customWidth="1"/>
    <col min="11529" max="11529" width="5" style="5" customWidth="1"/>
    <col min="11530" max="11530" width="35.33203125" style="5" customWidth="1"/>
    <col min="11531" max="11549" width="3.6640625" style="5" customWidth="1"/>
    <col min="11550" max="11550" width="5" style="5" customWidth="1"/>
    <col min="11551" max="11551" width="8" style="5" customWidth="1"/>
    <col min="11552" max="11552" width="5.6640625" style="5" customWidth="1"/>
    <col min="11553" max="11553" width="7.88671875" style="5" customWidth="1"/>
    <col min="11554" max="11554" width="4.88671875" style="5" customWidth="1"/>
    <col min="11555" max="11555" width="4.33203125" style="5" customWidth="1"/>
    <col min="11556" max="11770" width="9.109375" style="5"/>
    <col min="11771" max="11771" width="3.6640625" style="5" customWidth="1"/>
    <col min="11772" max="11772" width="4" style="5" customWidth="1"/>
    <col min="11773" max="11773" width="4.33203125" style="5" customWidth="1"/>
    <col min="11774" max="11774" width="4.88671875" style="5" customWidth="1"/>
    <col min="11775" max="11775" width="20" style="5" customWidth="1"/>
    <col min="11776" max="11781" width="5" style="5" customWidth="1"/>
    <col min="11782" max="11782" width="7" style="5" customWidth="1"/>
    <col min="11783" max="11783" width="5" style="5" customWidth="1"/>
    <col min="11784" max="11784" width="7" style="5" customWidth="1"/>
    <col min="11785" max="11785" width="5" style="5" customWidth="1"/>
    <col min="11786" max="11786" width="35.33203125" style="5" customWidth="1"/>
    <col min="11787" max="11805" width="3.6640625" style="5" customWidth="1"/>
    <col min="11806" max="11806" width="5" style="5" customWidth="1"/>
    <col min="11807" max="11807" width="8" style="5" customWidth="1"/>
    <col min="11808" max="11808" width="5.6640625" style="5" customWidth="1"/>
    <col min="11809" max="11809" width="7.88671875" style="5" customWidth="1"/>
    <col min="11810" max="11810" width="4.88671875" style="5" customWidth="1"/>
    <col min="11811" max="11811" width="4.33203125" style="5" customWidth="1"/>
    <col min="11812" max="12026" width="9.109375" style="5"/>
    <col min="12027" max="12027" width="3.6640625" style="5" customWidth="1"/>
    <col min="12028" max="12028" width="4" style="5" customWidth="1"/>
    <col min="12029" max="12029" width="4.33203125" style="5" customWidth="1"/>
    <col min="12030" max="12030" width="4.88671875" style="5" customWidth="1"/>
    <col min="12031" max="12031" width="20" style="5" customWidth="1"/>
    <col min="12032" max="12037" width="5" style="5" customWidth="1"/>
    <col min="12038" max="12038" width="7" style="5" customWidth="1"/>
    <col min="12039" max="12039" width="5" style="5" customWidth="1"/>
    <col min="12040" max="12040" width="7" style="5" customWidth="1"/>
    <col min="12041" max="12041" width="5" style="5" customWidth="1"/>
    <col min="12042" max="12042" width="35.33203125" style="5" customWidth="1"/>
    <col min="12043" max="12061" width="3.6640625" style="5" customWidth="1"/>
    <col min="12062" max="12062" width="5" style="5" customWidth="1"/>
    <col min="12063" max="12063" width="8" style="5" customWidth="1"/>
    <col min="12064" max="12064" width="5.6640625" style="5" customWidth="1"/>
    <col min="12065" max="12065" width="7.88671875" style="5" customWidth="1"/>
    <col min="12066" max="12066" width="4.88671875" style="5" customWidth="1"/>
    <col min="12067" max="12067" width="4.33203125" style="5" customWidth="1"/>
    <col min="12068" max="12282" width="9.109375" style="5"/>
    <col min="12283" max="12283" width="3.6640625" style="5" customWidth="1"/>
    <col min="12284" max="12284" width="4" style="5" customWidth="1"/>
    <col min="12285" max="12285" width="4.33203125" style="5" customWidth="1"/>
    <col min="12286" max="12286" width="4.88671875" style="5" customWidth="1"/>
    <col min="12287" max="12287" width="20" style="5" customWidth="1"/>
    <col min="12288" max="12293" width="5" style="5" customWidth="1"/>
    <col min="12294" max="12294" width="7" style="5" customWidth="1"/>
    <col min="12295" max="12295" width="5" style="5" customWidth="1"/>
    <col min="12296" max="12296" width="7" style="5" customWidth="1"/>
    <col min="12297" max="12297" width="5" style="5" customWidth="1"/>
    <col min="12298" max="12298" width="35.33203125" style="5" customWidth="1"/>
    <col min="12299" max="12317" width="3.6640625" style="5" customWidth="1"/>
    <col min="12318" max="12318" width="5" style="5" customWidth="1"/>
    <col min="12319" max="12319" width="8" style="5" customWidth="1"/>
    <col min="12320" max="12320" width="5.6640625" style="5" customWidth="1"/>
    <col min="12321" max="12321" width="7.88671875" style="5" customWidth="1"/>
    <col min="12322" max="12322" width="4.88671875" style="5" customWidth="1"/>
    <col min="12323" max="12323" width="4.33203125" style="5" customWidth="1"/>
    <col min="12324" max="12538" width="9.109375" style="5"/>
    <col min="12539" max="12539" width="3.6640625" style="5" customWidth="1"/>
    <col min="12540" max="12540" width="4" style="5" customWidth="1"/>
    <col min="12541" max="12541" width="4.33203125" style="5" customWidth="1"/>
    <col min="12542" max="12542" width="4.88671875" style="5" customWidth="1"/>
    <col min="12543" max="12543" width="20" style="5" customWidth="1"/>
    <col min="12544" max="12549" width="5" style="5" customWidth="1"/>
    <col min="12550" max="12550" width="7" style="5" customWidth="1"/>
    <col min="12551" max="12551" width="5" style="5" customWidth="1"/>
    <col min="12552" max="12552" width="7" style="5" customWidth="1"/>
    <col min="12553" max="12553" width="5" style="5" customWidth="1"/>
    <col min="12554" max="12554" width="35.33203125" style="5" customWidth="1"/>
    <col min="12555" max="12573" width="3.6640625" style="5" customWidth="1"/>
    <col min="12574" max="12574" width="5" style="5" customWidth="1"/>
    <col min="12575" max="12575" width="8" style="5" customWidth="1"/>
    <col min="12576" max="12576" width="5.6640625" style="5" customWidth="1"/>
    <col min="12577" max="12577" width="7.88671875" style="5" customWidth="1"/>
    <col min="12578" max="12578" width="4.88671875" style="5" customWidth="1"/>
    <col min="12579" max="12579" width="4.33203125" style="5" customWidth="1"/>
    <col min="12580" max="12794" width="9.109375" style="5"/>
    <col min="12795" max="12795" width="3.6640625" style="5" customWidth="1"/>
    <col min="12796" max="12796" width="4" style="5" customWidth="1"/>
    <col min="12797" max="12797" width="4.33203125" style="5" customWidth="1"/>
    <col min="12798" max="12798" width="4.88671875" style="5" customWidth="1"/>
    <col min="12799" max="12799" width="20" style="5" customWidth="1"/>
    <col min="12800" max="12805" width="5" style="5" customWidth="1"/>
    <col min="12806" max="12806" width="7" style="5" customWidth="1"/>
    <col min="12807" max="12807" width="5" style="5" customWidth="1"/>
    <col min="12808" max="12808" width="7" style="5" customWidth="1"/>
    <col min="12809" max="12809" width="5" style="5" customWidth="1"/>
    <col min="12810" max="12810" width="35.33203125" style="5" customWidth="1"/>
    <col min="12811" max="12829" width="3.6640625" style="5" customWidth="1"/>
    <col min="12830" max="12830" width="5" style="5" customWidth="1"/>
    <col min="12831" max="12831" width="8" style="5" customWidth="1"/>
    <col min="12832" max="12832" width="5.6640625" style="5" customWidth="1"/>
    <col min="12833" max="12833" width="7.88671875" style="5" customWidth="1"/>
    <col min="12834" max="12834" width="4.88671875" style="5" customWidth="1"/>
    <col min="12835" max="12835" width="4.33203125" style="5" customWidth="1"/>
    <col min="12836" max="13050" width="9.109375" style="5"/>
    <col min="13051" max="13051" width="3.6640625" style="5" customWidth="1"/>
    <col min="13052" max="13052" width="4" style="5" customWidth="1"/>
    <col min="13053" max="13053" width="4.33203125" style="5" customWidth="1"/>
    <col min="13054" max="13054" width="4.88671875" style="5" customWidth="1"/>
    <col min="13055" max="13055" width="20" style="5" customWidth="1"/>
    <col min="13056" max="13061" width="5" style="5" customWidth="1"/>
    <col min="13062" max="13062" width="7" style="5" customWidth="1"/>
    <col min="13063" max="13063" width="5" style="5" customWidth="1"/>
    <col min="13064" max="13064" width="7" style="5" customWidth="1"/>
    <col min="13065" max="13065" width="5" style="5" customWidth="1"/>
    <col min="13066" max="13066" width="35.33203125" style="5" customWidth="1"/>
    <col min="13067" max="13085" width="3.6640625" style="5" customWidth="1"/>
    <col min="13086" max="13086" width="5" style="5" customWidth="1"/>
    <col min="13087" max="13087" width="8" style="5" customWidth="1"/>
    <col min="13088" max="13088" width="5.6640625" style="5" customWidth="1"/>
    <col min="13089" max="13089" width="7.88671875" style="5" customWidth="1"/>
    <col min="13090" max="13090" width="4.88671875" style="5" customWidth="1"/>
    <col min="13091" max="13091" width="4.33203125" style="5" customWidth="1"/>
    <col min="13092" max="13306" width="9.109375" style="5"/>
    <col min="13307" max="13307" width="3.6640625" style="5" customWidth="1"/>
    <col min="13308" max="13308" width="4" style="5" customWidth="1"/>
    <col min="13309" max="13309" width="4.33203125" style="5" customWidth="1"/>
    <col min="13310" max="13310" width="4.88671875" style="5" customWidth="1"/>
    <col min="13311" max="13311" width="20" style="5" customWidth="1"/>
    <col min="13312" max="13317" width="5" style="5" customWidth="1"/>
    <col min="13318" max="13318" width="7" style="5" customWidth="1"/>
    <col min="13319" max="13319" width="5" style="5" customWidth="1"/>
    <col min="13320" max="13320" width="7" style="5" customWidth="1"/>
    <col min="13321" max="13321" width="5" style="5" customWidth="1"/>
    <col min="13322" max="13322" width="35.33203125" style="5" customWidth="1"/>
    <col min="13323" max="13341" width="3.6640625" style="5" customWidth="1"/>
    <col min="13342" max="13342" width="5" style="5" customWidth="1"/>
    <col min="13343" max="13343" width="8" style="5" customWidth="1"/>
    <col min="13344" max="13344" width="5.6640625" style="5" customWidth="1"/>
    <col min="13345" max="13345" width="7.88671875" style="5" customWidth="1"/>
    <col min="13346" max="13346" width="4.88671875" style="5" customWidth="1"/>
    <col min="13347" max="13347" width="4.33203125" style="5" customWidth="1"/>
    <col min="13348" max="13562" width="9.109375" style="5"/>
    <col min="13563" max="13563" width="3.6640625" style="5" customWidth="1"/>
    <col min="13564" max="13564" width="4" style="5" customWidth="1"/>
    <col min="13565" max="13565" width="4.33203125" style="5" customWidth="1"/>
    <col min="13566" max="13566" width="4.88671875" style="5" customWidth="1"/>
    <col min="13567" max="13567" width="20" style="5" customWidth="1"/>
    <col min="13568" max="13573" width="5" style="5" customWidth="1"/>
    <col min="13574" max="13574" width="7" style="5" customWidth="1"/>
    <col min="13575" max="13575" width="5" style="5" customWidth="1"/>
    <col min="13576" max="13576" width="7" style="5" customWidth="1"/>
    <col min="13577" max="13577" width="5" style="5" customWidth="1"/>
    <col min="13578" max="13578" width="35.33203125" style="5" customWidth="1"/>
    <col min="13579" max="13597" width="3.6640625" style="5" customWidth="1"/>
    <col min="13598" max="13598" width="5" style="5" customWidth="1"/>
    <col min="13599" max="13599" width="8" style="5" customWidth="1"/>
    <col min="13600" max="13600" width="5.6640625" style="5" customWidth="1"/>
    <col min="13601" max="13601" width="7.88671875" style="5" customWidth="1"/>
    <col min="13602" max="13602" width="4.88671875" style="5" customWidth="1"/>
    <col min="13603" max="13603" width="4.33203125" style="5" customWidth="1"/>
    <col min="13604" max="13818" width="9.109375" style="5"/>
    <col min="13819" max="13819" width="3.6640625" style="5" customWidth="1"/>
    <col min="13820" max="13820" width="4" style="5" customWidth="1"/>
    <col min="13821" max="13821" width="4.33203125" style="5" customWidth="1"/>
    <col min="13822" max="13822" width="4.88671875" style="5" customWidth="1"/>
    <col min="13823" max="13823" width="20" style="5" customWidth="1"/>
    <col min="13824" max="13829" width="5" style="5" customWidth="1"/>
    <col min="13830" max="13830" width="7" style="5" customWidth="1"/>
    <col min="13831" max="13831" width="5" style="5" customWidth="1"/>
    <col min="13832" max="13832" width="7" style="5" customWidth="1"/>
    <col min="13833" max="13833" width="5" style="5" customWidth="1"/>
    <col min="13834" max="13834" width="35.33203125" style="5" customWidth="1"/>
    <col min="13835" max="13853" width="3.6640625" style="5" customWidth="1"/>
    <col min="13854" max="13854" width="5" style="5" customWidth="1"/>
    <col min="13855" max="13855" width="8" style="5" customWidth="1"/>
    <col min="13856" max="13856" width="5.6640625" style="5" customWidth="1"/>
    <col min="13857" max="13857" width="7.88671875" style="5" customWidth="1"/>
    <col min="13858" max="13858" width="4.88671875" style="5" customWidth="1"/>
    <col min="13859" max="13859" width="4.33203125" style="5" customWidth="1"/>
    <col min="13860" max="14074" width="9.109375" style="5"/>
    <col min="14075" max="14075" width="3.6640625" style="5" customWidth="1"/>
    <col min="14076" max="14076" width="4" style="5" customWidth="1"/>
    <col min="14077" max="14077" width="4.33203125" style="5" customWidth="1"/>
    <col min="14078" max="14078" width="4.88671875" style="5" customWidth="1"/>
    <col min="14079" max="14079" width="20" style="5" customWidth="1"/>
    <col min="14080" max="14085" width="5" style="5" customWidth="1"/>
    <col min="14086" max="14086" width="7" style="5" customWidth="1"/>
    <col min="14087" max="14087" width="5" style="5" customWidth="1"/>
    <col min="14088" max="14088" width="7" style="5" customWidth="1"/>
    <col min="14089" max="14089" width="5" style="5" customWidth="1"/>
    <col min="14090" max="14090" width="35.33203125" style="5" customWidth="1"/>
    <col min="14091" max="14109" width="3.6640625" style="5" customWidth="1"/>
    <col min="14110" max="14110" width="5" style="5" customWidth="1"/>
    <col min="14111" max="14111" width="8" style="5" customWidth="1"/>
    <col min="14112" max="14112" width="5.6640625" style="5" customWidth="1"/>
    <col min="14113" max="14113" width="7.88671875" style="5" customWidth="1"/>
    <col min="14114" max="14114" width="4.88671875" style="5" customWidth="1"/>
    <col min="14115" max="14115" width="4.33203125" style="5" customWidth="1"/>
    <col min="14116" max="14330" width="9.109375" style="5"/>
    <col min="14331" max="14331" width="3.6640625" style="5" customWidth="1"/>
    <col min="14332" max="14332" width="4" style="5" customWidth="1"/>
    <col min="14333" max="14333" width="4.33203125" style="5" customWidth="1"/>
    <col min="14334" max="14334" width="4.88671875" style="5" customWidth="1"/>
    <col min="14335" max="14335" width="20" style="5" customWidth="1"/>
    <col min="14336" max="14341" width="5" style="5" customWidth="1"/>
    <col min="14342" max="14342" width="7" style="5" customWidth="1"/>
    <col min="14343" max="14343" width="5" style="5" customWidth="1"/>
    <col min="14344" max="14344" width="7" style="5" customWidth="1"/>
    <col min="14345" max="14345" width="5" style="5" customWidth="1"/>
    <col min="14346" max="14346" width="35.33203125" style="5" customWidth="1"/>
    <col min="14347" max="14365" width="3.6640625" style="5" customWidth="1"/>
    <col min="14366" max="14366" width="5" style="5" customWidth="1"/>
    <col min="14367" max="14367" width="8" style="5" customWidth="1"/>
    <col min="14368" max="14368" width="5.6640625" style="5" customWidth="1"/>
    <col min="14369" max="14369" width="7.88671875" style="5" customWidth="1"/>
    <col min="14370" max="14370" width="4.88671875" style="5" customWidth="1"/>
    <col min="14371" max="14371" width="4.33203125" style="5" customWidth="1"/>
    <col min="14372" max="14586" width="9.109375" style="5"/>
    <col min="14587" max="14587" width="3.6640625" style="5" customWidth="1"/>
    <col min="14588" max="14588" width="4" style="5" customWidth="1"/>
    <col min="14589" max="14589" width="4.33203125" style="5" customWidth="1"/>
    <col min="14590" max="14590" width="4.88671875" style="5" customWidth="1"/>
    <col min="14591" max="14591" width="20" style="5" customWidth="1"/>
    <col min="14592" max="14597" width="5" style="5" customWidth="1"/>
    <col min="14598" max="14598" width="7" style="5" customWidth="1"/>
    <col min="14599" max="14599" width="5" style="5" customWidth="1"/>
    <col min="14600" max="14600" width="7" style="5" customWidth="1"/>
    <col min="14601" max="14601" width="5" style="5" customWidth="1"/>
    <col min="14602" max="14602" width="35.33203125" style="5" customWidth="1"/>
    <col min="14603" max="14621" width="3.6640625" style="5" customWidth="1"/>
    <col min="14622" max="14622" width="5" style="5" customWidth="1"/>
    <col min="14623" max="14623" width="8" style="5" customWidth="1"/>
    <col min="14624" max="14624" width="5.6640625" style="5" customWidth="1"/>
    <col min="14625" max="14625" width="7.88671875" style="5" customWidth="1"/>
    <col min="14626" max="14626" width="4.88671875" style="5" customWidth="1"/>
    <col min="14627" max="14627" width="4.33203125" style="5" customWidth="1"/>
    <col min="14628" max="14842" width="9.109375" style="5"/>
    <col min="14843" max="14843" width="3.6640625" style="5" customWidth="1"/>
    <col min="14844" max="14844" width="4" style="5" customWidth="1"/>
    <col min="14845" max="14845" width="4.33203125" style="5" customWidth="1"/>
    <col min="14846" max="14846" width="4.88671875" style="5" customWidth="1"/>
    <col min="14847" max="14847" width="20" style="5" customWidth="1"/>
    <col min="14848" max="14853" width="5" style="5" customWidth="1"/>
    <col min="14854" max="14854" width="7" style="5" customWidth="1"/>
    <col min="14855" max="14855" width="5" style="5" customWidth="1"/>
    <col min="14856" max="14856" width="7" style="5" customWidth="1"/>
    <col min="14857" max="14857" width="5" style="5" customWidth="1"/>
    <col min="14858" max="14858" width="35.33203125" style="5" customWidth="1"/>
    <col min="14859" max="14877" width="3.6640625" style="5" customWidth="1"/>
    <col min="14878" max="14878" width="5" style="5" customWidth="1"/>
    <col min="14879" max="14879" width="8" style="5" customWidth="1"/>
    <col min="14880" max="14880" width="5.6640625" style="5" customWidth="1"/>
    <col min="14881" max="14881" width="7.88671875" style="5" customWidth="1"/>
    <col min="14882" max="14882" width="4.88671875" style="5" customWidth="1"/>
    <col min="14883" max="14883" width="4.33203125" style="5" customWidth="1"/>
    <col min="14884" max="15098" width="9.109375" style="5"/>
    <col min="15099" max="15099" width="3.6640625" style="5" customWidth="1"/>
    <col min="15100" max="15100" width="4" style="5" customWidth="1"/>
    <col min="15101" max="15101" width="4.33203125" style="5" customWidth="1"/>
    <col min="15102" max="15102" width="4.88671875" style="5" customWidth="1"/>
    <col min="15103" max="15103" width="20" style="5" customWidth="1"/>
    <col min="15104" max="15109" width="5" style="5" customWidth="1"/>
    <col min="15110" max="15110" width="7" style="5" customWidth="1"/>
    <col min="15111" max="15111" width="5" style="5" customWidth="1"/>
    <col min="15112" max="15112" width="7" style="5" customWidth="1"/>
    <col min="15113" max="15113" width="5" style="5" customWidth="1"/>
    <col min="15114" max="15114" width="35.33203125" style="5" customWidth="1"/>
    <col min="15115" max="15133" width="3.6640625" style="5" customWidth="1"/>
    <col min="15134" max="15134" width="5" style="5" customWidth="1"/>
    <col min="15135" max="15135" width="8" style="5" customWidth="1"/>
    <col min="15136" max="15136" width="5.6640625" style="5" customWidth="1"/>
    <col min="15137" max="15137" width="7.88671875" style="5" customWidth="1"/>
    <col min="15138" max="15138" width="4.88671875" style="5" customWidth="1"/>
    <col min="15139" max="15139" width="4.33203125" style="5" customWidth="1"/>
    <col min="15140" max="15354" width="9.109375" style="5"/>
    <col min="15355" max="15355" width="3.6640625" style="5" customWidth="1"/>
    <col min="15356" max="15356" width="4" style="5" customWidth="1"/>
    <col min="15357" max="15357" width="4.33203125" style="5" customWidth="1"/>
    <col min="15358" max="15358" width="4.88671875" style="5" customWidth="1"/>
    <col min="15359" max="15359" width="20" style="5" customWidth="1"/>
    <col min="15360" max="15365" width="5" style="5" customWidth="1"/>
    <col min="15366" max="15366" width="7" style="5" customWidth="1"/>
    <col min="15367" max="15367" width="5" style="5" customWidth="1"/>
    <col min="15368" max="15368" width="7" style="5" customWidth="1"/>
    <col min="15369" max="15369" width="5" style="5" customWidth="1"/>
    <col min="15370" max="15370" width="35.33203125" style="5" customWidth="1"/>
    <col min="15371" max="15389" width="3.6640625" style="5" customWidth="1"/>
    <col min="15390" max="15390" width="5" style="5" customWidth="1"/>
    <col min="15391" max="15391" width="8" style="5" customWidth="1"/>
    <col min="15392" max="15392" width="5.6640625" style="5" customWidth="1"/>
    <col min="15393" max="15393" width="7.88671875" style="5" customWidth="1"/>
    <col min="15394" max="15394" width="4.88671875" style="5" customWidth="1"/>
    <col min="15395" max="15395" width="4.33203125" style="5" customWidth="1"/>
    <col min="15396" max="15610" width="9.109375" style="5"/>
    <col min="15611" max="15611" width="3.6640625" style="5" customWidth="1"/>
    <col min="15612" max="15612" width="4" style="5" customWidth="1"/>
    <col min="15613" max="15613" width="4.33203125" style="5" customWidth="1"/>
    <col min="15614" max="15614" width="4.88671875" style="5" customWidth="1"/>
    <col min="15615" max="15615" width="20" style="5" customWidth="1"/>
    <col min="15616" max="15621" width="5" style="5" customWidth="1"/>
    <col min="15622" max="15622" width="7" style="5" customWidth="1"/>
    <col min="15623" max="15623" width="5" style="5" customWidth="1"/>
    <col min="15624" max="15624" width="7" style="5" customWidth="1"/>
    <col min="15625" max="15625" width="5" style="5" customWidth="1"/>
    <col min="15626" max="15626" width="35.33203125" style="5" customWidth="1"/>
    <col min="15627" max="15645" width="3.6640625" style="5" customWidth="1"/>
    <col min="15646" max="15646" width="5" style="5" customWidth="1"/>
    <col min="15647" max="15647" width="8" style="5" customWidth="1"/>
    <col min="15648" max="15648" width="5.6640625" style="5" customWidth="1"/>
    <col min="15649" max="15649" width="7.88671875" style="5" customWidth="1"/>
    <col min="15650" max="15650" width="4.88671875" style="5" customWidth="1"/>
    <col min="15651" max="15651" width="4.33203125" style="5" customWidth="1"/>
    <col min="15652" max="15866" width="9.109375" style="5"/>
    <col min="15867" max="15867" width="3.6640625" style="5" customWidth="1"/>
    <col min="15868" max="15868" width="4" style="5" customWidth="1"/>
    <col min="15869" max="15869" width="4.33203125" style="5" customWidth="1"/>
    <col min="15870" max="15870" width="4.88671875" style="5" customWidth="1"/>
    <col min="15871" max="15871" width="20" style="5" customWidth="1"/>
    <col min="15872" max="15877" width="5" style="5" customWidth="1"/>
    <col min="15878" max="15878" width="7" style="5" customWidth="1"/>
    <col min="15879" max="15879" width="5" style="5" customWidth="1"/>
    <col min="15880" max="15880" width="7" style="5" customWidth="1"/>
    <col min="15881" max="15881" width="5" style="5" customWidth="1"/>
    <col min="15882" max="15882" width="35.33203125" style="5" customWidth="1"/>
    <col min="15883" max="15901" width="3.6640625" style="5" customWidth="1"/>
    <col min="15902" max="15902" width="5" style="5" customWidth="1"/>
    <col min="15903" max="15903" width="8" style="5" customWidth="1"/>
    <col min="15904" max="15904" width="5.6640625" style="5" customWidth="1"/>
    <col min="15905" max="15905" width="7.88671875" style="5" customWidth="1"/>
    <col min="15906" max="15906" width="4.88671875" style="5" customWidth="1"/>
    <col min="15907" max="15907" width="4.33203125" style="5" customWidth="1"/>
    <col min="15908" max="16122" width="9.109375" style="5"/>
    <col min="16123" max="16123" width="3.6640625" style="5" customWidth="1"/>
    <col min="16124" max="16124" width="4" style="5" customWidth="1"/>
    <col min="16125" max="16125" width="4.33203125" style="5" customWidth="1"/>
    <col min="16126" max="16126" width="4.88671875" style="5" customWidth="1"/>
    <col min="16127" max="16127" width="20" style="5" customWidth="1"/>
    <col min="16128" max="16133" width="5" style="5" customWidth="1"/>
    <col min="16134" max="16134" width="7" style="5" customWidth="1"/>
    <col min="16135" max="16135" width="5" style="5" customWidth="1"/>
    <col min="16136" max="16136" width="7" style="5" customWidth="1"/>
    <col min="16137" max="16137" width="5" style="5" customWidth="1"/>
    <col min="16138" max="16138" width="35.33203125" style="5" customWidth="1"/>
    <col min="16139" max="16157" width="3.6640625" style="5" customWidth="1"/>
    <col min="16158" max="16158" width="5" style="5" customWidth="1"/>
    <col min="16159" max="16159" width="8" style="5" customWidth="1"/>
    <col min="16160" max="16160" width="5.6640625" style="5" customWidth="1"/>
    <col min="16161" max="16161" width="7.88671875" style="5" customWidth="1"/>
    <col min="16162" max="16162" width="4.88671875" style="5" customWidth="1"/>
    <col min="16163" max="16163" width="4.33203125" style="5" customWidth="1"/>
    <col min="16164" max="16384" width="9.109375" style="5"/>
  </cols>
  <sheetData>
    <row r="1" spans="1:35" ht="15.6" x14ac:dyDescent="0.25">
      <c r="A1" s="155"/>
      <c r="B1" s="155"/>
      <c r="C1" s="155"/>
      <c r="D1" s="155"/>
      <c r="E1" s="155"/>
      <c r="F1" s="155"/>
      <c r="G1" s="155"/>
      <c r="H1" s="155"/>
      <c r="I1" s="155"/>
      <c r="J1" s="155"/>
      <c r="K1" s="155"/>
      <c r="L1" s="155"/>
      <c r="M1" s="155"/>
      <c r="N1" s="155"/>
      <c r="O1" s="155"/>
      <c r="P1" s="155"/>
      <c r="Q1" s="155"/>
      <c r="R1" s="155"/>
      <c r="S1" s="155"/>
      <c r="T1" s="155"/>
      <c r="U1" s="155"/>
      <c r="V1" s="155"/>
      <c r="W1" s="155"/>
      <c r="X1" s="155"/>
      <c r="Y1" s="155"/>
      <c r="Z1" s="155"/>
      <c r="AA1" s="155"/>
      <c r="AB1" s="155"/>
      <c r="AC1" s="155"/>
      <c r="AD1" s="155"/>
      <c r="AE1" s="155"/>
      <c r="AF1" s="155"/>
      <c r="AG1" s="155"/>
      <c r="AH1" s="155"/>
      <c r="AI1" s="155"/>
    </row>
    <row r="2" spans="1:35" ht="36" customHeight="1" x14ac:dyDescent="0.25">
      <c r="A2" s="145" t="s">
        <v>1</v>
      </c>
      <c r="B2" s="145" t="s">
        <v>2</v>
      </c>
      <c r="C2" s="150" t="s">
        <v>3</v>
      </c>
      <c r="D2" s="145" t="s">
        <v>4</v>
      </c>
      <c r="E2" s="153" t="s">
        <v>5</v>
      </c>
      <c r="F2" s="145" t="s">
        <v>6</v>
      </c>
      <c r="G2" s="145" t="s">
        <v>7</v>
      </c>
      <c r="H2" s="145" t="s">
        <v>8</v>
      </c>
      <c r="I2" s="145" t="s">
        <v>9</v>
      </c>
      <c r="J2" s="145" t="s">
        <v>10</v>
      </c>
      <c r="K2" s="145" t="s">
        <v>11</v>
      </c>
      <c r="L2" s="145" t="s">
        <v>12</v>
      </c>
      <c r="M2" s="145" t="s">
        <v>13</v>
      </c>
      <c r="N2" s="63"/>
      <c r="O2" s="150" t="s">
        <v>14</v>
      </c>
      <c r="P2" s="145" t="s">
        <v>15</v>
      </c>
      <c r="Q2" s="145" t="s">
        <v>16</v>
      </c>
      <c r="R2" s="145" t="s">
        <v>17</v>
      </c>
      <c r="S2" s="145" t="s">
        <v>18</v>
      </c>
      <c r="T2" s="145" t="s">
        <v>19</v>
      </c>
      <c r="U2" s="145" t="s">
        <v>20</v>
      </c>
      <c r="V2" s="145" t="s">
        <v>21</v>
      </c>
      <c r="W2" s="145" t="s">
        <v>22</v>
      </c>
      <c r="X2" s="145"/>
      <c r="Y2" s="145"/>
      <c r="Z2" s="145" t="s">
        <v>23</v>
      </c>
      <c r="AA2" s="145"/>
      <c r="AB2" s="145"/>
      <c r="AC2" s="148" t="s">
        <v>24</v>
      </c>
      <c r="AD2" s="145" t="s">
        <v>25</v>
      </c>
      <c r="AE2" s="145" t="s">
        <v>26</v>
      </c>
      <c r="AF2" s="145" t="s">
        <v>27</v>
      </c>
      <c r="AG2" s="145" t="s">
        <v>28</v>
      </c>
      <c r="AH2" s="145" t="s">
        <v>29</v>
      </c>
      <c r="AI2" s="143" t="s">
        <v>30</v>
      </c>
    </row>
    <row r="3" spans="1:35" ht="69.75" customHeight="1" x14ac:dyDescent="0.25">
      <c r="A3" s="145"/>
      <c r="B3" s="145"/>
      <c r="C3" s="150"/>
      <c r="D3" s="145"/>
      <c r="E3" s="153"/>
      <c r="F3" s="145"/>
      <c r="G3" s="145"/>
      <c r="H3" s="145"/>
      <c r="I3" s="145"/>
      <c r="J3" s="145"/>
      <c r="K3" s="145"/>
      <c r="L3" s="145"/>
      <c r="M3" s="145"/>
      <c r="N3" s="63"/>
      <c r="O3" s="150"/>
      <c r="P3" s="145"/>
      <c r="Q3" s="145"/>
      <c r="R3" s="145"/>
      <c r="S3" s="145"/>
      <c r="T3" s="145"/>
      <c r="U3" s="145"/>
      <c r="V3" s="145"/>
      <c r="W3" s="6" t="s">
        <v>31</v>
      </c>
      <c r="X3" s="6" t="s">
        <v>32</v>
      </c>
      <c r="Y3" s="22" t="s">
        <v>33</v>
      </c>
      <c r="Z3" s="6" t="s">
        <v>34</v>
      </c>
      <c r="AA3" s="6" t="s">
        <v>35</v>
      </c>
      <c r="AB3" s="23" t="s">
        <v>36</v>
      </c>
      <c r="AC3" s="148"/>
      <c r="AD3" s="145"/>
      <c r="AE3" s="145"/>
      <c r="AF3" s="145"/>
      <c r="AG3" s="145"/>
      <c r="AH3" s="145"/>
      <c r="AI3" s="143"/>
    </row>
    <row r="4" spans="1:35" ht="171.6" x14ac:dyDescent="0.25">
      <c r="A4" s="7">
        <v>1</v>
      </c>
      <c r="B4" s="6" t="s">
        <v>142</v>
      </c>
      <c r="C4" s="7" t="s">
        <v>1081</v>
      </c>
      <c r="D4" s="7">
        <v>32</v>
      </c>
      <c r="E4" s="8">
        <v>129021987641</v>
      </c>
      <c r="F4" s="6" t="s">
        <v>39</v>
      </c>
      <c r="G4" s="6" t="s">
        <v>1082</v>
      </c>
      <c r="H4" s="6" t="s">
        <v>66</v>
      </c>
      <c r="I4" s="6" t="s">
        <v>1083</v>
      </c>
      <c r="J4" s="6" t="s">
        <v>70</v>
      </c>
      <c r="K4" s="6" t="s">
        <v>1084</v>
      </c>
      <c r="L4" s="6" t="s">
        <v>70</v>
      </c>
      <c r="M4" s="6" t="s">
        <v>1085</v>
      </c>
      <c r="N4" s="63" t="s">
        <v>1219</v>
      </c>
      <c r="O4" s="7" t="s">
        <v>1086</v>
      </c>
      <c r="P4" s="6" t="s">
        <v>686</v>
      </c>
      <c r="Q4" s="6" t="s">
        <v>48</v>
      </c>
      <c r="R4" s="6" t="s">
        <v>768</v>
      </c>
      <c r="S4" s="6" t="s">
        <v>1087</v>
      </c>
      <c r="T4" s="6" t="s">
        <v>546</v>
      </c>
      <c r="U4" s="6" t="s">
        <v>135</v>
      </c>
      <c r="V4" s="6" t="s">
        <v>153</v>
      </c>
      <c r="W4" s="6" t="s">
        <v>705</v>
      </c>
      <c r="X4" s="6" t="s">
        <v>1088</v>
      </c>
      <c r="Y4" s="22" t="s">
        <v>56</v>
      </c>
      <c r="Z4" s="6" t="s">
        <v>1089</v>
      </c>
      <c r="AA4" s="6"/>
      <c r="AB4" s="23"/>
      <c r="AC4" s="24" t="s">
        <v>1090</v>
      </c>
      <c r="AD4" s="6" t="s">
        <v>59</v>
      </c>
      <c r="AE4" s="6" t="s">
        <v>60</v>
      </c>
      <c r="AF4" s="6" t="s">
        <v>370</v>
      </c>
      <c r="AG4" s="6">
        <v>22</v>
      </c>
      <c r="AH4" s="6" t="s">
        <v>1091</v>
      </c>
      <c r="AI4" s="6" t="s">
        <v>61</v>
      </c>
    </row>
    <row r="5" spans="1:35" x14ac:dyDescent="0.25">
      <c r="A5" s="55"/>
      <c r="B5" s="55" t="s">
        <v>1266</v>
      </c>
      <c r="C5" s="61" t="s">
        <v>1220</v>
      </c>
      <c r="D5" s="5">
        <v>43</v>
      </c>
      <c r="E5" s="5">
        <v>12902822253</v>
      </c>
      <c r="F5" s="5" t="s">
        <v>89</v>
      </c>
      <c r="G5" s="5" t="s">
        <v>40</v>
      </c>
      <c r="H5" s="5" t="s">
        <v>40</v>
      </c>
      <c r="I5" s="91">
        <v>45330</v>
      </c>
      <c r="J5" s="5" t="s">
        <v>70</v>
      </c>
      <c r="K5" s="91">
        <v>45393</v>
      </c>
      <c r="L5" s="5" t="s">
        <v>70</v>
      </c>
      <c r="M5" s="5" t="s">
        <v>1267</v>
      </c>
      <c r="N5" s="64" t="s">
        <v>1268</v>
      </c>
    </row>
    <row r="6" spans="1:35" ht="156" x14ac:dyDescent="0.25">
      <c r="A6" s="7">
        <v>3</v>
      </c>
      <c r="B6" s="6" t="s">
        <v>920</v>
      </c>
      <c r="C6" s="7" t="s">
        <v>1092</v>
      </c>
      <c r="D6" s="7">
        <v>26</v>
      </c>
      <c r="E6" s="8">
        <v>129026955634</v>
      </c>
      <c r="F6" s="6" t="s">
        <v>89</v>
      </c>
      <c r="G6" s="6" t="s">
        <v>1093</v>
      </c>
      <c r="H6" s="6" t="s">
        <v>1093</v>
      </c>
      <c r="I6" s="6" t="s">
        <v>1094</v>
      </c>
      <c r="J6" s="6" t="s">
        <v>477</v>
      </c>
      <c r="K6" s="6" t="s">
        <v>1095</v>
      </c>
      <c r="L6" s="6" t="s">
        <v>477</v>
      </c>
      <c r="M6" s="6" t="s">
        <v>1096</v>
      </c>
      <c r="N6" s="63" t="s">
        <v>1206</v>
      </c>
      <c r="O6" s="7" t="s">
        <v>1097</v>
      </c>
      <c r="P6" s="6" t="s">
        <v>1098</v>
      </c>
      <c r="Q6" s="6" t="s">
        <v>48</v>
      </c>
      <c r="R6" s="6" t="s">
        <v>422</v>
      </c>
      <c r="S6" s="6" t="s">
        <v>1099</v>
      </c>
      <c r="T6" s="6" t="s">
        <v>347</v>
      </c>
      <c r="U6" s="6" t="s">
        <v>135</v>
      </c>
      <c r="V6" s="6" t="s">
        <v>1100</v>
      </c>
      <c r="W6" s="6" t="s">
        <v>56</v>
      </c>
      <c r="X6" s="6" t="s">
        <v>56</v>
      </c>
      <c r="Y6" s="22" t="s">
        <v>1101</v>
      </c>
      <c r="Z6" s="6"/>
      <c r="AA6" s="6"/>
      <c r="AB6" s="23" t="s">
        <v>1071</v>
      </c>
      <c r="AC6" s="24" t="s">
        <v>460</v>
      </c>
      <c r="AD6" s="6" t="s">
        <v>746</v>
      </c>
      <c r="AE6" s="6" t="s">
        <v>60</v>
      </c>
      <c r="AF6" s="6" t="s">
        <v>370</v>
      </c>
      <c r="AG6" s="6">
        <v>24</v>
      </c>
      <c r="AH6" s="6" t="s">
        <v>431</v>
      </c>
      <c r="AI6" s="6" t="s">
        <v>107</v>
      </c>
    </row>
    <row r="7" spans="1:35" ht="93.6" x14ac:dyDescent="0.25">
      <c r="A7" s="7">
        <v>4</v>
      </c>
      <c r="B7" s="6" t="s">
        <v>1102</v>
      </c>
      <c r="C7" s="7" t="s">
        <v>1103</v>
      </c>
      <c r="D7" s="7">
        <v>34</v>
      </c>
      <c r="E7" s="8">
        <v>129027788501</v>
      </c>
      <c r="F7" s="6" t="s">
        <v>39</v>
      </c>
      <c r="G7" s="6" t="s">
        <v>1009</v>
      </c>
      <c r="H7" s="6" t="s">
        <v>66</v>
      </c>
      <c r="I7" s="6" t="s">
        <v>1104</v>
      </c>
      <c r="J7" s="6" t="s">
        <v>252</v>
      </c>
      <c r="K7" s="6" t="s">
        <v>1105</v>
      </c>
      <c r="L7" s="6" t="s">
        <v>162</v>
      </c>
      <c r="M7" s="6" t="s">
        <v>1106</v>
      </c>
      <c r="N7" s="63" t="s">
        <v>1221</v>
      </c>
      <c r="O7" s="7" t="s">
        <v>1107</v>
      </c>
      <c r="P7" s="6" t="s">
        <v>1108</v>
      </c>
      <c r="Q7" s="6" t="s">
        <v>74</v>
      </c>
      <c r="R7" s="6" t="s">
        <v>1109</v>
      </c>
      <c r="S7" s="6" t="s">
        <v>1089</v>
      </c>
      <c r="T7" s="6" t="s">
        <v>1110</v>
      </c>
      <c r="U7" s="6"/>
      <c r="V7" s="6" t="s">
        <v>1111</v>
      </c>
      <c r="W7" s="6" t="s">
        <v>560</v>
      </c>
      <c r="X7" s="6" t="s">
        <v>572</v>
      </c>
      <c r="Y7" s="22" t="s">
        <v>56</v>
      </c>
      <c r="Z7" s="6" t="s">
        <v>560</v>
      </c>
      <c r="AA7" s="6" t="s">
        <v>560</v>
      </c>
      <c r="AB7" s="23"/>
      <c r="AC7" s="24" t="s">
        <v>731</v>
      </c>
      <c r="AD7" s="6" t="s">
        <v>59</v>
      </c>
      <c r="AE7" s="6" t="s">
        <v>60</v>
      </c>
      <c r="AF7" s="6" t="s">
        <v>1112</v>
      </c>
      <c r="AG7" s="6">
        <v>20</v>
      </c>
      <c r="AH7" s="6" t="s">
        <v>416</v>
      </c>
      <c r="AI7" s="6" t="s">
        <v>61</v>
      </c>
    </row>
    <row r="8" spans="1:35" ht="157.19999999999999" x14ac:dyDescent="0.25">
      <c r="A8" s="7">
        <v>5</v>
      </c>
      <c r="B8" s="6" t="s">
        <v>142</v>
      </c>
      <c r="C8" s="7" t="s">
        <v>1113</v>
      </c>
      <c r="D8" s="7">
        <v>32</v>
      </c>
      <c r="E8" s="8">
        <v>129027960593</v>
      </c>
      <c r="F8" s="6" t="s">
        <v>89</v>
      </c>
      <c r="G8" s="6" t="s">
        <v>1082</v>
      </c>
      <c r="H8" s="6" t="s">
        <v>66</v>
      </c>
      <c r="I8" s="6" t="s">
        <v>1114</v>
      </c>
      <c r="J8" s="6" t="s">
        <v>477</v>
      </c>
      <c r="K8" s="6" t="s">
        <v>1105</v>
      </c>
      <c r="L8" s="6" t="s">
        <v>477</v>
      </c>
      <c r="M8" s="6" t="s">
        <v>1115</v>
      </c>
      <c r="N8" s="63" t="s">
        <v>1223</v>
      </c>
      <c r="O8" s="7" t="s">
        <v>1116</v>
      </c>
      <c r="P8" s="6" t="s">
        <v>47</v>
      </c>
      <c r="Q8" s="6" t="s">
        <v>48</v>
      </c>
      <c r="R8" s="6" t="s">
        <v>595</v>
      </c>
      <c r="S8" s="6" t="s">
        <v>1117</v>
      </c>
      <c r="T8" s="6" t="s">
        <v>347</v>
      </c>
      <c r="U8" s="6" t="s">
        <v>135</v>
      </c>
      <c r="V8" s="6" t="s">
        <v>1118</v>
      </c>
      <c r="W8" s="6" t="s">
        <v>1119</v>
      </c>
      <c r="X8" s="6" t="s">
        <v>1120</v>
      </c>
      <c r="Y8" s="22" t="s">
        <v>56</v>
      </c>
      <c r="Z8" s="6" t="s">
        <v>1121</v>
      </c>
      <c r="AA8" s="6"/>
      <c r="AB8" s="23"/>
      <c r="AC8" s="24" t="s">
        <v>278</v>
      </c>
      <c r="AD8" s="6" t="s">
        <v>59</v>
      </c>
      <c r="AE8" s="6" t="s">
        <v>60</v>
      </c>
      <c r="AF8" s="6" t="s">
        <v>1122</v>
      </c>
      <c r="AG8" s="6">
        <v>15</v>
      </c>
      <c r="AH8" s="6" t="s">
        <v>295</v>
      </c>
      <c r="AI8" s="6" t="s">
        <v>61</v>
      </c>
    </row>
    <row r="9" spans="1:35" ht="82.2" x14ac:dyDescent="0.25">
      <c r="A9" s="7">
        <v>6</v>
      </c>
      <c r="B9" s="6" t="s">
        <v>1123</v>
      </c>
      <c r="C9" s="7" t="s">
        <v>1124</v>
      </c>
      <c r="D9" s="7">
        <v>29</v>
      </c>
      <c r="E9" s="8">
        <v>129027194000</v>
      </c>
      <c r="F9" s="6" t="s">
        <v>89</v>
      </c>
      <c r="G9" s="6" t="s">
        <v>1082</v>
      </c>
      <c r="H9" s="6" t="s">
        <v>66</v>
      </c>
      <c r="I9" s="6" t="s">
        <v>1125</v>
      </c>
      <c r="J9" s="6" t="s">
        <v>70</v>
      </c>
      <c r="K9" s="6" t="s">
        <v>1126</v>
      </c>
      <c r="L9" s="6" t="s">
        <v>162</v>
      </c>
      <c r="M9" s="6" t="s">
        <v>1127</v>
      </c>
      <c r="N9" s="63" t="s">
        <v>1222</v>
      </c>
      <c r="O9" s="7" t="s">
        <v>1128</v>
      </c>
      <c r="P9" s="6" t="s">
        <v>247</v>
      </c>
      <c r="Q9" s="6" t="s">
        <v>48</v>
      </c>
      <c r="R9" s="6" t="s">
        <v>660</v>
      </c>
      <c r="S9" s="6" t="s">
        <v>1129</v>
      </c>
      <c r="T9" s="6" t="s">
        <v>1130</v>
      </c>
      <c r="U9" s="6" t="s">
        <v>135</v>
      </c>
      <c r="V9" s="6" t="s">
        <v>1131</v>
      </c>
      <c r="W9" s="6" t="s">
        <v>868</v>
      </c>
      <c r="X9" s="6" t="s">
        <v>1000</v>
      </c>
      <c r="Y9" s="22" t="s">
        <v>56</v>
      </c>
      <c r="Z9" s="6" t="s">
        <v>868</v>
      </c>
      <c r="AA9" s="6"/>
      <c r="AB9" s="23"/>
      <c r="AC9" s="24" t="s">
        <v>323</v>
      </c>
      <c r="AD9" s="6" t="s">
        <v>172</v>
      </c>
      <c r="AE9" s="6" t="s">
        <v>60</v>
      </c>
      <c r="AF9" s="6" t="s">
        <v>60</v>
      </c>
      <c r="AG9" s="6">
        <v>23</v>
      </c>
      <c r="AH9" s="6" t="s">
        <v>444</v>
      </c>
      <c r="AI9" s="6" t="s">
        <v>61</v>
      </c>
    </row>
    <row r="10" spans="1:35" ht="157.80000000000001" x14ac:dyDescent="0.25">
      <c r="A10" s="7">
        <v>7</v>
      </c>
      <c r="B10" s="6" t="s">
        <v>445</v>
      </c>
      <c r="C10" s="7" t="s">
        <v>1132</v>
      </c>
      <c r="D10" s="7">
        <v>30</v>
      </c>
      <c r="E10" s="8">
        <v>129025950733</v>
      </c>
      <c r="F10" s="6" t="s">
        <v>89</v>
      </c>
      <c r="G10" s="6" t="s">
        <v>40</v>
      </c>
      <c r="H10" s="6" t="s">
        <v>40</v>
      </c>
      <c r="I10" s="6" t="s">
        <v>970</v>
      </c>
      <c r="J10" s="6" t="s">
        <v>1133</v>
      </c>
      <c r="K10" s="6" t="s">
        <v>1134</v>
      </c>
      <c r="L10" s="6" t="s">
        <v>724</v>
      </c>
      <c r="M10" s="6" t="s">
        <v>875</v>
      </c>
      <c r="N10" s="63" t="s">
        <v>1216</v>
      </c>
      <c r="O10" s="7" t="s">
        <v>1135</v>
      </c>
      <c r="P10" s="6" t="s">
        <v>1136</v>
      </c>
      <c r="Q10" s="6" t="s">
        <v>74</v>
      </c>
      <c r="R10" s="6" t="s">
        <v>469</v>
      </c>
      <c r="S10" s="6" t="s">
        <v>1034</v>
      </c>
      <c r="T10" s="6" t="s">
        <v>1137</v>
      </c>
      <c r="U10" s="6" t="s">
        <v>135</v>
      </c>
      <c r="V10" s="6" t="s">
        <v>1138</v>
      </c>
      <c r="W10" s="6" t="s">
        <v>56</v>
      </c>
      <c r="X10" s="6" t="s">
        <v>56</v>
      </c>
      <c r="Y10" s="22" t="s">
        <v>610</v>
      </c>
      <c r="Z10" s="6" t="s">
        <v>361</v>
      </c>
      <c r="AA10" s="6" t="s">
        <v>596</v>
      </c>
      <c r="AB10" s="23" t="s">
        <v>1139</v>
      </c>
      <c r="AC10" s="24" t="s">
        <v>278</v>
      </c>
      <c r="AD10" s="6" t="s">
        <v>1140</v>
      </c>
      <c r="AE10" s="6" t="s">
        <v>60</v>
      </c>
      <c r="AF10" s="6" t="s">
        <v>60</v>
      </c>
      <c r="AG10" s="6">
        <v>26</v>
      </c>
      <c r="AH10" s="6" t="s">
        <v>1141</v>
      </c>
      <c r="AI10" s="6" t="s">
        <v>61</v>
      </c>
    </row>
    <row r="11" spans="1:35" ht="124.8" x14ac:dyDescent="0.25">
      <c r="A11" s="7">
        <v>8</v>
      </c>
      <c r="B11" s="6" t="s">
        <v>1142</v>
      </c>
      <c r="C11" s="7" t="s">
        <v>1143</v>
      </c>
      <c r="D11" s="7">
        <v>32</v>
      </c>
      <c r="E11" s="8">
        <v>129028016904</v>
      </c>
      <c r="F11" s="6" t="s">
        <v>39</v>
      </c>
      <c r="G11" s="6" t="s">
        <v>1144</v>
      </c>
      <c r="H11" s="6" t="s">
        <v>66</v>
      </c>
      <c r="I11" s="6" t="s">
        <v>1126</v>
      </c>
      <c r="J11" s="6" t="s">
        <v>1145</v>
      </c>
      <c r="K11" s="6" t="s">
        <v>1146</v>
      </c>
      <c r="L11" s="6" t="s">
        <v>1145</v>
      </c>
      <c r="M11" s="6">
        <v>1590</v>
      </c>
      <c r="N11" s="63" t="s">
        <v>1224</v>
      </c>
      <c r="O11" s="7" t="s">
        <v>1147</v>
      </c>
      <c r="P11" s="6" t="s">
        <v>1148</v>
      </c>
      <c r="Q11" s="6" t="s">
        <v>48</v>
      </c>
      <c r="R11" s="6" t="s">
        <v>1149</v>
      </c>
      <c r="S11" s="6" t="s">
        <v>1150</v>
      </c>
      <c r="T11" s="6" t="s">
        <v>616</v>
      </c>
      <c r="U11" s="6" t="s">
        <v>135</v>
      </c>
      <c r="V11" s="6" t="s">
        <v>1151</v>
      </c>
      <c r="W11" s="6" t="s">
        <v>842</v>
      </c>
      <c r="X11" s="6" t="s">
        <v>1152</v>
      </c>
      <c r="Y11" s="22" t="s">
        <v>56</v>
      </c>
      <c r="Z11" s="6" t="s">
        <v>1152</v>
      </c>
      <c r="AA11" s="6" t="s">
        <v>1153</v>
      </c>
      <c r="AB11" s="23" t="s">
        <v>1154</v>
      </c>
      <c r="AC11" s="24" t="s">
        <v>950</v>
      </c>
      <c r="AD11" s="6" t="s">
        <v>59</v>
      </c>
      <c r="AE11" s="6" t="s">
        <v>60</v>
      </c>
      <c r="AF11" s="6" t="s">
        <v>60</v>
      </c>
      <c r="AG11" s="6"/>
      <c r="AH11" s="6" t="s">
        <v>1155</v>
      </c>
      <c r="AI11" s="6" t="s">
        <v>61</v>
      </c>
    </row>
    <row r="12" spans="1:35" ht="124.8" x14ac:dyDescent="0.25">
      <c r="A12" s="7">
        <v>9</v>
      </c>
      <c r="B12" s="6" t="s">
        <v>1142</v>
      </c>
      <c r="C12" s="7" t="s">
        <v>1143</v>
      </c>
      <c r="D12" s="7">
        <v>32</v>
      </c>
      <c r="E12" s="8">
        <v>129028016904</v>
      </c>
      <c r="F12" s="6" t="s">
        <v>39</v>
      </c>
      <c r="G12" s="6" t="s">
        <v>1144</v>
      </c>
      <c r="H12" s="6" t="s">
        <v>66</v>
      </c>
      <c r="I12" s="6" t="s">
        <v>1126</v>
      </c>
      <c r="J12" s="6" t="s">
        <v>1145</v>
      </c>
      <c r="K12" s="6" t="s">
        <v>1146</v>
      </c>
      <c r="L12" s="6" t="s">
        <v>1145</v>
      </c>
      <c r="M12" s="6">
        <v>1550</v>
      </c>
      <c r="N12" s="63" t="s">
        <v>1224</v>
      </c>
      <c r="O12" s="7" t="s">
        <v>1147</v>
      </c>
      <c r="P12" s="6" t="s">
        <v>1148</v>
      </c>
      <c r="Q12" s="6" t="s">
        <v>48</v>
      </c>
      <c r="R12" s="6" t="s">
        <v>1149</v>
      </c>
      <c r="S12" s="6" t="s">
        <v>1150</v>
      </c>
      <c r="T12" s="6" t="s">
        <v>1156</v>
      </c>
      <c r="U12" s="6" t="s">
        <v>135</v>
      </c>
      <c r="V12" s="6" t="s">
        <v>1151</v>
      </c>
      <c r="W12" s="6" t="s">
        <v>842</v>
      </c>
      <c r="X12" s="6" t="s">
        <v>1152</v>
      </c>
      <c r="Y12" s="22" t="s">
        <v>56</v>
      </c>
      <c r="Z12" s="6" t="s">
        <v>1152</v>
      </c>
      <c r="AA12" s="6" t="s">
        <v>1153</v>
      </c>
      <c r="AB12" s="23" t="s">
        <v>1154</v>
      </c>
      <c r="AC12" s="24" t="s">
        <v>950</v>
      </c>
      <c r="AD12" s="6" t="s">
        <v>59</v>
      </c>
      <c r="AE12" s="6" t="s">
        <v>60</v>
      </c>
      <c r="AF12" s="6" t="s">
        <v>60</v>
      </c>
      <c r="AG12" s="6"/>
      <c r="AH12" s="6" t="s">
        <v>1155</v>
      </c>
      <c r="AI12" s="6" t="s">
        <v>61</v>
      </c>
    </row>
    <row r="13" spans="1:35" ht="157.19999999999999" x14ac:dyDescent="0.25">
      <c r="A13" s="7">
        <v>10</v>
      </c>
      <c r="B13" s="6" t="s">
        <v>1265</v>
      </c>
      <c r="C13" s="7" t="s">
        <v>1157</v>
      </c>
      <c r="D13" s="7">
        <v>34</v>
      </c>
      <c r="E13" s="8">
        <v>129019608980</v>
      </c>
      <c r="F13" s="6" t="s">
        <v>89</v>
      </c>
      <c r="G13" s="6" t="s">
        <v>462</v>
      </c>
      <c r="H13" s="6" t="s">
        <v>66</v>
      </c>
      <c r="I13" s="6" t="s">
        <v>1158</v>
      </c>
      <c r="J13" s="6" t="s">
        <v>477</v>
      </c>
      <c r="K13" s="6" t="s">
        <v>1159</v>
      </c>
      <c r="L13" s="6" t="s">
        <v>70</v>
      </c>
      <c r="M13" s="6">
        <v>2580</v>
      </c>
      <c r="N13" s="63" t="s">
        <v>1206</v>
      </c>
      <c r="O13" s="7" t="s">
        <v>1160</v>
      </c>
      <c r="P13" s="6" t="s">
        <v>1161</v>
      </c>
      <c r="Q13" s="6" t="s">
        <v>48</v>
      </c>
      <c r="R13" s="6" t="s">
        <v>647</v>
      </c>
      <c r="S13" s="6" t="s">
        <v>1162</v>
      </c>
      <c r="T13" s="6" t="s">
        <v>51</v>
      </c>
      <c r="U13" s="6" t="s">
        <v>135</v>
      </c>
      <c r="V13" s="6" t="s">
        <v>1163</v>
      </c>
      <c r="W13" s="6" t="s">
        <v>1075</v>
      </c>
      <c r="X13" s="6" t="s">
        <v>1164</v>
      </c>
      <c r="Y13" s="22" t="s">
        <v>56</v>
      </c>
      <c r="Z13" s="6" t="s">
        <v>1165</v>
      </c>
      <c r="AA13" s="6" t="s">
        <v>1075</v>
      </c>
      <c r="AB13" s="23" t="s">
        <v>1164</v>
      </c>
      <c r="AC13" s="24" t="s">
        <v>323</v>
      </c>
      <c r="AD13" s="6" t="s">
        <v>228</v>
      </c>
      <c r="AE13" s="6" t="s">
        <v>60</v>
      </c>
      <c r="AF13" s="6" t="s">
        <v>60</v>
      </c>
      <c r="AG13" s="6"/>
      <c r="AH13" s="6" t="s">
        <v>1166</v>
      </c>
      <c r="AI13" s="6" t="s">
        <v>61</v>
      </c>
    </row>
    <row r="14" spans="1:35" x14ac:dyDescent="0.25">
      <c r="B14" s="5" t="s">
        <v>1264</v>
      </c>
    </row>
  </sheetData>
  <mergeCells count="31">
    <mergeCell ref="A1:AI1"/>
    <mergeCell ref="A2:A3"/>
    <mergeCell ref="B2:B3"/>
    <mergeCell ref="C2:C3"/>
    <mergeCell ref="D2:D3"/>
    <mergeCell ref="E2:E3"/>
    <mergeCell ref="F2:F3"/>
    <mergeCell ref="G2:G3"/>
    <mergeCell ref="H2:H3"/>
    <mergeCell ref="I2:I3"/>
    <mergeCell ref="V2:V3"/>
    <mergeCell ref="J2:J3"/>
    <mergeCell ref="K2:K3"/>
    <mergeCell ref="L2:L3"/>
    <mergeCell ref="M2:M3"/>
    <mergeCell ref="O2:O3"/>
    <mergeCell ref="P2:P3"/>
    <mergeCell ref="AG2:AG3"/>
    <mergeCell ref="AH2:AH3"/>
    <mergeCell ref="AI2:AI3"/>
    <mergeCell ref="W2:Y2"/>
    <mergeCell ref="Z2:AB2"/>
    <mergeCell ref="AC2:AC3"/>
    <mergeCell ref="AD2:AD3"/>
    <mergeCell ref="AE2:AE3"/>
    <mergeCell ref="AF2:AF3"/>
    <mergeCell ref="Q2:Q3"/>
    <mergeCell ref="R2:R3"/>
    <mergeCell ref="S2:S3"/>
    <mergeCell ref="T2:T3"/>
    <mergeCell ref="U2:U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tabColor rgb="FF92D050"/>
  </sheetPr>
  <dimension ref="A1:BH87"/>
  <sheetViews>
    <sheetView zoomScale="86" zoomScaleNormal="86" workbookViewId="0">
      <pane xSplit="2" ySplit="4" topLeftCell="AI26" activePane="bottomRight" state="frozen"/>
      <selection pane="topRight" activeCell="D1" sqref="D1"/>
      <selection pane="bottomLeft" activeCell="A5" sqref="A5"/>
      <selection pane="bottomRight" activeCell="BE26" sqref="BE26:BE82"/>
    </sheetView>
  </sheetViews>
  <sheetFormatPr defaultColWidth="9.109375" defaultRowHeight="14.4" x14ac:dyDescent="0.3"/>
  <cols>
    <col min="1" max="1" width="3.88671875" style="65" customWidth="1"/>
    <col min="2" max="2" width="17.44140625" style="81" customWidth="1"/>
    <col min="3" max="3" width="4.6640625" style="67" customWidth="1"/>
    <col min="4" max="4" width="3.6640625" style="67" customWidth="1"/>
    <col min="5" max="5" width="5.33203125" style="81" customWidth="1"/>
    <col min="6" max="6" width="4.44140625" style="82" customWidth="1"/>
    <col min="7" max="7" width="4" style="82" customWidth="1"/>
    <col min="8" max="8" width="6.6640625" style="83" customWidth="1"/>
    <col min="9" max="9" width="4" style="83" customWidth="1"/>
    <col min="10" max="10" width="3.6640625" style="83" customWidth="1"/>
    <col min="11" max="12" width="4.109375" style="83" customWidth="1"/>
    <col min="13" max="13" width="2.88671875" style="83" customWidth="1"/>
    <col min="14" max="14" width="3.88671875" style="83" customWidth="1"/>
    <col min="15" max="15" width="3.109375" style="83" customWidth="1"/>
    <col min="16" max="16" width="3.5546875" style="83" customWidth="1"/>
    <col min="17" max="17" width="3.33203125" style="83" customWidth="1"/>
    <col min="18" max="18" width="4" style="83" customWidth="1"/>
    <col min="19" max="25" width="5.5546875" style="83" hidden="1" customWidth="1"/>
    <col min="26" max="26" width="4.33203125" style="83" customWidth="1"/>
    <col min="27" max="27" width="5.5546875" style="83" hidden="1" customWidth="1"/>
    <col min="28" max="28" width="10" style="65" customWidth="1"/>
    <col min="29" max="29" width="8" style="65" bestFit="1" customWidth="1"/>
    <col min="30" max="32" width="3.5546875" style="65" customWidth="1"/>
    <col min="33" max="33" width="8.6640625" style="69" customWidth="1"/>
    <col min="34" max="34" width="8.6640625" style="65" customWidth="1"/>
    <col min="35" max="35" width="4.6640625" style="65" customWidth="1"/>
    <col min="36" max="36" width="5.6640625" style="65" customWidth="1"/>
    <col min="37" max="37" width="6.44140625" style="65" customWidth="1"/>
    <col min="38" max="38" width="7" style="65" customWidth="1"/>
    <col min="39" max="39" width="5.6640625" style="65" customWidth="1"/>
    <col min="40" max="40" width="4.109375" style="65" customWidth="1"/>
    <col min="41" max="41" width="3.88671875" style="65" customWidth="1"/>
    <col min="42" max="42" width="4.33203125" style="65" customWidth="1"/>
    <col min="43" max="43" width="3.44140625" style="65" customWidth="1"/>
    <col min="44" max="44" width="3.6640625" style="65" customWidth="1"/>
    <col min="45" max="45" width="3.5546875" style="65" customWidth="1"/>
    <col min="46" max="46" width="4" style="65" customWidth="1"/>
    <col min="47" max="47" width="4.44140625" style="65" customWidth="1"/>
    <col min="48" max="48" width="3.88671875" style="65" customWidth="1"/>
    <col min="49" max="49" width="3.6640625" style="65" customWidth="1"/>
    <col min="50" max="50" width="3.5546875" style="65" customWidth="1"/>
    <col min="51" max="51" width="3.88671875" style="65" customWidth="1"/>
    <col min="52" max="52" width="3.44140625" style="65" customWidth="1"/>
    <col min="53" max="53" width="3.5546875" style="65" customWidth="1"/>
    <col min="54" max="54" width="3.88671875" style="65" customWidth="1"/>
    <col min="55" max="55" width="4.109375" style="65" customWidth="1"/>
    <col min="56" max="56" width="3.5546875" style="65" customWidth="1"/>
    <col min="57" max="57" width="17" style="65" customWidth="1"/>
    <col min="58" max="58" width="4" style="65" customWidth="1"/>
    <col min="59" max="59" width="29.5546875" style="65" customWidth="1"/>
    <col min="60" max="60" width="31.5546875" style="65" customWidth="1"/>
    <col min="61" max="16384" width="9.109375" style="65"/>
  </cols>
  <sheetData>
    <row r="1" spans="1:60" ht="13.8" x14ac:dyDescent="0.25">
      <c r="B1" s="65"/>
      <c r="E1" s="65"/>
      <c r="F1" s="68"/>
      <c r="G1" s="68"/>
      <c r="H1" s="65"/>
      <c r="I1" s="65"/>
      <c r="J1" s="65"/>
      <c r="K1" s="65"/>
      <c r="L1" s="65"/>
      <c r="M1" s="65"/>
      <c r="N1" s="65"/>
      <c r="O1" s="65"/>
      <c r="P1" s="65"/>
      <c r="Q1" s="65"/>
      <c r="R1" s="65"/>
      <c r="S1" s="65"/>
      <c r="T1" s="65"/>
      <c r="U1" s="65"/>
      <c r="V1" s="65"/>
      <c r="W1" s="65"/>
      <c r="X1" s="65"/>
      <c r="Y1" s="65"/>
      <c r="Z1" s="65"/>
      <c r="AA1" s="65"/>
    </row>
    <row r="2" spans="1:60" s="87" customFormat="1" ht="13.8" x14ac:dyDescent="0.3">
      <c r="A2" s="157" t="s">
        <v>1259</v>
      </c>
      <c r="B2" s="157" t="s">
        <v>3</v>
      </c>
      <c r="C2" s="156" t="s">
        <v>1171</v>
      </c>
      <c r="D2" s="156" t="s">
        <v>1172</v>
      </c>
      <c r="E2" s="158" t="s">
        <v>1251</v>
      </c>
      <c r="F2" s="159" t="s">
        <v>8</v>
      </c>
      <c r="G2" s="159" t="s">
        <v>7</v>
      </c>
      <c r="H2" s="158" t="s">
        <v>1167</v>
      </c>
      <c r="I2" s="157" t="s">
        <v>1168</v>
      </c>
      <c r="J2" s="157"/>
      <c r="K2" s="157"/>
      <c r="L2" s="157"/>
      <c r="M2" s="157"/>
      <c r="N2" s="157"/>
      <c r="O2" s="157"/>
      <c r="P2" s="157"/>
      <c r="Q2" s="157"/>
      <c r="R2" s="157"/>
      <c r="S2" s="157"/>
      <c r="T2" s="157"/>
      <c r="U2" s="157"/>
      <c r="V2" s="157"/>
      <c r="W2" s="157"/>
      <c r="X2" s="157"/>
      <c r="Y2" s="157"/>
      <c r="Z2" s="157"/>
      <c r="AA2" s="157"/>
      <c r="AB2" s="157" t="s">
        <v>1169</v>
      </c>
      <c r="AC2" s="157" t="s">
        <v>1170</v>
      </c>
      <c r="AD2" s="157" t="s">
        <v>1191</v>
      </c>
      <c r="AE2" s="157"/>
      <c r="AF2" s="157"/>
      <c r="AG2" s="157" t="s">
        <v>10</v>
      </c>
      <c r="AH2" s="157" t="s">
        <v>1173</v>
      </c>
      <c r="AI2" s="160" t="s">
        <v>1209</v>
      </c>
      <c r="AJ2" s="161"/>
      <c r="AK2" s="161"/>
      <c r="AL2" s="161"/>
      <c r="AM2" s="161"/>
      <c r="AN2" s="161"/>
      <c r="AO2" s="161"/>
      <c r="AP2" s="161"/>
      <c r="AQ2" s="161"/>
      <c r="AR2" s="161"/>
      <c r="AS2" s="161"/>
      <c r="AT2" s="161"/>
      <c r="AU2" s="161"/>
      <c r="AV2" s="161"/>
      <c r="AW2" s="161"/>
      <c r="AX2" s="161"/>
      <c r="AY2" s="161"/>
      <c r="AZ2" s="161"/>
      <c r="BA2" s="161"/>
      <c r="BB2" s="161"/>
      <c r="BC2" s="161"/>
      <c r="BD2" s="162"/>
      <c r="BE2" s="157" t="s">
        <v>1207</v>
      </c>
      <c r="BF2" s="163" t="s">
        <v>1237</v>
      </c>
    </row>
    <row r="3" spans="1:60" s="87" customFormat="1" ht="13.8" x14ac:dyDescent="0.3">
      <c r="A3" s="157"/>
      <c r="B3" s="157"/>
      <c r="C3" s="156"/>
      <c r="D3" s="156"/>
      <c r="E3" s="158"/>
      <c r="F3" s="159"/>
      <c r="G3" s="159"/>
      <c r="H3" s="158"/>
      <c r="I3" s="156" t="s">
        <v>1248</v>
      </c>
      <c r="J3" s="156" t="s">
        <v>415</v>
      </c>
      <c r="K3" s="156" t="s">
        <v>1174</v>
      </c>
      <c r="L3" s="156" t="s">
        <v>1256</v>
      </c>
      <c r="M3" s="156" t="s">
        <v>1258</v>
      </c>
      <c r="N3" s="156" t="s">
        <v>1257</v>
      </c>
      <c r="O3" s="156" t="s">
        <v>1254</v>
      </c>
      <c r="P3" s="156" t="s">
        <v>1255</v>
      </c>
      <c r="Q3" s="156" t="s">
        <v>155</v>
      </c>
      <c r="R3" s="156" t="s">
        <v>370</v>
      </c>
      <c r="S3" s="156" t="s">
        <v>1176</v>
      </c>
      <c r="T3" s="156" t="s">
        <v>1184</v>
      </c>
      <c r="U3" s="156" t="s">
        <v>1183</v>
      </c>
      <c r="V3" s="156" t="s">
        <v>1182</v>
      </c>
      <c r="W3" s="156" t="s">
        <v>1179</v>
      </c>
      <c r="X3" s="156" t="s">
        <v>1181</v>
      </c>
      <c r="Y3" s="156" t="s">
        <v>1178</v>
      </c>
      <c r="Z3" s="156" t="s">
        <v>1177</v>
      </c>
      <c r="AA3" s="156" t="s">
        <v>1180</v>
      </c>
      <c r="AB3" s="157"/>
      <c r="AC3" s="157"/>
      <c r="AD3" s="156" t="s">
        <v>1185</v>
      </c>
      <c r="AE3" s="156" t="s">
        <v>1186</v>
      </c>
      <c r="AF3" s="156" t="s">
        <v>1187</v>
      </c>
      <c r="AG3" s="157"/>
      <c r="AH3" s="157"/>
      <c r="AI3" s="156" t="s">
        <v>1260</v>
      </c>
      <c r="AJ3" s="156" t="s">
        <v>1200</v>
      </c>
      <c r="AK3" s="156" t="s">
        <v>1201</v>
      </c>
      <c r="AL3" s="156" t="s">
        <v>1198</v>
      </c>
      <c r="AM3" s="156" t="s">
        <v>1199</v>
      </c>
      <c r="AN3" s="156" t="s">
        <v>1196</v>
      </c>
      <c r="AO3" s="157" t="s">
        <v>1205</v>
      </c>
      <c r="AP3" s="157"/>
      <c r="AQ3" s="157"/>
      <c r="AR3" s="156" t="s">
        <v>1197</v>
      </c>
      <c r="AS3" s="156" t="s">
        <v>1210</v>
      </c>
      <c r="AT3" s="156" t="s">
        <v>1202</v>
      </c>
      <c r="AU3" s="156" t="s">
        <v>1212</v>
      </c>
      <c r="AV3" s="156" t="s">
        <v>1213</v>
      </c>
      <c r="AW3" s="156" t="s">
        <v>1218</v>
      </c>
      <c r="AX3" s="156" t="s">
        <v>1214</v>
      </c>
      <c r="AY3" s="156" t="s">
        <v>1215</v>
      </c>
      <c r="AZ3" s="156" t="s">
        <v>1178</v>
      </c>
      <c r="BA3" s="156" t="s">
        <v>1225</v>
      </c>
      <c r="BB3" s="156" t="s">
        <v>343</v>
      </c>
      <c r="BC3" s="156" t="s">
        <v>1232</v>
      </c>
      <c r="BD3" s="156" t="s">
        <v>1206</v>
      </c>
      <c r="BE3" s="157"/>
      <c r="BF3" s="164"/>
    </row>
    <row r="4" spans="1:60" s="87" customFormat="1" ht="117" customHeight="1" x14ac:dyDescent="0.3">
      <c r="A4" s="157"/>
      <c r="B4" s="157"/>
      <c r="C4" s="156"/>
      <c r="D4" s="156"/>
      <c r="E4" s="158"/>
      <c r="F4" s="159"/>
      <c r="G4" s="159"/>
      <c r="H4" s="158"/>
      <c r="I4" s="156"/>
      <c r="J4" s="156"/>
      <c r="K4" s="156"/>
      <c r="L4" s="156"/>
      <c r="M4" s="156"/>
      <c r="N4" s="156"/>
      <c r="O4" s="156"/>
      <c r="P4" s="156"/>
      <c r="Q4" s="156"/>
      <c r="R4" s="156"/>
      <c r="S4" s="156"/>
      <c r="T4" s="156"/>
      <c r="U4" s="156"/>
      <c r="V4" s="156"/>
      <c r="W4" s="156"/>
      <c r="X4" s="156"/>
      <c r="Y4" s="156"/>
      <c r="Z4" s="156"/>
      <c r="AA4" s="156"/>
      <c r="AB4" s="157"/>
      <c r="AC4" s="157"/>
      <c r="AD4" s="156"/>
      <c r="AE4" s="156"/>
      <c r="AF4" s="156"/>
      <c r="AG4" s="157"/>
      <c r="AH4" s="157"/>
      <c r="AI4" s="156"/>
      <c r="AJ4" s="156"/>
      <c r="AK4" s="156"/>
      <c r="AL4" s="156"/>
      <c r="AM4" s="156"/>
      <c r="AN4" s="156"/>
      <c r="AO4" s="88" t="s">
        <v>1208</v>
      </c>
      <c r="AP4" s="88" t="s">
        <v>1217</v>
      </c>
      <c r="AQ4" s="88" t="s">
        <v>1216</v>
      </c>
      <c r="AR4" s="156"/>
      <c r="AS4" s="156"/>
      <c r="AT4" s="156"/>
      <c r="AU4" s="156"/>
      <c r="AV4" s="156"/>
      <c r="AW4" s="156"/>
      <c r="AX4" s="156"/>
      <c r="AY4" s="156"/>
      <c r="AZ4" s="156"/>
      <c r="BA4" s="156"/>
      <c r="BB4" s="156"/>
      <c r="BC4" s="156"/>
      <c r="BD4" s="156"/>
      <c r="BE4" s="157"/>
      <c r="BF4" s="165"/>
      <c r="BH4" s="87" t="s">
        <v>1253</v>
      </c>
    </row>
    <row r="5" spans="1:60" s="66" customFormat="1" ht="93.6" hidden="1" x14ac:dyDescent="0.3">
      <c r="A5" s="66">
        <v>1</v>
      </c>
      <c r="B5" s="71" t="s">
        <v>1261</v>
      </c>
      <c r="C5" s="70" t="s">
        <v>1188</v>
      </c>
      <c r="D5" s="70" t="s">
        <v>37</v>
      </c>
      <c r="E5" s="71">
        <v>27</v>
      </c>
      <c r="F5" s="72" t="s">
        <v>40</v>
      </c>
      <c r="G5" s="72" t="s">
        <v>40</v>
      </c>
      <c r="H5" s="71" t="s">
        <v>60</v>
      </c>
      <c r="I5" s="84"/>
      <c r="J5" s="84"/>
      <c r="K5" s="84"/>
      <c r="L5" s="84"/>
      <c r="M5" s="84"/>
      <c r="N5" s="84"/>
      <c r="O5" s="84"/>
      <c r="P5" s="84"/>
      <c r="Q5" s="84"/>
      <c r="R5" s="84"/>
      <c r="S5" s="84"/>
      <c r="T5" s="84"/>
      <c r="U5" s="84"/>
      <c r="V5" s="84"/>
      <c r="W5" s="84"/>
      <c r="X5" s="84"/>
      <c r="Y5" s="84"/>
      <c r="Z5" s="85"/>
      <c r="AA5" s="73"/>
      <c r="AB5" s="66" t="s">
        <v>48</v>
      </c>
      <c r="AC5" s="71" t="s">
        <v>39</v>
      </c>
      <c r="AD5" s="71"/>
      <c r="AE5" s="71">
        <v>8</v>
      </c>
      <c r="AF5" s="71"/>
      <c r="AG5" s="66" t="s">
        <v>1203</v>
      </c>
      <c r="AH5" s="66" t="s">
        <v>162</v>
      </c>
      <c r="AI5" s="80"/>
      <c r="AJ5" s="80"/>
      <c r="AK5" s="80"/>
      <c r="AL5" s="80" t="s">
        <v>141</v>
      </c>
      <c r="AM5" s="80"/>
      <c r="AN5" s="80"/>
      <c r="AO5" s="80"/>
      <c r="AP5" s="80"/>
      <c r="AQ5" s="80"/>
      <c r="AR5" s="80"/>
      <c r="AS5" s="80"/>
      <c r="AT5" s="80"/>
      <c r="AU5" s="80"/>
      <c r="AV5" s="80"/>
      <c r="AW5" s="80"/>
      <c r="AX5" s="80"/>
      <c r="AY5" s="80"/>
      <c r="AZ5" s="80"/>
      <c r="BA5" s="80"/>
      <c r="BB5" s="80"/>
      <c r="BC5" s="80"/>
      <c r="BD5" s="80" t="s">
        <v>141</v>
      </c>
      <c r="BE5" s="66" t="s">
        <v>1262</v>
      </c>
      <c r="BF5" s="89" t="s">
        <v>60</v>
      </c>
      <c r="BH5" s="71" t="s">
        <v>46</v>
      </c>
    </row>
    <row r="6" spans="1:60" s="66" customFormat="1" ht="93.6" hidden="1" x14ac:dyDescent="0.3">
      <c r="A6" s="66">
        <v>2</v>
      </c>
      <c r="B6" s="71" t="s">
        <v>64</v>
      </c>
      <c r="C6" s="70" t="s">
        <v>1189</v>
      </c>
      <c r="D6" s="72" t="s">
        <v>63</v>
      </c>
      <c r="E6" s="71">
        <v>29</v>
      </c>
      <c r="F6" s="75" t="s">
        <v>66</v>
      </c>
      <c r="G6" s="75" t="s">
        <v>65</v>
      </c>
      <c r="H6" s="71" t="s">
        <v>60</v>
      </c>
      <c r="I6" s="84"/>
      <c r="J6" s="84"/>
      <c r="K6" s="84"/>
      <c r="L6" s="84"/>
      <c r="M6" s="84"/>
      <c r="N6" s="84"/>
      <c r="O6" s="84"/>
      <c r="P6" s="84"/>
      <c r="Q6" s="84"/>
      <c r="R6" s="84"/>
      <c r="S6" s="84"/>
      <c r="T6" s="84"/>
      <c r="U6" s="84"/>
      <c r="V6" s="84"/>
      <c r="W6" s="84"/>
      <c r="X6" s="84"/>
      <c r="Y6" s="84"/>
      <c r="Z6" s="84"/>
      <c r="AA6" s="73"/>
      <c r="AB6" s="66" t="s">
        <v>74</v>
      </c>
      <c r="AC6" s="76" t="s">
        <v>39</v>
      </c>
      <c r="AD6" s="76">
        <v>6</v>
      </c>
      <c r="AE6" s="76">
        <v>28</v>
      </c>
      <c r="AF6" s="76"/>
      <c r="AG6" s="66" t="s">
        <v>1192</v>
      </c>
      <c r="AH6" s="66" t="s">
        <v>1204</v>
      </c>
      <c r="AI6" s="80"/>
      <c r="AJ6" s="80"/>
      <c r="AK6" s="80"/>
      <c r="AL6" s="80"/>
      <c r="AM6" s="80"/>
      <c r="AN6" s="80"/>
      <c r="AO6" s="80" t="s">
        <v>141</v>
      </c>
      <c r="AP6" s="80"/>
      <c r="AQ6" s="80"/>
      <c r="AR6" s="80" t="s">
        <v>141</v>
      </c>
      <c r="AS6" s="80"/>
      <c r="AT6" s="80"/>
      <c r="AU6" s="80"/>
      <c r="AV6" s="80"/>
      <c r="AW6" s="80"/>
      <c r="AX6" s="80"/>
      <c r="AY6" s="80"/>
      <c r="AZ6" s="80"/>
      <c r="BA6" s="80"/>
      <c r="BB6" s="80"/>
      <c r="BC6" s="80"/>
      <c r="BD6" s="80"/>
      <c r="BF6" s="89" t="s">
        <v>60</v>
      </c>
      <c r="BH6" s="77" t="s">
        <v>72</v>
      </c>
    </row>
    <row r="7" spans="1:60" s="66" customFormat="1" ht="93.6" hidden="1" x14ac:dyDescent="0.3">
      <c r="A7" s="66">
        <v>3</v>
      </c>
      <c r="B7" s="76" t="s">
        <v>88</v>
      </c>
      <c r="C7" s="70" t="s">
        <v>1189</v>
      </c>
      <c r="D7" s="75" t="s">
        <v>87</v>
      </c>
      <c r="E7" s="76">
        <v>29</v>
      </c>
      <c r="F7" s="75" t="s">
        <v>1246</v>
      </c>
      <c r="G7" s="75" t="s">
        <v>1246</v>
      </c>
      <c r="H7" s="71" t="s">
        <v>60</v>
      </c>
      <c r="I7" s="84"/>
      <c r="J7" s="84"/>
      <c r="K7" s="84"/>
      <c r="L7" s="84"/>
      <c r="M7" s="84"/>
      <c r="N7" s="84"/>
      <c r="O7" s="84"/>
      <c r="P7" s="84"/>
      <c r="Q7" s="84"/>
      <c r="R7" s="84"/>
      <c r="S7" s="84"/>
      <c r="T7" s="84"/>
      <c r="U7" s="84"/>
      <c r="V7" s="84"/>
      <c r="W7" s="84"/>
      <c r="X7" s="84"/>
      <c r="Y7" s="84"/>
      <c r="Z7" s="84"/>
      <c r="AA7" s="73"/>
      <c r="AB7" s="66" t="s">
        <v>48</v>
      </c>
      <c r="AC7" s="76" t="s">
        <v>89</v>
      </c>
      <c r="AD7" s="76"/>
      <c r="AE7" s="76">
        <v>20</v>
      </c>
      <c r="AF7" s="76"/>
      <c r="AG7" s="66" t="s">
        <v>1192</v>
      </c>
      <c r="AH7" s="66" t="s">
        <v>1204</v>
      </c>
      <c r="AI7" s="80"/>
      <c r="AJ7" s="80"/>
      <c r="AK7" s="80"/>
      <c r="AL7" s="80"/>
      <c r="AM7" s="80"/>
      <c r="AN7" s="80"/>
      <c r="AO7" s="80" t="s">
        <v>141</v>
      </c>
      <c r="AP7" s="80"/>
      <c r="AQ7" s="80"/>
      <c r="AR7" s="80"/>
      <c r="AS7" s="80"/>
      <c r="AT7" s="80"/>
      <c r="AU7" s="80"/>
      <c r="AV7" s="80"/>
      <c r="AW7" s="80"/>
      <c r="AX7" s="80"/>
      <c r="AY7" s="80"/>
      <c r="AZ7" s="80"/>
      <c r="BA7" s="80"/>
      <c r="BB7" s="80"/>
      <c r="BC7" s="80"/>
      <c r="BD7" s="80"/>
      <c r="BF7" s="89" t="s">
        <v>60</v>
      </c>
      <c r="BH7" s="76" t="s">
        <v>96</v>
      </c>
    </row>
    <row r="8" spans="1:60" s="66" customFormat="1" ht="124.8" hidden="1" x14ac:dyDescent="0.3">
      <c r="A8" s="66">
        <v>4</v>
      </c>
      <c r="B8" s="71" t="s">
        <v>109</v>
      </c>
      <c r="C8" s="70" t="s">
        <v>1189</v>
      </c>
      <c r="D8" s="72" t="s">
        <v>108</v>
      </c>
      <c r="E8" s="71">
        <v>30</v>
      </c>
      <c r="F8" s="72" t="s">
        <v>66</v>
      </c>
      <c r="G8" s="72" t="s">
        <v>1243</v>
      </c>
      <c r="H8" s="71" t="s">
        <v>60</v>
      </c>
      <c r="I8" s="84"/>
      <c r="J8" s="84"/>
      <c r="K8" s="84"/>
      <c r="L8" s="84"/>
      <c r="M8" s="84"/>
      <c r="N8" s="84"/>
      <c r="O8" s="84"/>
      <c r="P8" s="84"/>
      <c r="Q8" s="84"/>
      <c r="R8" s="84"/>
      <c r="S8" s="84"/>
      <c r="T8" s="84"/>
      <c r="U8" s="84"/>
      <c r="V8" s="84"/>
      <c r="W8" s="84"/>
      <c r="X8" s="84"/>
      <c r="Y8" s="84"/>
      <c r="Z8" s="84"/>
      <c r="AA8" s="73"/>
      <c r="AB8" s="66" t="s">
        <v>74</v>
      </c>
      <c r="AC8" s="71" t="s">
        <v>39</v>
      </c>
      <c r="AD8" s="71"/>
      <c r="AE8" s="71">
        <v>1</v>
      </c>
      <c r="AF8" s="71"/>
      <c r="AG8" s="66" t="s">
        <v>1193</v>
      </c>
      <c r="AH8" s="66" t="s">
        <v>1193</v>
      </c>
      <c r="AI8" s="80"/>
      <c r="AJ8" s="80" t="s">
        <v>107</v>
      </c>
      <c r="AK8" s="80"/>
      <c r="AL8" s="80"/>
      <c r="AM8" s="80"/>
      <c r="AN8" s="80"/>
      <c r="AO8" s="80"/>
      <c r="AP8" s="80"/>
      <c r="AQ8" s="80"/>
      <c r="AR8" s="80"/>
      <c r="AS8" s="80" t="s">
        <v>107</v>
      </c>
      <c r="AT8" s="80"/>
      <c r="AU8" s="80"/>
      <c r="AV8" s="80"/>
      <c r="AW8" s="80"/>
      <c r="AX8" s="80"/>
      <c r="AY8" s="80"/>
      <c r="AZ8" s="80"/>
      <c r="BA8" s="80"/>
      <c r="BB8" s="80"/>
      <c r="BC8" s="80"/>
      <c r="BD8" s="80"/>
      <c r="BF8" s="89" t="s">
        <v>60</v>
      </c>
      <c r="BH8" s="71" t="s">
        <v>114</v>
      </c>
    </row>
    <row r="9" spans="1:60" s="66" customFormat="1" ht="78" hidden="1" x14ac:dyDescent="0.3">
      <c r="A9" s="66">
        <v>5</v>
      </c>
      <c r="B9" s="71" t="s">
        <v>125</v>
      </c>
      <c r="C9" s="70" t="s">
        <v>1189</v>
      </c>
      <c r="D9" s="72" t="s">
        <v>124</v>
      </c>
      <c r="E9" s="71">
        <v>28</v>
      </c>
      <c r="F9" s="72" t="s">
        <v>66</v>
      </c>
      <c r="G9" s="72" t="s">
        <v>231</v>
      </c>
      <c r="H9" s="71" t="s">
        <v>60</v>
      </c>
      <c r="I9" s="84"/>
      <c r="J9" s="84"/>
      <c r="K9" s="84"/>
      <c r="L9" s="84"/>
      <c r="M9" s="84"/>
      <c r="N9" s="84"/>
      <c r="O9" s="84"/>
      <c r="P9" s="84"/>
      <c r="Q9" s="84"/>
      <c r="R9" s="84"/>
      <c r="S9" s="84"/>
      <c r="T9" s="84"/>
      <c r="U9" s="84"/>
      <c r="V9" s="84"/>
      <c r="W9" s="84"/>
      <c r="X9" s="84"/>
      <c r="Y9" s="84"/>
      <c r="Z9" s="84"/>
      <c r="AA9" s="73"/>
      <c r="AB9" s="66" t="s">
        <v>48</v>
      </c>
      <c r="AC9" s="71" t="s">
        <v>89</v>
      </c>
      <c r="AD9" s="71">
        <v>1</v>
      </c>
      <c r="AE9" s="71">
        <v>19</v>
      </c>
      <c r="AF9" s="71"/>
      <c r="AG9" s="66" t="s">
        <v>1203</v>
      </c>
      <c r="AH9" s="66" t="s">
        <v>1204</v>
      </c>
      <c r="AI9" s="80"/>
      <c r="AJ9" s="80"/>
      <c r="AK9" s="80"/>
      <c r="AL9" s="80"/>
      <c r="AM9" s="80"/>
      <c r="AN9" s="80"/>
      <c r="AO9" s="80"/>
      <c r="AP9" s="80"/>
      <c r="AQ9" s="80"/>
      <c r="AR9" s="80" t="s">
        <v>107</v>
      </c>
      <c r="AS9" s="80"/>
      <c r="AT9" s="80"/>
      <c r="AU9" s="80" t="s">
        <v>107</v>
      </c>
      <c r="AV9" s="80"/>
      <c r="AW9" s="80"/>
      <c r="AX9" s="80"/>
      <c r="AY9" s="80"/>
      <c r="AZ9" s="80"/>
      <c r="BA9" s="80"/>
      <c r="BB9" s="80"/>
      <c r="BC9" s="80"/>
      <c r="BD9" s="80"/>
      <c r="BF9" s="89" t="s">
        <v>107</v>
      </c>
      <c r="BH9" s="71" t="s">
        <v>130</v>
      </c>
    </row>
    <row r="10" spans="1:60" s="66" customFormat="1" ht="62.4" hidden="1" x14ac:dyDescent="0.3">
      <c r="A10" s="66">
        <v>6</v>
      </c>
      <c r="B10" s="71" t="s">
        <v>144</v>
      </c>
      <c r="C10" s="70" t="s">
        <v>1188</v>
      </c>
      <c r="D10" s="72" t="s">
        <v>143</v>
      </c>
      <c r="E10" s="71">
        <v>32</v>
      </c>
      <c r="F10" s="72" t="s">
        <v>66</v>
      </c>
      <c r="G10" s="72" t="s">
        <v>231</v>
      </c>
      <c r="H10" s="71" t="s">
        <v>107</v>
      </c>
      <c r="I10" s="84"/>
      <c r="J10" s="84"/>
      <c r="K10" s="84"/>
      <c r="L10" s="84"/>
      <c r="M10" s="84"/>
      <c r="N10" s="84"/>
      <c r="O10" s="84"/>
      <c r="P10" s="84"/>
      <c r="Q10" s="84" t="s">
        <v>107</v>
      </c>
      <c r="R10" s="84"/>
      <c r="S10" s="84"/>
      <c r="T10" s="84"/>
      <c r="U10" s="84"/>
      <c r="V10" s="84"/>
      <c r="W10" s="84"/>
      <c r="X10" s="84"/>
      <c r="Y10" s="84"/>
      <c r="Z10" s="84"/>
      <c r="AA10" s="73"/>
      <c r="AB10" s="66" t="s">
        <v>48</v>
      </c>
      <c r="AC10" s="78" t="s">
        <v>89</v>
      </c>
      <c r="AD10" s="78"/>
      <c r="AE10" s="71">
        <v>10</v>
      </c>
      <c r="AF10" s="71"/>
      <c r="AG10" s="66" t="s">
        <v>1203</v>
      </c>
      <c r="AH10" s="66" t="s">
        <v>1204</v>
      </c>
      <c r="AI10" s="89" t="s">
        <v>107</v>
      </c>
      <c r="AJ10" s="89"/>
      <c r="AK10" s="89"/>
      <c r="AL10" s="89" t="s">
        <v>107</v>
      </c>
      <c r="AM10" s="89"/>
      <c r="AN10" s="89"/>
      <c r="AO10" s="89"/>
      <c r="AP10" s="89"/>
      <c r="AQ10" s="89"/>
      <c r="AR10" s="89" t="s">
        <v>107</v>
      </c>
      <c r="AS10" s="89"/>
      <c r="AT10" s="89"/>
      <c r="AU10" s="89"/>
      <c r="AV10" s="89"/>
      <c r="AW10" s="89"/>
      <c r="AX10" s="89"/>
      <c r="AY10" s="89"/>
      <c r="AZ10" s="89"/>
      <c r="BA10" s="89"/>
      <c r="BB10" s="89"/>
      <c r="BC10" s="89"/>
      <c r="BD10" s="89"/>
      <c r="BF10" s="89" t="s">
        <v>107</v>
      </c>
      <c r="BH10" s="79" t="s">
        <v>148</v>
      </c>
    </row>
    <row r="11" spans="1:60" s="66" customFormat="1" ht="78" hidden="1" x14ac:dyDescent="0.3">
      <c r="A11" s="66">
        <v>7</v>
      </c>
      <c r="B11" s="71" t="s">
        <v>158</v>
      </c>
      <c r="C11" s="70" t="s">
        <v>1190</v>
      </c>
      <c r="D11" s="72" t="s">
        <v>157</v>
      </c>
      <c r="E11" s="71">
        <v>31</v>
      </c>
      <c r="F11" s="72" t="s">
        <v>66</v>
      </c>
      <c r="G11" s="72" t="s">
        <v>159</v>
      </c>
      <c r="H11" s="71" t="s">
        <v>60</v>
      </c>
      <c r="I11" s="84"/>
      <c r="J11" s="84"/>
      <c r="K11" s="84"/>
      <c r="L11" s="84"/>
      <c r="M11" s="84"/>
      <c r="N11" s="84"/>
      <c r="O11" s="84"/>
      <c r="P11" s="84"/>
      <c r="Q11" s="84"/>
      <c r="R11" s="84"/>
      <c r="S11" s="84"/>
      <c r="T11" s="84"/>
      <c r="U11" s="84"/>
      <c r="V11" s="84"/>
      <c r="W11" s="84"/>
      <c r="X11" s="84"/>
      <c r="Y11" s="84"/>
      <c r="Z11" s="84"/>
      <c r="AA11" s="73"/>
      <c r="AB11" s="66" t="s">
        <v>166</v>
      </c>
      <c r="AC11" s="78" t="s">
        <v>89</v>
      </c>
      <c r="AD11" s="78">
        <v>1</v>
      </c>
      <c r="AE11" s="71">
        <v>1</v>
      </c>
      <c r="AF11" s="71"/>
      <c r="AG11" s="66" t="s">
        <v>1193</v>
      </c>
      <c r="AH11" s="66" t="s">
        <v>162</v>
      </c>
      <c r="AI11" s="89"/>
      <c r="AJ11" s="89"/>
      <c r="AK11" s="89"/>
      <c r="AL11" s="89"/>
      <c r="AM11" s="89"/>
      <c r="AN11" s="89"/>
      <c r="AO11" s="89"/>
      <c r="AP11" s="89"/>
      <c r="AQ11" s="89"/>
      <c r="AR11" s="89"/>
      <c r="AS11" s="89"/>
      <c r="AT11" s="89"/>
      <c r="AU11" s="89"/>
      <c r="AV11" s="89"/>
      <c r="AW11" s="89"/>
      <c r="AX11" s="89"/>
      <c r="AY11" s="89" t="s">
        <v>107</v>
      </c>
      <c r="AZ11" s="89"/>
      <c r="BA11" s="89"/>
      <c r="BB11" s="89"/>
      <c r="BC11" s="89"/>
      <c r="BD11" s="89"/>
      <c r="BE11" s="78"/>
      <c r="BF11" s="89" t="s">
        <v>107</v>
      </c>
      <c r="BG11" s="78"/>
      <c r="BH11" s="78" t="s">
        <v>164</v>
      </c>
    </row>
    <row r="12" spans="1:60" s="66" customFormat="1" ht="78" hidden="1" x14ac:dyDescent="0.3">
      <c r="A12" s="66">
        <v>8</v>
      </c>
      <c r="B12" s="71" t="s">
        <v>175</v>
      </c>
      <c r="C12" s="70" t="s">
        <v>1189</v>
      </c>
      <c r="D12" s="72" t="s">
        <v>174</v>
      </c>
      <c r="E12" s="71">
        <v>25</v>
      </c>
      <c r="F12" s="72" t="s">
        <v>66</v>
      </c>
      <c r="G12" s="72" t="s">
        <v>1242</v>
      </c>
      <c r="H12" s="71" t="s">
        <v>60</v>
      </c>
      <c r="I12" s="84"/>
      <c r="J12" s="84"/>
      <c r="K12" s="84"/>
      <c r="L12" s="84"/>
      <c r="M12" s="84"/>
      <c r="N12" s="84"/>
      <c r="O12" s="84"/>
      <c r="P12" s="84"/>
      <c r="Q12" s="84"/>
      <c r="R12" s="84"/>
      <c r="S12" s="84"/>
      <c r="T12" s="84"/>
      <c r="U12" s="84"/>
      <c r="V12" s="84"/>
      <c r="W12" s="84"/>
      <c r="X12" s="84"/>
      <c r="Y12" s="84"/>
      <c r="Z12" s="84"/>
      <c r="AA12" s="73"/>
      <c r="AB12" s="66" t="s">
        <v>48</v>
      </c>
      <c r="AC12" s="71" t="s">
        <v>89</v>
      </c>
      <c r="AD12" s="71"/>
      <c r="AE12" s="71">
        <v>1</v>
      </c>
      <c r="AF12" s="71"/>
      <c r="AG12" s="66" t="s">
        <v>1193</v>
      </c>
      <c r="AH12" s="66" t="s">
        <v>1194</v>
      </c>
      <c r="AI12" s="89"/>
      <c r="AJ12" s="89"/>
      <c r="AK12" s="89"/>
      <c r="AL12" s="89"/>
      <c r="AM12" s="89"/>
      <c r="AN12" s="89"/>
      <c r="AO12" s="89"/>
      <c r="AP12" s="89"/>
      <c r="AQ12" s="89"/>
      <c r="AR12" s="89"/>
      <c r="AS12" s="89"/>
      <c r="AT12" s="89" t="s">
        <v>107</v>
      </c>
      <c r="AU12" s="89"/>
      <c r="AV12" s="89"/>
      <c r="AW12" s="89"/>
      <c r="AX12" s="89"/>
      <c r="AY12" s="89"/>
      <c r="AZ12" s="89"/>
      <c r="BA12" s="89"/>
      <c r="BB12" s="89"/>
      <c r="BC12" s="89"/>
      <c r="BD12" s="89"/>
      <c r="BF12" s="89" t="s">
        <v>107</v>
      </c>
      <c r="BH12" s="71" t="s">
        <v>179</v>
      </c>
    </row>
    <row r="13" spans="1:60" s="66" customFormat="1" ht="62.4" hidden="1" x14ac:dyDescent="0.3">
      <c r="A13" s="66">
        <v>9</v>
      </c>
      <c r="B13" s="71" t="s">
        <v>186</v>
      </c>
      <c r="C13" s="70" t="s">
        <v>1189</v>
      </c>
      <c r="D13" s="72" t="s">
        <v>174</v>
      </c>
      <c r="E13" s="71">
        <v>31</v>
      </c>
      <c r="F13" s="72" t="s">
        <v>66</v>
      </c>
      <c r="G13" s="72" t="s">
        <v>462</v>
      </c>
      <c r="H13" s="71" t="s">
        <v>60</v>
      </c>
      <c r="I13" s="84"/>
      <c r="J13" s="84"/>
      <c r="K13" s="84"/>
      <c r="L13" s="84"/>
      <c r="M13" s="84"/>
      <c r="N13" s="84"/>
      <c r="O13" s="84"/>
      <c r="P13" s="84"/>
      <c r="Q13" s="84"/>
      <c r="R13" s="84"/>
      <c r="S13" s="84"/>
      <c r="T13" s="84"/>
      <c r="U13" s="84"/>
      <c r="V13" s="84"/>
      <c r="W13" s="84"/>
      <c r="X13" s="84"/>
      <c r="Y13" s="84"/>
      <c r="Z13" s="84"/>
      <c r="AA13" s="73"/>
      <c r="AB13" s="66" t="s">
        <v>48</v>
      </c>
      <c r="AC13" s="71" t="s">
        <v>39</v>
      </c>
      <c r="AD13" s="71"/>
      <c r="AE13" s="71">
        <v>19</v>
      </c>
      <c r="AF13" s="71"/>
      <c r="AG13" s="66" t="s">
        <v>1203</v>
      </c>
      <c r="AH13" s="66" t="s">
        <v>1204</v>
      </c>
      <c r="AI13" s="89"/>
      <c r="AJ13" s="89"/>
      <c r="AK13" s="89"/>
      <c r="AL13" s="89" t="s">
        <v>107</v>
      </c>
      <c r="AM13" s="89"/>
      <c r="AN13" s="89"/>
      <c r="AO13" s="89"/>
      <c r="AP13" s="89"/>
      <c r="AQ13" s="89"/>
      <c r="AR13" s="89" t="s">
        <v>107</v>
      </c>
      <c r="AS13" s="89"/>
      <c r="AT13" s="89"/>
      <c r="AU13" s="89"/>
      <c r="AV13" s="89" t="s">
        <v>107</v>
      </c>
      <c r="AW13" s="89"/>
      <c r="AX13" s="89"/>
      <c r="AY13" s="89"/>
      <c r="AZ13" s="89"/>
      <c r="BA13" s="89"/>
      <c r="BB13" s="89"/>
      <c r="BC13" s="89"/>
      <c r="BD13" s="89"/>
      <c r="BF13" s="89" t="s">
        <v>60</v>
      </c>
      <c r="BH13" s="71" t="s">
        <v>190</v>
      </c>
    </row>
    <row r="14" spans="1:60" s="66" customFormat="1" ht="62.4" hidden="1" x14ac:dyDescent="0.3">
      <c r="A14" s="66">
        <v>10</v>
      </c>
      <c r="B14" s="71" t="s">
        <v>200</v>
      </c>
      <c r="C14" s="70" t="s">
        <v>1189</v>
      </c>
      <c r="D14" s="72" t="s">
        <v>87</v>
      </c>
      <c r="E14" s="71">
        <v>31</v>
      </c>
      <c r="F14" s="72" t="s">
        <v>40</v>
      </c>
      <c r="G14" s="72" t="s">
        <v>40</v>
      </c>
      <c r="H14" s="71" t="s">
        <v>60</v>
      </c>
      <c r="I14" s="84"/>
      <c r="J14" s="84"/>
      <c r="K14" s="84"/>
      <c r="L14" s="84"/>
      <c r="M14" s="84"/>
      <c r="N14" s="84"/>
      <c r="O14" s="84"/>
      <c r="P14" s="84"/>
      <c r="Q14" s="84"/>
      <c r="R14" s="84"/>
      <c r="S14" s="84"/>
      <c r="T14" s="84"/>
      <c r="U14" s="84"/>
      <c r="V14" s="84"/>
      <c r="W14" s="84"/>
      <c r="X14" s="84"/>
      <c r="Y14" s="84"/>
      <c r="Z14" s="84"/>
      <c r="AA14" s="73"/>
      <c r="AB14" s="66" t="s">
        <v>48</v>
      </c>
      <c r="AC14" s="71" t="s">
        <v>39</v>
      </c>
      <c r="AD14" s="71"/>
      <c r="AE14" s="71">
        <v>1</v>
      </c>
      <c r="AF14" s="71"/>
      <c r="AG14" s="66" t="s">
        <v>1192</v>
      </c>
      <c r="AH14" s="66" t="s">
        <v>1204</v>
      </c>
      <c r="AI14" s="89"/>
      <c r="AJ14" s="89"/>
      <c r="AK14" s="89"/>
      <c r="AL14" s="89"/>
      <c r="AM14" s="89"/>
      <c r="AN14" s="89"/>
      <c r="AO14" s="89"/>
      <c r="AP14" s="89"/>
      <c r="AQ14" s="89"/>
      <c r="AR14" s="89"/>
      <c r="AS14" s="89"/>
      <c r="AT14" s="89"/>
      <c r="AU14" s="89" t="s">
        <v>107</v>
      </c>
      <c r="AV14" s="89"/>
      <c r="AW14" s="89"/>
      <c r="AX14" s="89"/>
      <c r="AY14" s="89"/>
      <c r="AZ14" s="89"/>
      <c r="BA14" s="89"/>
      <c r="BB14" s="89"/>
      <c r="BC14" s="89"/>
      <c r="BD14" s="89"/>
      <c r="BF14" s="89" t="s">
        <v>107</v>
      </c>
      <c r="BH14" s="71" t="s">
        <v>206</v>
      </c>
    </row>
    <row r="15" spans="1:60" s="66" customFormat="1" ht="91.8" hidden="1" x14ac:dyDescent="0.3">
      <c r="A15" s="66">
        <v>11</v>
      </c>
      <c r="B15" s="71" t="s">
        <v>217</v>
      </c>
      <c r="C15" s="70" t="s">
        <v>1188</v>
      </c>
      <c r="D15" s="72" t="s">
        <v>216</v>
      </c>
      <c r="E15" s="71">
        <v>31</v>
      </c>
      <c r="F15" s="72" t="s">
        <v>66</v>
      </c>
      <c r="G15" s="72" t="s">
        <v>218</v>
      </c>
      <c r="H15" s="80" t="s">
        <v>60</v>
      </c>
      <c r="I15" s="85"/>
      <c r="J15" s="85"/>
      <c r="K15" s="85"/>
      <c r="L15" s="85"/>
      <c r="M15" s="85"/>
      <c r="N15" s="85"/>
      <c r="O15" s="85"/>
      <c r="P15" s="85"/>
      <c r="Q15" s="85"/>
      <c r="R15" s="85"/>
      <c r="S15" s="85"/>
      <c r="T15" s="85"/>
      <c r="U15" s="85"/>
      <c r="V15" s="85"/>
      <c r="W15" s="85"/>
      <c r="X15" s="85"/>
      <c r="Y15" s="85"/>
      <c r="Z15" s="85"/>
      <c r="AA15" s="74"/>
      <c r="AB15" s="66" t="s">
        <v>48</v>
      </c>
      <c r="AC15" s="71" t="s">
        <v>89</v>
      </c>
      <c r="AD15" s="71">
        <v>2</v>
      </c>
      <c r="AE15" s="71">
        <v>19</v>
      </c>
      <c r="AF15" s="71"/>
      <c r="AG15" s="66" t="s">
        <v>1203</v>
      </c>
      <c r="AH15" s="66" t="s">
        <v>1204</v>
      </c>
      <c r="AI15" s="89"/>
      <c r="AJ15" s="89" t="s">
        <v>107</v>
      </c>
      <c r="AK15" s="89"/>
      <c r="AL15" s="89"/>
      <c r="AM15" s="89"/>
      <c r="AN15" s="89" t="s">
        <v>107</v>
      </c>
      <c r="AO15" s="89"/>
      <c r="AP15" s="89"/>
      <c r="AQ15" s="89"/>
      <c r="AR15" s="89"/>
      <c r="AS15" s="89"/>
      <c r="AT15" s="89"/>
      <c r="AU15" s="89"/>
      <c r="AV15" s="89"/>
      <c r="AW15" s="89"/>
      <c r="AX15" s="89"/>
      <c r="AY15" s="89"/>
      <c r="AZ15" s="89"/>
      <c r="BA15" s="89"/>
      <c r="BB15" s="89"/>
      <c r="BC15" s="89"/>
      <c r="BD15" s="89"/>
      <c r="BF15" s="89" t="s">
        <v>60</v>
      </c>
      <c r="BH15" s="71" t="s">
        <v>221</v>
      </c>
    </row>
    <row r="16" spans="1:60" s="66" customFormat="1" ht="78" hidden="1" x14ac:dyDescent="0.3">
      <c r="A16" s="66">
        <v>12</v>
      </c>
      <c r="B16" s="71" t="s">
        <v>230</v>
      </c>
      <c r="C16" s="70" t="s">
        <v>1188</v>
      </c>
      <c r="D16" s="72" t="s">
        <v>143</v>
      </c>
      <c r="E16" s="71">
        <v>26</v>
      </c>
      <c r="F16" s="72" t="s">
        <v>66</v>
      </c>
      <c r="G16" s="72" t="s">
        <v>231</v>
      </c>
      <c r="H16" s="80" t="s">
        <v>60</v>
      </c>
      <c r="I16" s="85"/>
      <c r="J16" s="85"/>
      <c r="K16" s="85"/>
      <c r="L16" s="85"/>
      <c r="M16" s="85"/>
      <c r="N16" s="85"/>
      <c r="O16" s="85"/>
      <c r="P16" s="85"/>
      <c r="Q16" s="85"/>
      <c r="R16" s="85"/>
      <c r="S16" s="85"/>
      <c r="T16" s="85"/>
      <c r="U16" s="85"/>
      <c r="V16" s="85"/>
      <c r="W16" s="85"/>
      <c r="X16" s="85"/>
      <c r="Y16" s="85"/>
      <c r="Z16" s="85"/>
      <c r="AA16" s="74"/>
      <c r="AB16" s="66" t="s">
        <v>74</v>
      </c>
      <c r="AC16" s="71" t="s">
        <v>89</v>
      </c>
      <c r="AD16" s="71"/>
      <c r="AE16" s="71">
        <v>9</v>
      </c>
      <c r="AF16" s="71"/>
      <c r="AG16" s="66" t="s">
        <v>1203</v>
      </c>
      <c r="AH16" s="66" t="s">
        <v>1204</v>
      </c>
      <c r="AI16" s="89"/>
      <c r="AJ16" s="89" t="s">
        <v>107</v>
      </c>
      <c r="AK16" s="89"/>
      <c r="AL16" s="89"/>
      <c r="AM16" s="89"/>
      <c r="AN16" s="89"/>
      <c r="AO16" s="89"/>
      <c r="AP16" s="89"/>
      <c r="AQ16" s="89"/>
      <c r="AR16" s="89"/>
      <c r="AS16" s="89" t="s">
        <v>107</v>
      </c>
      <c r="AT16" s="89"/>
      <c r="AU16" s="89"/>
      <c r="AV16" s="89" t="s">
        <v>107</v>
      </c>
      <c r="AW16" s="89"/>
      <c r="AX16" s="89"/>
      <c r="AY16" s="89"/>
      <c r="AZ16" s="89"/>
      <c r="BA16" s="89"/>
      <c r="BB16" s="89"/>
      <c r="BC16" s="89"/>
      <c r="BD16" s="89"/>
      <c r="BF16" s="89" t="s">
        <v>60</v>
      </c>
      <c r="BH16" s="71" t="s">
        <v>235</v>
      </c>
    </row>
    <row r="17" spans="1:60" s="66" customFormat="1" ht="78" hidden="1" x14ac:dyDescent="0.3">
      <c r="A17" s="66">
        <v>13</v>
      </c>
      <c r="B17" s="71" t="s">
        <v>230</v>
      </c>
      <c r="C17" s="70" t="s">
        <v>1188</v>
      </c>
      <c r="D17" s="72" t="s">
        <v>143</v>
      </c>
      <c r="E17" s="71">
        <v>26</v>
      </c>
      <c r="F17" s="72" t="s">
        <v>66</v>
      </c>
      <c r="G17" s="72" t="s">
        <v>231</v>
      </c>
      <c r="H17" s="80" t="s">
        <v>60</v>
      </c>
      <c r="I17" s="85"/>
      <c r="J17" s="85"/>
      <c r="K17" s="85"/>
      <c r="L17" s="85"/>
      <c r="M17" s="85"/>
      <c r="N17" s="85"/>
      <c r="O17" s="85"/>
      <c r="P17" s="85"/>
      <c r="Q17" s="85"/>
      <c r="R17" s="85"/>
      <c r="S17" s="85"/>
      <c r="T17" s="85"/>
      <c r="U17" s="85"/>
      <c r="V17" s="85"/>
      <c r="W17" s="85"/>
      <c r="X17" s="85"/>
      <c r="Y17" s="85"/>
      <c r="Z17" s="85"/>
      <c r="AA17" s="74"/>
      <c r="AB17" s="66" t="s">
        <v>74</v>
      </c>
      <c r="AC17" s="71" t="s">
        <v>89</v>
      </c>
      <c r="AD17" s="71"/>
      <c r="AE17" s="71">
        <v>3</v>
      </c>
      <c r="AF17" s="71"/>
      <c r="AG17" s="66" t="s">
        <v>1203</v>
      </c>
      <c r="AH17" s="66" t="s">
        <v>1204</v>
      </c>
      <c r="AI17" s="89"/>
      <c r="AJ17" s="89" t="s">
        <v>107</v>
      </c>
      <c r="AK17" s="89"/>
      <c r="AL17" s="89"/>
      <c r="AM17" s="89"/>
      <c r="AN17" s="89"/>
      <c r="AO17" s="89"/>
      <c r="AP17" s="89"/>
      <c r="AQ17" s="89"/>
      <c r="AR17" s="89"/>
      <c r="AS17" s="89" t="s">
        <v>107</v>
      </c>
      <c r="AT17" s="89"/>
      <c r="AU17" s="89"/>
      <c r="AV17" s="89"/>
      <c r="AW17" s="89"/>
      <c r="AX17" s="89"/>
      <c r="AY17" s="89"/>
      <c r="AZ17" s="89"/>
      <c r="BA17" s="89"/>
      <c r="BB17" s="89"/>
      <c r="BC17" s="89"/>
      <c r="BD17" s="89"/>
      <c r="BF17" s="89" t="s">
        <v>60</v>
      </c>
      <c r="BH17" s="71" t="s">
        <v>246</v>
      </c>
    </row>
    <row r="18" spans="1:60" s="66" customFormat="1" ht="62.4" hidden="1" x14ac:dyDescent="0.3">
      <c r="A18" s="66">
        <v>14</v>
      </c>
      <c r="B18" s="71" t="s">
        <v>250</v>
      </c>
      <c r="C18" s="70" t="s">
        <v>1188</v>
      </c>
      <c r="D18" s="72" t="s">
        <v>249</v>
      </c>
      <c r="E18" s="71">
        <v>30</v>
      </c>
      <c r="F18" s="72" t="s">
        <v>66</v>
      </c>
      <c r="G18" s="72" t="s">
        <v>462</v>
      </c>
      <c r="H18" s="80" t="s">
        <v>60</v>
      </c>
      <c r="I18" s="85"/>
      <c r="J18" s="85"/>
      <c r="K18" s="85"/>
      <c r="L18" s="85"/>
      <c r="M18" s="85"/>
      <c r="N18" s="85"/>
      <c r="O18" s="85"/>
      <c r="P18" s="85"/>
      <c r="Q18" s="85"/>
      <c r="R18" s="85"/>
      <c r="S18" s="85"/>
      <c r="T18" s="85"/>
      <c r="U18" s="85"/>
      <c r="V18" s="85"/>
      <c r="W18" s="85"/>
      <c r="X18" s="85"/>
      <c r="Y18" s="85"/>
      <c r="Z18" s="85"/>
      <c r="AA18" s="74"/>
      <c r="AB18" s="66" t="s">
        <v>74</v>
      </c>
      <c r="AC18" s="71" t="s">
        <v>39</v>
      </c>
      <c r="AD18" s="71">
        <v>2</v>
      </c>
      <c r="AE18" s="71">
        <v>26</v>
      </c>
      <c r="AF18" s="71"/>
      <c r="AG18" s="66" t="s">
        <v>1193</v>
      </c>
      <c r="AH18" s="66" t="s">
        <v>1204</v>
      </c>
      <c r="AI18" s="89"/>
      <c r="AJ18" s="89"/>
      <c r="AK18" s="89"/>
      <c r="AL18" s="89"/>
      <c r="AM18" s="89"/>
      <c r="AN18" s="89" t="s">
        <v>107</v>
      </c>
      <c r="AO18" s="89"/>
      <c r="AP18" s="89"/>
      <c r="AQ18" s="89"/>
      <c r="AR18" s="89"/>
      <c r="AS18" s="89"/>
      <c r="AT18" s="89"/>
      <c r="AU18" s="89"/>
      <c r="AV18" s="89"/>
      <c r="AW18" s="89"/>
      <c r="AX18" s="89"/>
      <c r="AY18" s="89"/>
      <c r="AZ18" s="89"/>
      <c r="BA18" s="89"/>
      <c r="BB18" s="89"/>
      <c r="BC18" s="89"/>
      <c r="BD18" s="89"/>
      <c r="BF18" s="89" t="s">
        <v>60</v>
      </c>
      <c r="BH18" s="71" t="s">
        <v>255</v>
      </c>
    </row>
    <row r="19" spans="1:60" s="66" customFormat="1" ht="62.4" hidden="1" x14ac:dyDescent="0.3">
      <c r="A19" s="66">
        <v>15</v>
      </c>
      <c r="B19" s="71" t="s">
        <v>265</v>
      </c>
      <c r="C19" s="70" t="s">
        <v>1188</v>
      </c>
      <c r="D19" s="72" t="s">
        <v>264</v>
      </c>
      <c r="E19" s="71">
        <v>29</v>
      </c>
      <c r="F19" s="72" t="s">
        <v>66</v>
      </c>
      <c r="G19" s="72" t="s">
        <v>231</v>
      </c>
      <c r="H19" s="80" t="s">
        <v>60</v>
      </c>
      <c r="I19" s="85"/>
      <c r="J19" s="85"/>
      <c r="K19" s="85"/>
      <c r="L19" s="85"/>
      <c r="M19" s="85"/>
      <c r="N19" s="85"/>
      <c r="O19" s="85"/>
      <c r="P19" s="85"/>
      <c r="Q19" s="85"/>
      <c r="R19" s="85"/>
      <c r="S19" s="85"/>
      <c r="T19" s="85"/>
      <c r="U19" s="85"/>
      <c r="V19" s="85"/>
      <c r="W19" s="85"/>
      <c r="X19" s="85"/>
      <c r="Y19" s="85"/>
      <c r="Z19" s="85"/>
      <c r="AA19" s="74"/>
      <c r="AB19" s="66" t="s">
        <v>74</v>
      </c>
      <c r="AC19" s="71" t="s">
        <v>39</v>
      </c>
      <c r="AD19" s="71">
        <v>3</v>
      </c>
      <c r="AE19" s="71">
        <v>11</v>
      </c>
      <c r="AF19" s="71"/>
      <c r="AG19" s="66" t="s">
        <v>1192</v>
      </c>
      <c r="AH19" s="66" t="s">
        <v>162</v>
      </c>
      <c r="AI19" s="89"/>
      <c r="AJ19" s="89"/>
      <c r="AK19" s="89"/>
      <c r="AL19" s="89"/>
      <c r="AM19" s="89"/>
      <c r="AN19" s="89"/>
      <c r="AO19" s="89"/>
      <c r="AP19" s="89"/>
      <c r="AQ19" s="89"/>
      <c r="AR19" s="89"/>
      <c r="AS19" s="89"/>
      <c r="AT19" s="89"/>
      <c r="AU19" s="89"/>
      <c r="AV19" s="89"/>
      <c r="AW19" s="89" t="s">
        <v>107</v>
      </c>
      <c r="AX19" s="89"/>
      <c r="AY19" s="89"/>
      <c r="AZ19" s="89"/>
      <c r="BA19" s="89"/>
      <c r="BB19" s="89"/>
      <c r="BC19" s="89"/>
      <c r="BD19" s="89" t="s">
        <v>107</v>
      </c>
      <c r="BE19" s="66" t="s">
        <v>1226</v>
      </c>
      <c r="BF19" s="89" t="s">
        <v>60</v>
      </c>
      <c r="BH19" s="71" t="s">
        <v>270</v>
      </c>
    </row>
    <row r="20" spans="1:60" s="66" customFormat="1" ht="78" hidden="1" x14ac:dyDescent="0.3">
      <c r="A20" s="66">
        <v>16</v>
      </c>
      <c r="B20" s="71" t="s">
        <v>281</v>
      </c>
      <c r="C20" s="70" t="s">
        <v>1188</v>
      </c>
      <c r="D20" s="72" t="s">
        <v>280</v>
      </c>
      <c r="E20" s="71">
        <v>27</v>
      </c>
      <c r="F20" s="72" t="s">
        <v>40</v>
      </c>
      <c r="G20" s="72" t="s">
        <v>40</v>
      </c>
      <c r="H20" s="80" t="s">
        <v>60</v>
      </c>
      <c r="I20" s="85"/>
      <c r="J20" s="85"/>
      <c r="K20" s="85"/>
      <c r="L20" s="85"/>
      <c r="M20" s="85"/>
      <c r="N20" s="85"/>
      <c r="O20" s="85"/>
      <c r="P20" s="85"/>
      <c r="Q20" s="85"/>
      <c r="R20" s="85"/>
      <c r="S20" s="85"/>
      <c r="T20" s="85"/>
      <c r="U20" s="85"/>
      <c r="V20" s="85"/>
      <c r="W20" s="85"/>
      <c r="X20" s="85"/>
      <c r="Y20" s="85"/>
      <c r="Z20" s="85"/>
      <c r="AA20" s="74"/>
      <c r="AB20" s="66" t="s">
        <v>74</v>
      </c>
      <c r="AC20" s="71" t="s">
        <v>89</v>
      </c>
      <c r="AD20" s="71"/>
      <c r="AE20" s="71">
        <v>3</v>
      </c>
      <c r="AF20" s="71"/>
      <c r="AG20" s="66" t="s">
        <v>1193</v>
      </c>
      <c r="AH20" s="66" t="s">
        <v>1204</v>
      </c>
      <c r="AI20" s="89" t="s">
        <v>107</v>
      </c>
      <c r="AJ20" s="89" t="s">
        <v>107</v>
      </c>
      <c r="AK20" s="89"/>
      <c r="AL20" s="89"/>
      <c r="AM20" s="89"/>
      <c r="AN20" s="89"/>
      <c r="AO20" s="89"/>
      <c r="AP20" s="89"/>
      <c r="AQ20" s="89"/>
      <c r="AR20" s="89"/>
      <c r="AS20" s="89"/>
      <c r="AT20" s="89"/>
      <c r="AU20" s="89"/>
      <c r="AV20" s="89"/>
      <c r="AW20" s="89"/>
      <c r="AX20" s="89" t="s">
        <v>107</v>
      </c>
      <c r="AY20" s="89"/>
      <c r="AZ20" s="89"/>
      <c r="BA20" s="89"/>
      <c r="BB20" s="89"/>
      <c r="BC20" s="89"/>
      <c r="BD20" s="89"/>
      <c r="BF20" s="89" t="s">
        <v>60</v>
      </c>
      <c r="BH20" s="71" t="s">
        <v>287</v>
      </c>
    </row>
    <row r="21" spans="1:60" s="66" customFormat="1" ht="171.6" hidden="1" x14ac:dyDescent="0.3">
      <c r="A21" s="66">
        <v>17</v>
      </c>
      <c r="B21" s="71" t="s">
        <v>298</v>
      </c>
      <c r="C21" s="70" t="s">
        <v>1190</v>
      </c>
      <c r="D21" s="72" t="s">
        <v>297</v>
      </c>
      <c r="E21" s="71">
        <v>25</v>
      </c>
      <c r="F21" s="72" t="s">
        <v>66</v>
      </c>
      <c r="G21" s="72" t="s">
        <v>299</v>
      </c>
      <c r="H21" s="80" t="s">
        <v>60</v>
      </c>
      <c r="I21" s="85"/>
      <c r="J21" s="85"/>
      <c r="K21" s="85"/>
      <c r="L21" s="85"/>
      <c r="M21" s="85"/>
      <c r="N21" s="85"/>
      <c r="O21" s="85"/>
      <c r="P21" s="85"/>
      <c r="Q21" s="85"/>
      <c r="R21" s="85"/>
      <c r="S21" s="85"/>
      <c r="T21" s="85"/>
      <c r="U21" s="85"/>
      <c r="V21" s="85"/>
      <c r="W21" s="85"/>
      <c r="X21" s="85"/>
      <c r="Y21" s="85"/>
      <c r="Z21" s="85"/>
      <c r="AA21" s="74"/>
      <c r="AB21" s="66" t="s">
        <v>48</v>
      </c>
      <c r="AC21" s="71" t="s">
        <v>39</v>
      </c>
      <c r="AD21" s="71"/>
      <c r="AE21" s="71"/>
      <c r="AF21" s="71">
        <v>4</v>
      </c>
      <c r="AG21" s="66" t="s">
        <v>1203</v>
      </c>
      <c r="AH21" s="66" t="s">
        <v>1204</v>
      </c>
      <c r="AI21" s="89"/>
      <c r="AJ21" s="89"/>
      <c r="AK21" s="89"/>
      <c r="AL21" s="89"/>
      <c r="AM21" s="89"/>
      <c r="AN21" s="89"/>
      <c r="AO21" s="89"/>
      <c r="AP21" s="89"/>
      <c r="AQ21" s="89"/>
      <c r="AR21" s="89"/>
      <c r="AS21" s="89"/>
      <c r="AT21" s="89"/>
      <c r="AU21" s="89"/>
      <c r="AV21" s="89"/>
      <c r="AW21" s="89"/>
      <c r="AX21" s="89"/>
      <c r="AY21" s="89"/>
      <c r="AZ21" s="89"/>
      <c r="BA21" s="89"/>
      <c r="BB21" s="89"/>
      <c r="BC21" s="89"/>
      <c r="BD21" s="89" t="s">
        <v>107</v>
      </c>
      <c r="BE21" s="71" t="s">
        <v>303</v>
      </c>
      <c r="BF21" s="89" t="s">
        <v>60</v>
      </c>
      <c r="BG21" s="71"/>
      <c r="BH21" s="71" t="s">
        <v>303</v>
      </c>
    </row>
    <row r="22" spans="1:60" s="66" customFormat="1" ht="78" hidden="1" x14ac:dyDescent="0.3">
      <c r="A22" s="66">
        <v>18</v>
      </c>
      <c r="B22" s="71" t="s">
        <v>312</v>
      </c>
      <c r="C22" s="70" t="s">
        <v>1189</v>
      </c>
      <c r="D22" s="72" t="s">
        <v>86</v>
      </c>
      <c r="E22" s="71">
        <v>37</v>
      </c>
      <c r="F22" s="72" t="s">
        <v>40</v>
      </c>
      <c r="G22" s="72" t="s">
        <v>40</v>
      </c>
      <c r="H22" s="80" t="s">
        <v>60</v>
      </c>
      <c r="I22" s="85"/>
      <c r="J22" s="85"/>
      <c r="K22" s="85"/>
      <c r="L22" s="85"/>
      <c r="M22" s="85"/>
      <c r="N22" s="85"/>
      <c r="O22" s="85"/>
      <c r="P22" s="85"/>
      <c r="Q22" s="85"/>
      <c r="R22" s="85"/>
      <c r="S22" s="85"/>
      <c r="T22" s="85"/>
      <c r="U22" s="85"/>
      <c r="V22" s="85"/>
      <c r="W22" s="85"/>
      <c r="X22" s="85"/>
      <c r="Y22" s="85"/>
      <c r="Z22" s="85"/>
      <c r="AA22" s="74"/>
      <c r="AB22" s="66" t="s">
        <v>48</v>
      </c>
      <c r="AC22" s="71" t="s">
        <v>89</v>
      </c>
      <c r="AD22" s="71"/>
      <c r="AE22" s="71">
        <v>4</v>
      </c>
      <c r="AF22" s="71"/>
      <c r="AG22" s="66" t="s">
        <v>1193</v>
      </c>
      <c r="AH22" s="66" t="s">
        <v>1193</v>
      </c>
      <c r="AI22" s="89" t="s">
        <v>107</v>
      </c>
      <c r="AJ22" s="89" t="s">
        <v>107</v>
      </c>
      <c r="AK22" s="89"/>
      <c r="AL22" s="89"/>
      <c r="AM22" s="89"/>
      <c r="AN22" s="89"/>
      <c r="AO22" s="89"/>
      <c r="AP22" s="89"/>
      <c r="AQ22" s="89"/>
      <c r="AR22" s="89"/>
      <c r="AS22" s="89"/>
      <c r="AT22" s="89"/>
      <c r="AU22" s="89"/>
      <c r="AV22" s="89"/>
      <c r="AW22" s="89"/>
      <c r="AX22" s="89"/>
      <c r="AY22" s="89"/>
      <c r="AZ22" s="89"/>
      <c r="BA22" s="89"/>
      <c r="BB22" s="89"/>
      <c r="BC22" s="89"/>
      <c r="BD22" s="89"/>
      <c r="BF22" s="89" t="s">
        <v>60</v>
      </c>
      <c r="BH22" s="71" t="s">
        <v>317</v>
      </c>
    </row>
    <row r="23" spans="1:60" s="66" customFormat="1" ht="93.6" hidden="1" x14ac:dyDescent="0.3">
      <c r="A23" s="66">
        <v>19</v>
      </c>
      <c r="B23" s="71" t="s">
        <v>326</v>
      </c>
      <c r="C23" s="70" t="s">
        <v>1189</v>
      </c>
      <c r="D23" s="72" t="s">
        <v>325</v>
      </c>
      <c r="E23" s="71">
        <v>40</v>
      </c>
      <c r="F23" s="72" t="s">
        <v>66</v>
      </c>
      <c r="G23" s="72" t="s">
        <v>327</v>
      </c>
      <c r="H23" s="80" t="s">
        <v>60</v>
      </c>
      <c r="I23" s="85"/>
      <c r="J23" s="85"/>
      <c r="K23" s="85"/>
      <c r="L23" s="85"/>
      <c r="M23" s="85"/>
      <c r="N23" s="85"/>
      <c r="O23" s="85"/>
      <c r="P23" s="85"/>
      <c r="Q23" s="85"/>
      <c r="R23" s="85"/>
      <c r="S23" s="85"/>
      <c r="T23" s="85"/>
      <c r="U23" s="85"/>
      <c r="V23" s="85"/>
      <c r="W23" s="85"/>
      <c r="X23" s="85"/>
      <c r="Y23" s="85"/>
      <c r="Z23" s="85"/>
      <c r="AA23" s="74"/>
      <c r="AB23" s="66" t="s">
        <v>48</v>
      </c>
      <c r="AC23" s="71" t="s">
        <v>39</v>
      </c>
      <c r="AD23" s="71">
        <v>3</v>
      </c>
      <c r="AE23" s="71">
        <v>15</v>
      </c>
      <c r="AF23" s="71"/>
      <c r="AG23" s="66" t="s">
        <v>1203</v>
      </c>
      <c r="AH23" s="66" t="s">
        <v>1204</v>
      </c>
      <c r="AI23" s="89"/>
      <c r="AJ23" s="89"/>
      <c r="AK23" s="89"/>
      <c r="AL23" s="89"/>
      <c r="AM23" s="89"/>
      <c r="AN23" s="89"/>
      <c r="AO23" s="89"/>
      <c r="AP23" s="89"/>
      <c r="AQ23" s="89"/>
      <c r="AR23" s="89"/>
      <c r="AS23" s="89"/>
      <c r="AT23" s="89"/>
      <c r="AU23" s="89"/>
      <c r="AV23" s="89"/>
      <c r="AW23" s="89"/>
      <c r="AX23" s="89"/>
      <c r="AY23" s="89"/>
      <c r="AZ23" s="89"/>
      <c r="BA23" s="89"/>
      <c r="BB23" s="89"/>
      <c r="BC23" s="89"/>
      <c r="BD23" s="89" t="s">
        <v>107</v>
      </c>
      <c r="BE23" s="71" t="s">
        <v>331</v>
      </c>
      <c r="BF23" s="89" t="s">
        <v>60</v>
      </c>
      <c r="BG23" s="71"/>
      <c r="BH23" s="71" t="s">
        <v>331</v>
      </c>
    </row>
    <row r="24" spans="1:60" s="66" customFormat="1" ht="78" hidden="1" x14ac:dyDescent="0.3">
      <c r="A24" s="66">
        <v>20</v>
      </c>
      <c r="B24" s="71" t="s">
        <v>341</v>
      </c>
      <c r="C24" s="70" t="s">
        <v>1189</v>
      </c>
      <c r="D24" s="72" t="s">
        <v>340</v>
      </c>
      <c r="E24" s="71">
        <v>36</v>
      </c>
      <c r="F24" s="72" t="s">
        <v>66</v>
      </c>
      <c r="G24" s="72" t="s">
        <v>1239</v>
      </c>
      <c r="H24" s="80" t="s">
        <v>60</v>
      </c>
      <c r="I24" s="85"/>
      <c r="J24" s="85"/>
      <c r="K24" s="85"/>
      <c r="L24" s="85"/>
      <c r="M24" s="85"/>
      <c r="N24" s="85"/>
      <c r="O24" s="85"/>
      <c r="P24" s="85"/>
      <c r="Q24" s="85"/>
      <c r="R24" s="85"/>
      <c r="S24" s="85"/>
      <c r="T24" s="85"/>
      <c r="U24" s="85"/>
      <c r="V24" s="85"/>
      <c r="W24" s="85"/>
      <c r="X24" s="85"/>
      <c r="Y24" s="85"/>
      <c r="Z24" s="85"/>
      <c r="AA24" s="74"/>
      <c r="AB24" s="66" t="s">
        <v>74</v>
      </c>
      <c r="AC24" s="71" t="s">
        <v>39</v>
      </c>
      <c r="AD24" s="71">
        <v>1</v>
      </c>
      <c r="AE24" s="71">
        <v>26</v>
      </c>
      <c r="AF24" s="71"/>
      <c r="AG24" s="66" t="s">
        <v>1193</v>
      </c>
      <c r="AH24" s="66" t="s">
        <v>162</v>
      </c>
      <c r="AI24" s="89"/>
      <c r="AJ24" s="89"/>
      <c r="AK24" s="89"/>
      <c r="AL24" s="89"/>
      <c r="AM24" s="89"/>
      <c r="AN24" s="89"/>
      <c r="AO24" s="89"/>
      <c r="AP24" s="89"/>
      <c r="AQ24" s="89"/>
      <c r="AR24" s="89"/>
      <c r="AS24" s="89"/>
      <c r="AT24" s="89"/>
      <c r="AU24" s="89"/>
      <c r="AV24" s="89"/>
      <c r="AW24" s="89"/>
      <c r="AX24" s="89"/>
      <c r="AY24" s="89"/>
      <c r="AZ24" s="89"/>
      <c r="BA24" s="89"/>
      <c r="BB24" s="89" t="s">
        <v>107</v>
      </c>
      <c r="BC24" s="89"/>
      <c r="BD24" s="89"/>
      <c r="BF24" s="89" t="s">
        <v>107</v>
      </c>
      <c r="BH24" s="71" t="s">
        <v>343</v>
      </c>
    </row>
    <row r="25" spans="1:60" s="66" customFormat="1" ht="109.2" hidden="1" x14ac:dyDescent="0.3">
      <c r="A25" s="66">
        <v>21</v>
      </c>
      <c r="B25" s="71" t="s">
        <v>357</v>
      </c>
      <c r="C25" s="70" t="s">
        <v>1188</v>
      </c>
      <c r="D25" s="72" t="s">
        <v>356</v>
      </c>
      <c r="E25" s="71">
        <v>24</v>
      </c>
      <c r="F25" s="72" t="s">
        <v>66</v>
      </c>
      <c r="G25" s="72" t="s">
        <v>218</v>
      </c>
      <c r="H25" s="80" t="s">
        <v>107</v>
      </c>
      <c r="I25" s="85"/>
      <c r="J25" s="85"/>
      <c r="K25" s="85"/>
      <c r="L25" s="85"/>
      <c r="M25" s="85"/>
      <c r="N25" s="85"/>
      <c r="O25" s="85"/>
      <c r="P25" s="85"/>
      <c r="Q25" s="85"/>
      <c r="R25" s="85" t="s">
        <v>107</v>
      </c>
      <c r="S25" s="85"/>
      <c r="T25" s="85"/>
      <c r="U25" s="85"/>
      <c r="V25" s="85"/>
      <c r="W25" s="85"/>
      <c r="X25" s="85"/>
      <c r="Y25" s="85"/>
      <c r="Z25" s="85"/>
      <c r="AA25" s="74"/>
      <c r="AB25" s="66" t="s">
        <v>365</v>
      </c>
      <c r="AC25" s="76" t="s">
        <v>39</v>
      </c>
      <c r="AD25" s="76">
        <v>2</v>
      </c>
      <c r="AE25" s="71">
        <v>17</v>
      </c>
      <c r="AF25" s="71"/>
      <c r="AG25" s="66" t="s">
        <v>1203</v>
      </c>
      <c r="AH25" s="66" t="s">
        <v>162</v>
      </c>
      <c r="AI25" s="89"/>
      <c r="AJ25" s="89"/>
      <c r="AK25" s="89"/>
      <c r="AL25" s="89"/>
      <c r="AM25" s="89"/>
      <c r="AN25" s="89"/>
      <c r="AO25" s="89"/>
      <c r="AP25" s="89"/>
      <c r="AQ25" s="89"/>
      <c r="AR25" s="89"/>
      <c r="AS25" s="89"/>
      <c r="AT25" s="89"/>
      <c r="AU25" s="89"/>
      <c r="AV25" s="89"/>
      <c r="AW25" s="89"/>
      <c r="AX25" s="89"/>
      <c r="AY25" s="89"/>
      <c r="AZ25" s="89"/>
      <c r="BA25" s="89"/>
      <c r="BB25" s="89"/>
      <c r="BC25" s="89"/>
      <c r="BD25" s="89" t="s">
        <v>107</v>
      </c>
      <c r="BE25" s="66" t="s">
        <v>1227</v>
      </c>
      <c r="BF25" s="89" t="s">
        <v>60</v>
      </c>
      <c r="BH25" s="71" t="s">
        <v>363</v>
      </c>
    </row>
    <row r="26" spans="1:60" s="66" customFormat="1" ht="82.2" x14ac:dyDescent="0.3">
      <c r="A26" s="66">
        <v>22</v>
      </c>
      <c r="B26" s="71" t="s">
        <v>372</v>
      </c>
      <c r="C26" s="70" t="s">
        <v>1188</v>
      </c>
      <c r="D26" s="72" t="s">
        <v>371</v>
      </c>
      <c r="E26" s="71">
        <v>34</v>
      </c>
      <c r="F26" s="72" t="s">
        <v>66</v>
      </c>
      <c r="G26" s="72" t="s">
        <v>218</v>
      </c>
      <c r="H26" s="80" t="s">
        <v>107</v>
      </c>
      <c r="I26" s="85"/>
      <c r="J26" s="85"/>
      <c r="K26" s="85"/>
      <c r="L26" s="85"/>
      <c r="M26" s="85"/>
      <c r="N26" s="85"/>
      <c r="O26" s="85"/>
      <c r="P26" s="85"/>
      <c r="Q26" s="85"/>
      <c r="R26" s="85" t="s">
        <v>107</v>
      </c>
      <c r="S26" s="85"/>
      <c r="T26" s="85"/>
      <c r="U26" s="85"/>
      <c r="V26" s="85"/>
      <c r="W26" s="85"/>
      <c r="X26" s="85"/>
      <c r="Y26" s="85"/>
      <c r="Z26" s="85"/>
      <c r="AA26" s="74"/>
      <c r="AB26" s="66" t="s">
        <v>365</v>
      </c>
      <c r="AC26" s="76" t="s">
        <v>89</v>
      </c>
      <c r="AD26" s="76">
        <v>4</v>
      </c>
      <c r="AE26" s="71">
        <v>5</v>
      </c>
      <c r="AF26" s="71"/>
      <c r="AG26" s="66" t="s">
        <v>1203</v>
      </c>
      <c r="AH26" s="66" t="s">
        <v>1204</v>
      </c>
      <c r="AI26" s="89" t="s">
        <v>107</v>
      </c>
      <c r="AJ26" s="89"/>
      <c r="AK26" s="89"/>
      <c r="AL26" s="89"/>
      <c r="AM26" s="89"/>
      <c r="AN26" s="89"/>
      <c r="AO26" s="89"/>
      <c r="AP26" s="89"/>
      <c r="AQ26" s="89"/>
      <c r="AR26" s="89"/>
      <c r="AS26" s="89" t="s">
        <v>107</v>
      </c>
      <c r="AT26" s="89"/>
      <c r="AU26" s="89"/>
      <c r="AV26" s="89"/>
      <c r="AW26" s="89"/>
      <c r="AX26" s="89"/>
      <c r="AY26" s="89"/>
      <c r="AZ26" s="89"/>
      <c r="BA26" s="89"/>
      <c r="BB26" s="89"/>
      <c r="BC26" s="89"/>
      <c r="BD26" s="89" t="s">
        <v>107</v>
      </c>
      <c r="BE26" s="66" t="s">
        <v>1228</v>
      </c>
      <c r="BF26" s="89" t="s">
        <v>60</v>
      </c>
      <c r="BH26" s="71" t="s">
        <v>377</v>
      </c>
    </row>
    <row r="27" spans="1:60" s="66" customFormat="1" ht="78" hidden="1" x14ac:dyDescent="0.3">
      <c r="A27" s="66">
        <v>23</v>
      </c>
      <c r="B27" s="71" t="s">
        <v>385</v>
      </c>
      <c r="C27" s="70" t="s">
        <v>1188</v>
      </c>
      <c r="D27" s="72" t="s">
        <v>280</v>
      </c>
      <c r="E27" s="71">
        <v>25</v>
      </c>
      <c r="F27" s="72" t="s">
        <v>66</v>
      </c>
      <c r="G27" s="72" t="s">
        <v>66</v>
      </c>
      <c r="H27" s="80" t="s">
        <v>107</v>
      </c>
      <c r="I27" s="85"/>
      <c r="J27" s="85"/>
      <c r="K27" s="85"/>
      <c r="L27" s="85"/>
      <c r="M27" s="85"/>
      <c r="N27" s="85"/>
      <c r="O27" s="85"/>
      <c r="P27" s="85"/>
      <c r="Q27" s="85"/>
      <c r="R27" s="85" t="s">
        <v>107</v>
      </c>
      <c r="S27" s="85"/>
      <c r="T27" s="85"/>
      <c r="U27" s="85"/>
      <c r="V27" s="85"/>
      <c r="W27" s="85"/>
      <c r="X27" s="85"/>
      <c r="Y27" s="85"/>
      <c r="Z27" s="85" t="s">
        <v>107</v>
      </c>
      <c r="AA27" s="74"/>
      <c r="AB27" s="66" t="s">
        <v>365</v>
      </c>
      <c r="AC27" s="76" t="s">
        <v>39</v>
      </c>
      <c r="AD27" s="76"/>
      <c r="AE27" s="71">
        <v>5</v>
      </c>
      <c r="AF27" s="71"/>
      <c r="AG27" s="66" t="s">
        <v>1193</v>
      </c>
      <c r="AH27" s="66" t="s">
        <v>1193</v>
      </c>
      <c r="AI27" s="89" t="s">
        <v>107</v>
      </c>
      <c r="AJ27" s="89" t="s">
        <v>107</v>
      </c>
      <c r="AK27" s="89"/>
      <c r="AL27" s="89"/>
      <c r="AM27" s="89"/>
      <c r="AN27" s="89"/>
      <c r="AO27" s="89"/>
      <c r="AP27" s="89"/>
      <c r="AQ27" s="89"/>
      <c r="AR27" s="89"/>
      <c r="AS27" s="89"/>
      <c r="AT27" s="89"/>
      <c r="AU27" s="89"/>
      <c r="AV27" s="89"/>
      <c r="AW27" s="89"/>
      <c r="AX27" s="89"/>
      <c r="AY27" s="89"/>
      <c r="AZ27" s="89"/>
      <c r="BA27" s="89"/>
      <c r="BB27" s="89"/>
      <c r="BC27" s="89"/>
      <c r="BD27" s="89"/>
      <c r="BF27" s="89" t="s">
        <v>60</v>
      </c>
      <c r="BH27" s="71" t="s">
        <v>389</v>
      </c>
    </row>
    <row r="28" spans="1:60" s="66" customFormat="1" ht="78" hidden="1" x14ac:dyDescent="0.3">
      <c r="A28" s="66">
        <v>24</v>
      </c>
      <c r="B28" s="71" t="s">
        <v>385</v>
      </c>
      <c r="C28" s="70" t="s">
        <v>1188</v>
      </c>
      <c r="D28" s="72" t="s">
        <v>280</v>
      </c>
      <c r="E28" s="71">
        <v>25</v>
      </c>
      <c r="F28" s="72" t="s">
        <v>66</v>
      </c>
      <c r="G28" s="72" t="s">
        <v>66</v>
      </c>
      <c r="H28" s="80" t="s">
        <v>107</v>
      </c>
      <c r="I28" s="85"/>
      <c r="J28" s="85"/>
      <c r="K28" s="85"/>
      <c r="L28" s="85"/>
      <c r="M28" s="85"/>
      <c r="N28" s="85"/>
      <c r="O28" s="85"/>
      <c r="P28" s="85"/>
      <c r="Q28" s="85"/>
      <c r="R28" s="85" t="s">
        <v>107</v>
      </c>
      <c r="S28" s="85"/>
      <c r="T28" s="85"/>
      <c r="U28" s="85"/>
      <c r="V28" s="85"/>
      <c r="W28" s="85"/>
      <c r="X28" s="85"/>
      <c r="Y28" s="85"/>
      <c r="Z28" s="85" t="s">
        <v>107</v>
      </c>
      <c r="AA28" s="74"/>
      <c r="AB28" s="66" t="s">
        <v>365</v>
      </c>
      <c r="AC28" s="76" t="s">
        <v>39</v>
      </c>
      <c r="AD28" s="76"/>
      <c r="AE28" s="71">
        <v>5</v>
      </c>
      <c r="AF28" s="71"/>
      <c r="AG28" s="66" t="s">
        <v>1193</v>
      </c>
      <c r="AH28" s="66" t="s">
        <v>1193</v>
      </c>
      <c r="AI28" s="89" t="s">
        <v>107</v>
      </c>
      <c r="AJ28" s="89" t="s">
        <v>107</v>
      </c>
      <c r="AK28" s="89"/>
      <c r="AL28" s="89"/>
      <c r="AM28" s="89"/>
      <c r="AN28" s="89"/>
      <c r="AO28" s="89"/>
      <c r="AP28" s="89"/>
      <c r="AQ28" s="89"/>
      <c r="AR28" s="89"/>
      <c r="AS28" s="89"/>
      <c r="AT28" s="89"/>
      <c r="AU28" s="89"/>
      <c r="AV28" s="89"/>
      <c r="AW28" s="89"/>
      <c r="AX28" s="89"/>
      <c r="AY28" s="89"/>
      <c r="AZ28" s="89"/>
      <c r="BA28" s="89"/>
      <c r="BB28" s="89"/>
      <c r="BC28" s="89"/>
      <c r="BD28" s="89"/>
      <c r="BF28" s="89" t="s">
        <v>60</v>
      </c>
      <c r="BH28" s="71" t="s">
        <v>389</v>
      </c>
    </row>
    <row r="29" spans="1:60" s="66" customFormat="1" ht="78" hidden="1" x14ac:dyDescent="0.3">
      <c r="A29" s="66">
        <v>25</v>
      </c>
      <c r="B29" s="71" t="s">
        <v>385</v>
      </c>
      <c r="C29" s="70" t="s">
        <v>1188</v>
      </c>
      <c r="D29" s="72" t="s">
        <v>280</v>
      </c>
      <c r="E29" s="71">
        <v>25</v>
      </c>
      <c r="F29" s="72" t="s">
        <v>66</v>
      </c>
      <c r="G29" s="72" t="s">
        <v>66</v>
      </c>
      <c r="H29" s="80" t="s">
        <v>107</v>
      </c>
      <c r="I29" s="85"/>
      <c r="J29" s="85"/>
      <c r="K29" s="85"/>
      <c r="L29" s="85"/>
      <c r="M29" s="85"/>
      <c r="N29" s="85"/>
      <c r="O29" s="85"/>
      <c r="P29" s="85"/>
      <c r="Q29" s="85"/>
      <c r="R29" s="85" t="s">
        <v>107</v>
      </c>
      <c r="S29" s="85"/>
      <c r="T29" s="85"/>
      <c r="U29" s="85"/>
      <c r="V29" s="85"/>
      <c r="W29" s="85"/>
      <c r="X29" s="85"/>
      <c r="Y29" s="85"/>
      <c r="Z29" s="85" t="s">
        <v>107</v>
      </c>
      <c r="AA29" s="74"/>
      <c r="AB29" s="66" t="s">
        <v>365</v>
      </c>
      <c r="AC29" s="76" t="s">
        <v>39</v>
      </c>
      <c r="AD29" s="76"/>
      <c r="AE29" s="71">
        <v>5</v>
      </c>
      <c r="AF29" s="71"/>
      <c r="AG29" s="66" t="s">
        <v>1193</v>
      </c>
      <c r="AH29" s="66" t="s">
        <v>1193</v>
      </c>
      <c r="AI29" s="89" t="s">
        <v>107</v>
      </c>
      <c r="AJ29" s="89" t="s">
        <v>107</v>
      </c>
      <c r="AK29" s="89"/>
      <c r="AL29" s="89"/>
      <c r="AM29" s="89"/>
      <c r="AN29" s="89"/>
      <c r="AO29" s="89"/>
      <c r="AP29" s="89"/>
      <c r="AQ29" s="89"/>
      <c r="AR29" s="89"/>
      <c r="AS29" s="89"/>
      <c r="AT29" s="89"/>
      <c r="AU29" s="89"/>
      <c r="AV29" s="89"/>
      <c r="AW29" s="89"/>
      <c r="AX29" s="89"/>
      <c r="AY29" s="89"/>
      <c r="AZ29" s="89"/>
      <c r="BA29" s="89"/>
      <c r="BB29" s="89"/>
      <c r="BC29" s="89"/>
      <c r="BD29" s="89"/>
      <c r="BF29" s="89" t="s">
        <v>60</v>
      </c>
      <c r="BH29" s="71" t="s">
        <v>389</v>
      </c>
    </row>
    <row r="30" spans="1:60" s="66" customFormat="1" ht="62.4" hidden="1" x14ac:dyDescent="0.3">
      <c r="A30" s="66">
        <v>26</v>
      </c>
      <c r="B30" s="71" t="s">
        <v>401</v>
      </c>
      <c r="C30" s="70" t="s">
        <v>1190</v>
      </c>
      <c r="D30" s="72" t="s">
        <v>400</v>
      </c>
      <c r="E30" s="71">
        <v>38</v>
      </c>
      <c r="F30" s="72" t="s">
        <v>66</v>
      </c>
      <c r="G30" s="72" t="s">
        <v>1247</v>
      </c>
      <c r="H30" s="80" t="s">
        <v>107</v>
      </c>
      <c r="I30" s="85"/>
      <c r="J30" s="85" t="s">
        <v>107</v>
      </c>
      <c r="K30" s="85"/>
      <c r="L30" s="85"/>
      <c r="M30" s="85"/>
      <c r="N30" s="85"/>
      <c r="O30" s="85"/>
      <c r="P30" s="85"/>
      <c r="Q30" s="85"/>
      <c r="R30" s="85"/>
      <c r="S30" s="85"/>
      <c r="T30" s="85"/>
      <c r="U30" s="85"/>
      <c r="V30" s="85"/>
      <c r="W30" s="85"/>
      <c r="X30" s="85"/>
      <c r="Y30" s="85"/>
      <c r="Z30" s="85"/>
      <c r="AA30" s="74"/>
      <c r="AB30" s="66" t="s">
        <v>365</v>
      </c>
      <c r="AC30" s="76" t="s">
        <v>39</v>
      </c>
      <c r="AD30" s="76"/>
      <c r="AE30" s="71">
        <v>11</v>
      </c>
      <c r="AF30" s="71"/>
      <c r="AG30" s="66" t="s">
        <v>1193</v>
      </c>
      <c r="AH30" s="66" t="s">
        <v>1193</v>
      </c>
      <c r="AI30" s="89"/>
      <c r="AJ30" s="89"/>
      <c r="AK30" s="89"/>
      <c r="AL30" s="89"/>
      <c r="AM30" s="89"/>
      <c r="AN30" s="89"/>
      <c r="AO30" s="89"/>
      <c r="AP30" s="89"/>
      <c r="AQ30" s="89"/>
      <c r="AR30" s="89" t="s">
        <v>107</v>
      </c>
      <c r="AS30" s="89"/>
      <c r="AT30" s="89"/>
      <c r="AU30" s="89"/>
      <c r="AV30" s="89"/>
      <c r="AW30" s="89"/>
      <c r="AX30" s="89"/>
      <c r="AY30" s="89"/>
      <c r="AZ30" s="89"/>
      <c r="BA30" s="89"/>
      <c r="BB30" s="89"/>
      <c r="BC30" s="89"/>
      <c r="BD30" s="89"/>
      <c r="BF30" s="89" t="s">
        <v>107</v>
      </c>
      <c r="BH30" s="71" t="s">
        <v>406</v>
      </c>
    </row>
    <row r="31" spans="1:60" s="66" customFormat="1" ht="58.8" hidden="1" x14ac:dyDescent="0.3">
      <c r="A31" s="66">
        <v>27</v>
      </c>
      <c r="B31" s="71" t="s">
        <v>417</v>
      </c>
      <c r="C31" s="70" t="s">
        <v>1190</v>
      </c>
      <c r="D31" s="72" t="s">
        <v>400</v>
      </c>
      <c r="E31" s="71">
        <v>35</v>
      </c>
      <c r="F31" s="72" t="s">
        <v>66</v>
      </c>
      <c r="G31" s="72" t="s">
        <v>419</v>
      </c>
      <c r="H31" s="80" t="s">
        <v>107</v>
      </c>
      <c r="I31" s="85"/>
      <c r="J31" s="85" t="s">
        <v>107</v>
      </c>
      <c r="K31" s="85"/>
      <c r="L31" s="85"/>
      <c r="M31" s="85"/>
      <c r="N31" s="85"/>
      <c r="O31" s="85"/>
      <c r="P31" s="85"/>
      <c r="Q31" s="85"/>
      <c r="R31" s="85"/>
      <c r="S31" s="85"/>
      <c r="T31" s="85"/>
      <c r="U31" s="85"/>
      <c r="V31" s="85"/>
      <c r="W31" s="85"/>
      <c r="X31" s="85"/>
      <c r="Y31" s="85"/>
      <c r="Z31" s="85"/>
      <c r="AA31" s="74"/>
      <c r="AB31" s="66" t="s">
        <v>426</v>
      </c>
      <c r="AC31" s="76" t="s">
        <v>39</v>
      </c>
      <c r="AD31" s="76">
        <v>3</v>
      </c>
      <c r="AE31" s="71">
        <v>13</v>
      </c>
      <c r="AF31" s="71"/>
      <c r="AG31" s="66" t="s">
        <v>1193</v>
      </c>
      <c r="AH31" s="66" t="s">
        <v>162</v>
      </c>
      <c r="AI31" s="89"/>
      <c r="AJ31" s="89"/>
      <c r="AK31" s="89"/>
      <c r="AL31" s="89"/>
      <c r="AM31" s="89"/>
      <c r="AN31" s="89"/>
      <c r="AO31" s="89"/>
      <c r="AP31" s="89"/>
      <c r="AQ31" s="89"/>
      <c r="AR31" s="89"/>
      <c r="AS31" s="89"/>
      <c r="AT31" s="89"/>
      <c r="AU31" s="89"/>
      <c r="AV31" s="89"/>
      <c r="AW31" s="89"/>
      <c r="AX31" s="89"/>
      <c r="AY31" s="89"/>
      <c r="AZ31" s="89"/>
      <c r="BA31" s="89"/>
      <c r="BB31" s="89" t="s">
        <v>107</v>
      </c>
      <c r="BC31" s="89"/>
      <c r="BD31" s="89"/>
      <c r="BF31" s="89" t="s">
        <v>107</v>
      </c>
      <c r="BH31" s="71" t="s">
        <v>424</v>
      </c>
    </row>
    <row r="32" spans="1:60" s="66" customFormat="1" ht="78" hidden="1" x14ac:dyDescent="0.3">
      <c r="A32" s="66">
        <v>28</v>
      </c>
      <c r="B32" s="71" t="s">
        <v>432</v>
      </c>
      <c r="C32" s="70" t="s">
        <v>1189</v>
      </c>
      <c r="D32" s="72" t="s">
        <v>63</v>
      </c>
      <c r="E32" s="71">
        <v>32</v>
      </c>
      <c r="F32" s="72" t="s">
        <v>66</v>
      </c>
      <c r="G32" s="72" t="s">
        <v>434</v>
      </c>
      <c r="H32" s="80" t="s">
        <v>60</v>
      </c>
      <c r="I32" s="85"/>
      <c r="J32" s="85"/>
      <c r="K32" s="85"/>
      <c r="L32" s="85"/>
      <c r="M32" s="85"/>
      <c r="N32" s="85"/>
      <c r="O32" s="85"/>
      <c r="P32" s="85"/>
      <c r="Q32" s="85"/>
      <c r="R32" s="85"/>
      <c r="S32" s="85"/>
      <c r="T32" s="85"/>
      <c r="U32" s="85"/>
      <c r="V32" s="85"/>
      <c r="W32" s="85"/>
      <c r="X32" s="85"/>
      <c r="Y32" s="85"/>
      <c r="Z32" s="85"/>
      <c r="AA32" s="74"/>
      <c r="AB32" s="66" t="s">
        <v>74</v>
      </c>
      <c r="AC32" s="76" t="s">
        <v>89</v>
      </c>
      <c r="AD32" s="76"/>
      <c r="AE32" s="71">
        <v>1</v>
      </c>
      <c r="AF32" s="71"/>
      <c r="AG32" s="66" t="s">
        <v>1192</v>
      </c>
      <c r="AH32" s="66" t="s">
        <v>1204</v>
      </c>
      <c r="AI32" s="89" t="s">
        <v>107</v>
      </c>
      <c r="AJ32" s="89" t="s">
        <v>107</v>
      </c>
      <c r="AK32" s="89"/>
      <c r="AL32" s="89"/>
      <c r="AM32" s="89"/>
      <c r="AN32" s="89"/>
      <c r="AO32" s="89"/>
      <c r="AP32" s="89"/>
      <c r="AQ32" s="89"/>
      <c r="AR32" s="89"/>
      <c r="AS32" s="89"/>
      <c r="AT32" s="89"/>
      <c r="AU32" s="89"/>
      <c r="AV32" s="89"/>
      <c r="AW32" s="89"/>
      <c r="AX32" s="89"/>
      <c r="AY32" s="89"/>
      <c r="AZ32" s="89"/>
      <c r="BA32" s="89"/>
      <c r="BB32" s="89"/>
      <c r="BC32" s="89"/>
      <c r="BD32" s="89"/>
      <c r="BF32" s="89" t="s">
        <v>60</v>
      </c>
      <c r="BH32" s="71" t="s">
        <v>439</v>
      </c>
    </row>
    <row r="33" spans="1:60" s="66" customFormat="1" ht="78" hidden="1" x14ac:dyDescent="0.3">
      <c r="A33" s="66">
        <v>29</v>
      </c>
      <c r="B33" s="71" t="s">
        <v>447</v>
      </c>
      <c r="C33" s="70" t="s">
        <v>1189</v>
      </c>
      <c r="D33" s="72" t="s">
        <v>446</v>
      </c>
      <c r="E33" s="71">
        <v>27</v>
      </c>
      <c r="F33" s="72" t="s">
        <v>66</v>
      </c>
      <c r="G33" s="72" t="s">
        <v>434</v>
      </c>
      <c r="H33" s="80" t="s">
        <v>60</v>
      </c>
      <c r="I33" s="85"/>
      <c r="J33" s="85"/>
      <c r="K33" s="85"/>
      <c r="L33" s="85"/>
      <c r="M33" s="85"/>
      <c r="N33" s="85"/>
      <c r="O33" s="85"/>
      <c r="P33" s="85"/>
      <c r="Q33" s="85"/>
      <c r="R33" s="85"/>
      <c r="S33" s="85"/>
      <c r="T33" s="85"/>
      <c r="U33" s="85"/>
      <c r="V33" s="85"/>
      <c r="W33" s="85"/>
      <c r="X33" s="85"/>
      <c r="Y33" s="85"/>
      <c r="Z33" s="85"/>
      <c r="AA33" s="74"/>
      <c r="AB33" s="66" t="s">
        <v>74</v>
      </c>
      <c r="AC33" s="76" t="s">
        <v>39</v>
      </c>
      <c r="AD33" s="76">
        <v>2</v>
      </c>
      <c r="AE33" s="71">
        <v>27</v>
      </c>
      <c r="AF33" s="71"/>
      <c r="AG33" s="66" t="s">
        <v>1193</v>
      </c>
      <c r="AH33" s="66" t="s">
        <v>162</v>
      </c>
      <c r="AI33" s="89"/>
      <c r="AJ33" s="89"/>
      <c r="AK33" s="89"/>
      <c r="AL33" s="89"/>
      <c r="AM33" s="89"/>
      <c r="AN33" s="89"/>
      <c r="AO33" s="89"/>
      <c r="AP33" s="89"/>
      <c r="AQ33" s="89"/>
      <c r="AR33" s="89" t="s">
        <v>107</v>
      </c>
      <c r="AS33" s="89"/>
      <c r="AT33" s="89"/>
      <c r="AU33" s="89"/>
      <c r="AV33" s="89"/>
      <c r="AW33" s="89"/>
      <c r="AX33" s="89"/>
      <c r="AY33" s="89"/>
      <c r="AZ33" s="89"/>
      <c r="BA33" s="89"/>
      <c r="BB33" s="89" t="s">
        <v>107</v>
      </c>
      <c r="BC33" s="89"/>
      <c r="BD33" s="89"/>
      <c r="BF33" s="89" t="s">
        <v>107</v>
      </c>
      <c r="BH33" s="71" t="s">
        <v>452</v>
      </c>
    </row>
    <row r="34" spans="1:60" s="66" customFormat="1" ht="78" hidden="1" x14ac:dyDescent="0.3">
      <c r="A34" s="66">
        <v>30</v>
      </c>
      <c r="B34" s="71" t="s">
        <v>461</v>
      </c>
      <c r="C34" s="70" t="s">
        <v>1189</v>
      </c>
      <c r="D34" s="72" t="s">
        <v>124</v>
      </c>
      <c r="E34" s="71">
        <v>34</v>
      </c>
      <c r="F34" s="72" t="s">
        <v>66</v>
      </c>
      <c r="G34" s="72" t="s">
        <v>462</v>
      </c>
      <c r="H34" s="80" t="s">
        <v>107</v>
      </c>
      <c r="I34" s="85"/>
      <c r="J34" s="85"/>
      <c r="K34" s="85"/>
      <c r="L34" s="85"/>
      <c r="M34" s="85"/>
      <c r="N34" s="85"/>
      <c r="O34" s="85" t="s">
        <v>107</v>
      </c>
      <c r="P34" s="85"/>
      <c r="Q34" s="85"/>
      <c r="R34" s="85"/>
      <c r="S34" s="85"/>
      <c r="T34" s="85"/>
      <c r="U34" s="85"/>
      <c r="V34" s="85"/>
      <c r="W34" s="85"/>
      <c r="X34" s="85"/>
      <c r="Y34" s="85"/>
      <c r="Z34" s="85"/>
      <c r="AA34" s="74"/>
      <c r="AB34" s="66" t="s">
        <v>74</v>
      </c>
      <c r="AC34" s="71" t="s">
        <v>39</v>
      </c>
      <c r="AD34" s="71"/>
      <c r="AE34" s="71">
        <v>6</v>
      </c>
      <c r="AF34" s="71"/>
      <c r="AG34" s="66" t="s">
        <v>1203</v>
      </c>
      <c r="AH34" s="66" t="s">
        <v>1204</v>
      </c>
      <c r="AI34" s="89"/>
      <c r="AJ34" s="89"/>
      <c r="AK34" s="89"/>
      <c r="AL34" s="89"/>
      <c r="AM34" s="89"/>
      <c r="AN34" s="89"/>
      <c r="AO34" s="89"/>
      <c r="AP34" s="89"/>
      <c r="AQ34" s="89"/>
      <c r="AR34" s="89"/>
      <c r="AS34" s="89"/>
      <c r="AT34" s="89"/>
      <c r="AU34" s="89"/>
      <c r="AV34" s="89"/>
      <c r="AW34" s="89"/>
      <c r="AX34" s="89"/>
      <c r="AY34" s="89"/>
      <c r="AZ34" s="89"/>
      <c r="BA34" s="89"/>
      <c r="BB34" s="89" t="s">
        <v>107</v>
      </c>
      <c r="BC34" s="89"/>
      <c r="BD34" s="89"/>
      <c r="BF34" s="89" t="s">
        <v>60</v>
      </c>
      <c r="BH34" s="71" t="s">
        <v>464</v>
      </c>
    </row>
    <row r="35" spans="1:60" s="66" customFormat="1" ht="46.8" hidden="1" x14ac:dyDescent="0.3">
      <c r="A35" s="66">
        <v>31</v>
      </c>
      <c r="B35" s="71" t="s">
        <v>475</v>
      </c>
      <c r="C35" s="70" t="s">
        <v>1190</v>
      </c>
      <c r="D35" s="72" t="s">
        <v>474</v>
      </c>
      <c r="E35" s="71">
        <v>22</v>
      </c>
      <c r="F35" s="72" t="s">
        <v>66</v>
      </c>
      <c r="G35" s="72" t="s">
        <v>462</v>
      </c>
      <c r="H35" s="80" t="s">
        <v>107</v>
      </c>
      <c r="I35" s="85"/>
      <c r="J35" s="85"/>
      <c r="K35" s="85"/>
      <c r="L35" s="85"/>
      <c r="M35" s="85"/>
      <c r="N35" s="85"/>
      <c r="O35" s="85"/>
      <c r="P35" s="85"/>
      <c r="Q35" s="85"/>
      <c r="R35" s="85" t="s">
        <v>107</v>
      </c>
      <c r="S35" s="85"/>
      <c r="T35" s="85"/>
      <c r="U35" s="85"/>
      <c r="V35" s="85"/>
      <c r="W35" s="85"/>
      <c r="X35" s="85"/>
      <c r="Y35" s="85"/>
      <c r="Z35" s="85"/>
      <c r="AA35" s="74"/>
      <c r="AB35" s="66" t="s">
        <v>365</v>
      </c>
      <c r="AC35" s="76" t="s">
        <v>89</v>
      </c>
      <c r="AD35" s="76">
        <v>1</v>
      </c>
      <c r="AE35" s="71">
        <v>29</v>
      </c>
      <c r="AF35" s="71"/>
      <c r="AG35" s="66" t="s">
        <v>1193</v>
      </c>
      <c r="AH35" s="66" t="s">
        <v>162</v>
      </c>
      <c r="AI35" s="89"/>
      <c r="AJ35" s="89"/>
      <c r="AK35" s="89"/>
      <c r="AL35" s="89"/>
      <c r="AM35" s="89"/>
      <c r="AN35" s="89"/>
      <c r="AO35" s="89"/>
      <c r="AP35" s="89"/>
      <c r="AQ35" s="89"/>
      <c r="AR35" s="89"/>
      <c r="AS35" s="89"/>
      <c r="AT35" s="89"/>
      <c r="AU35" s="89"/>
      <c r="AV35" s="89"/>
      <c r="AW35" s="89"/>
      <c r="AX35" s="89"/>
      <c r="AY35" s="89"/>
      <c r="AZ35" s="89"/>
      <c r="BA35" s="89"/>
      <c r="BB35" s="89" t="s">
        <v>107</v>
      </c>
      <c r="BC35" s="89"/>
      <c r="BD35" s="89"/>
      <c r="BF35" s="89" t="s">
        <v>107</v>
      </c>
      <c r="BH35" s="71" t="s">
        <v>480</v>
      </c>
    </row>
    <row r="36" spans="1:60" s="66" customFormat="1" ht="78" hidden="1" x14ac:dyDescent="0.3">
      <c r="A36" s="66">
        <v>32</v>
      </c>
      <c r="B36" s="71" t="s">
        <v>488</v>
      </c>
      <c r="C36" s="70" t="s">
        <v>1190</v>
      </c>
      <c r="D36" s="72" t="s">
        <v>474</v>
      </c>
      <c r="E36" s="71">
        <v>34</v>
      </c>
      <c r="F36" s="72" t="s">
        <v>66</v>
      </c>
      <c r="G36" s="72" t="s">
        <v>65</v>
      </c>
      <c r="H36" s="80" t="s">
        <v>107</v>
      </c>
      <c r="I36" s="85"/>
      <c r="J36" s="85"/>
      <c r="K36" s="85" t="s">
        <v>107</v>
      </c>
      <c r="L36" s="85"/>
      <c r="M36" s="85"/>
      <c r="N36" s="85"/>
      <c r="O36" s="85"/>
      <c r="P36" s="85"/>
      <c r="Q36" s="85"/>
      <c r="R36" s="85" t="s">
        <v>107</v>
      </c>
      <c r="S36" s="85"/>
      <c r="T36" s="85"/>
      <c r="U36" s="85"/>
      <c r="V36" s="85"/>
      <c r="W36" s="85"/>
      <c r="X36" s="85"/>
      <c r="Y36" s="85"/>
      <c r="Z36" s="85"/>
      <c r="AA36" s="74"/>
      <c r="AB36" s="66" t="s">
        <v>365</v>
      </c>
      <c r="AC36" s="76" t="s">
        <v>89</v>
      </c>
      <c r="AD36" s="76"/>
      <c r="AE36" s="71">
        <v>17</v>
      </c>
      <c r="AF36" s="71"/>
      <c r="AG36" s="66" t="s">
        <v>1203</v>
      </c>
      <c r="AH36" s="66" t="s">
        <v>1204</v>
      </c>
      <c r="AI36" s="89"/>
      <c r="AJ36" s="89"/>
      <c r="AK36" s="89"/>
      <c r="AL36" s="89"/>
      <c r="AM36" s="89"/>
      <c r="AN36" s="89"/>
      <c r="AO36" s="89"/>
      <c r="AP36" s="89"/>
      <c r="AQ36" s="89"/>
      <c r="AR36" s="89" t="s">
        <v>107</v>
      </c>
      <c r="AS36" s="89"/>
      <c r="AT36" s="89"/>
      <c r="AU36" s="89"/>
      <c r="AV36" s="89"/>
      <c r="AW36" s="89"/>
      <c r="AX36" s="89"/>
      <c r="AY36" s="89"/>
      <c r="AZ36" s="89"/>
      <c r="BA36" s="89"/>
      <c r="BB36" s="89"/>
      <c r="BC36" s="89"/>
      <c r="BD36" s="89"/>
      <c r="BF36" s="89" t="s">
        <v>60</v>
      </c>
      <c r="BH36" s="71" t="s">
        <v>494</v>
      </c>
    </row>
    <row r="37" spans="1:60" s="66" customFormat="1" ht="62.4" hidden="1" x14ac:dyDescent="0.3">
      <c r="A37" s="66">
        <v>33</v>
      </c>
      <c r="B37" s="71" t="s">
        <v>504</v>
      </c>
      <c r="C37" s="70" t="s">
        <v>1190</v>
      </c>
      <c r="D37" s="72" t="s">
        <v>157</v>
      </c>
      <c r="E37" s="71">
        <v>31</v>
      </c>
      <c r="F37" s="72" t="s">
        <v>66</v>
      </c>
      <c r="G37" s="72" t="s">
        <v>462</v>
      </c>
      <c r="H37" s="80" t="s">
        <v>60</v>
      </c>
      <c r="I37" s="85"/>
      <c r="J37" s="85"/>
      <c r="K37" s="85"/>
      <c r="L37" s="85"/>
      <c r="M37" s="85"/>
      <c r="N37" s="85"/>
      <c r="O37" s="85"/>
      <c r="P37" s="85"/>
      <c r="Q37" s="85"/>
      <c r="R37" s="85"/>
      <c r="S37" s="85"/>
      <c r="T37" s="85"/>
      <c r="U37" s="85"/>
      <c r="V37" s="85"/>
      <c r="W37" s="85"/>
      <c r="X37" s="85"/>
      <c r="Y37" s="85"/>
      <c r="Z37" s="85"/>
      <c r="AA37" s="74"/>
      <c r="AB37" s="66" t="s">
        <v>365</v>
      </c>
      <c r="AC37" s="76" t="s">
        <v>89</v>
      </c>
      <c r="AD37" s="76">
        <v>1</v>
      </c>
      <c r="AE37" s="71">
        <v>3</v>
      </c>
      <c r="AF37" s="71"/>
      <c r="AG37" s="66" t="s">
        <v>1193</v>
      </c>
      <c r="AH37" s="66" t="s">
        <v>162</v>
      </c>
      <c r="AI37" s="89" t="s">
        <v>107</v>
      </c>
      <c r="AJ37" s="89"/>
      <c r="AK37" s="89"/>
      <c r="AL37" s="89"/>
      <c r="AM37" s="89"/>
      <c r="AN37" s="89"/>
      <c r="AO37" s="89"/>
      <c r="AP37" s="89"/>
      <c r="AQ37" s="89"/>
      <c r="AR37" s="89"/>
      <c r="AS37" s="89" t="s">
        <v>107</v>
      </c>
      <c r="AT37" s="89"/>
      <c r="AU37" s="89"/>
      <c r="AV37" s="89"/>
      <c r="AW37" s="89"/>
      <c r="AX37" s="89"/>
      <c r="AY37" s="89"/>
      <c r="AZ37" s="89"/>
      <c r="BA37" s="89"/>
      <c r="BB37" s="89"/>
      <c r="BC37" s="89"/>
      <c r="BD37" s="89"/>
      <c r="BF37" s="89" t="s">
        <v>107</v>
      </c>
      <c r="BH37" s="71" t="s">
        <v>509</v>
      </c>
    </row>
    <row r="38" spans="1:60" s="66" customFormat="1" ht="46.8" hidden="1" x14ac:dyDescent="0.3">
      <c r="A38" s="66">
        <v>34</v>
      </c>
      <c r="B38" s="71" t="s">
        <v>514</v>
      </c>
      <c r="C38" s="70" t="s">
        <v>1190</v>
      </c>
      <c r="D38" s="72" t="s">
        <v>513</v>
      </c>
      <c r="E38" s="71">
        <v>17</v>
      </c>
      <c r="F38" s="72" t="s">
        <v>66</v>
      </c>
      <c r="G38" s="72" t="s">
        <v>462</v>
      </c>
      <c r="H38" s="80" t="s">
        <v>107</v>
      </c>
      <c r="I38" s="85"/>
      <c r="J38" s="85"/>
      <c r="K38" s="85"/>
      <c r="L38" s="85"/>
      <c r="M38" s="85"/>
      <c r="N38" s="85"/>
      <c r="O38" s="85"/>
      <c r="P38" s="85"/>
      <c r="Q38" s="85"/>
      <c r="R38" s="85"/>
      <c r="S38" s="85"/>
      <c r="T38" s="85"/>
      <c r="U38" s="85"/>
      <c r="V38" s="85"/>
      <c r="W38" s="85"/>
      <c r="X38" s="85"/>
      <c r="Y38" s="85"/>
      <c r="Z38" s="85" t="s">
        <v>107</v>
      </c>
      <c r="AA38" s="74"/>
      <c r="AB38" s="66" t="s">
        <v>365</v>
      </c>
      <c r="AC38" s="76" t="s">
        <v>89</v>
      </c>
      <c r="AD38" s="76"/>
      <c r="AE38" s="71">
        <v>6</v>
      </c>
      <c r="AF38" s="71"/>
      <c r="AG38" s="66" t="s">
        <v>1193</v>
      </c>
      <c r="AH38" s="66" t="s">
        <v>1193</v>
      </c>
      <c r="AI38" s="89"/>
      <c r="AJ38" s="89"/>
      <c r="AK38" s="89"/>
      <c r="AL38" s="89" t="s">
        <v>107</v>
      </c>
      <c r="AM38" s="89"/>
      <c r="AN38" s="89"/>
      <c r="AO38" s="89"/>
      <c r="AP38" s="89"/>
      <c r="AQ38" s="89"/>
      <c r="AR38" s="89"/>
      <c r="AS38" s="89"/>
      <c r="AT38" s="89"/>
      <c r="AU38" s="89"/>
      <c r="AV38" s="89"/>
      <c r="AW38" s="89"/>
      <c r="AX38" s="89"/>
      <c r="AY38" s="89"/>
      <c r="AZ38" s="89"/>
      <c r="BA38" s="89"/>
      <c r="BB38" s="89"/>
      <c r="BC38" s="89"/>
      <c r="BD38" s="89" t="s">
        <v>107</v>
      </c>
      <c r="BE38" s="66" t="s">
        <v>1244</v>
      </c>
      <c r="BF38" s="89" t="s">
        <v>60</v>
      </c>
      <c r="BH38" s="71" t="s">
        <v>519</v>
      </c>
    </row>
    <row r="39" spans="1:60" s="66" customFormat="1" ht="93.6" hidden="1" x14ac:dyDescent="0.3">
      <c r="A39" s="66">
        <v>35</v>
      </c>
      <c r="B39" s="71" t="s">
        <v>527</v>
      </c>
      <c r="C39" s="70" t="s">
        <v>1188</v>
      </c>
      <c r="D39" s="72" t="s">
        <v>526</v>
      </c>
      <c r="E39" s="71">
        <v>19</v>
      </c>
      <c r="F39" s="72" t="s">
        <v>40</v>
      </c>
      <c r="G39" s="72" t="s">
        <v>40</v>
      </c>
      <c r="H39" s="80" t="s">
        <v>60</v>
      </c>
      <c r="I39" s="85"/>
      <c r="J39" s="85"/>
      <c r="K39" s="85"/>
      <c r="L39" s="85"/>
      <c r="M39" s="85"/>
      <c r="N39" s="85"/>
      <c r="O39" s="85"/>
      <c r="P39" s="85"/>
      <c r="Q39" s="85"/>
      <c r="R39" s="85"/>
      <c r="S39" s="85"/>
      <c r="T39" s="85"/>
      <c r="U39" s="85"/>
      <c r="V39" s="85"/>
      <c r="W39" s="85"/>
      <c r="X39" s="85"/>
      <c r="Y39" s="85"/>
      <c r="Z39" s="85"/>
      <c r="AA39" s="74"/>
      <c r="AB39" s="66" t="s">
        <v>74</v>
      </c>
      <c r="AC39" s="76" t="s">
        <v>89</v>
      </c>
      <c r="AD39" s="76">
        <v>2</v>
      </c>
      <c r="AE39" s="71">
        <v>19</v>
      </c>
      <c r="AF39" s="71"/>
      <c r="AG39" s="66" t="s">
        <v>1203</v>
      </c>
      <c r="AH39" s="66" t="s">
        <v>162</v>
      </c>
      <c r="AI39" s="89"/>
      <c r="AJ39" s="89"/>
      <c r="AK39" s="89"/>
      <c r="AL39" s="89"/>
      <c r="AM39" s="89"/>
      <c r="AN39" s="89"/>
      <c r="AO39" s="89"/>
      <c r="AP39" s="89"/>
      <c r="AQ39" s="89"/>
      <c r="AR39" s="89"/>
      <c r="AS39" s="89"/>
      <c r="AT39" s="89"/>
      <c r="AU39" s="89"/>
      <c r="AV39" s="89"/>
      <c r="AW39" s="89"/>
      <c r="AX39" s="89"/>
      <c r="AY39" s="89"/>
      <c r="AZ39" s="89"/>
      <c r="BA39" s="89"/>
      <c r="BB39" s="89"/>
      <c r="BC39" s="89"/>
      <c r="BD39" s="89" t="s">
        <v>107</v>
      </c>
      <c r="BE39" s="71" t="s">
        <v>533</v>
      </c>
      <c r="BF39" s="89" t="s">
        <v>60</v>
      </c>
      <c r="BH39" s="71" t="s">
        <v>533</v>
      </c>
    </row>
    <row r="40" spans="1:60" s="66" customFormat="1" ht="78" hidden="1" x14ac:dyDescent="0.3">
      <c r="A40" s="66">
        <v>36</v>
      </c>
      <c r="B40" s="71" t="s">
        <v>539</v>
      </c>
      <c r="C40" s="70" t="s">
        <v>1188</v>
      </c>
      <c r="D40" s="72" t="s">
        <v>526</v>
      </c>
      <c r="E40" s="71">
        <v>41</v>
      </c>
      <c r="F40" s="72" t="s">
        <v>40</v>
      </c>
      <c r="G40" s="72" t="s">
        <v>40</v>
      </c>
      <c r="H40" s="80" t="s">
        <v>107</v>
      </c>
      <c r="I40" s="85" t="s">
        <v>107</v>
      </c>
      <c r="J40" s="85"/>
      <c r="K40" s="85"/>
      <c r="L40" s="85" t="s">
        <v>107</v>
      </c>
      <c r="M40" s="85"/>
      <c r="N40" s="85"/>
      <c r="O40" s="85" t="s">
        <v>107</v>
      </c>
      <c r="P40" s="85"/>
      <c r="Q40" s="85"/>
      <c r="R40" s="85"/>
      <c r="S40" s="85"/>
      <c r="T40" s="85"/>
      <c r="U40" s="85"/>
      <c r="V40" s="85"/>
      <c r="W40" s="85"/>
      <c r="X40" s="85"/>
      <c r="Y40" s="85"/>
      <c r="Z40" s="85"/>
      <c r="AA40" s="74"/>
      <c r="AB40" s="66" t="s">
        <v>74</v>
      </c>
      <c r="AC40" s="76" t="s">
        <v>89</v>
      </c>
      <c r="AD40" s="76"/>
      <c r="AE40" s="71">
        <v>7</v>
      </c>
      <c r="AF40" s="71"/>
      <c r="AG40" s="66" t="s">
        <v>1203</v>
      </c>
      <c r="AH40" s="66" t="s">
        <v>1204</v>
      </c>
      <c r="AI40" s="89"/>
      <c r="AJ40" s="89" t="s">
        <v>107</v>
      </c>
      <c r="AK40" s="89"/>
      <c r="AL40" s="89"/>
      <c r="AM40" s="89"/>
      <c r="AN40" s="89"/>
      <c r="AO40" s="89"/>
      <c r="AP40" s="89"/>
      <c r="AQ40" s="89"/>
      <c r="AR40" s="89"/>
      <c r="AS40" s="89" t="s">
        <v>107</v>
      </c>
      <c r="AT40" s="89"/>
      <c r="AU40" s="89"/>
      <c r="AV40" s="89"/>
      <c r="AW40" s="89"/>
      <c r="AX40" s="89"/>
      <c r="AY40" s="89"/>
      <c r="AZ40" s="89"/>
      <c r="BA40" s="89"/>
      <c r="BB40" s="89"/>
      <c r="BC40" s="89"/>
      <c r="BD40" s="89"/>
      <c r="BF40" s="89" t="s">
        <v>60</v>
      </c>
      <c r="BH40" s="71" t="s">
        <v>543</v>
      </c>
    </row>
    <row r="41" spans="1:60" s="66" customFormat="1" ht="140.4" hidden="1" x14ac:dyDescent="0.3">
      <c r="A41" s="66">
        <v>37</v>
      </c>
      <c r="B41" s="71" t="s">
        <v>552</v>
      </c>
      <c r="C41" s="70" t="s">
        <v>1188</v>
      </c>
      <c r="D41" s="72" t="s">
        <v>249</v>
      </c>
      <c r="E41" s="71">
        <v>25</v>
      </c>
      <c r="F41" s="72" t="s">
        <v>40</v>
      </c>
      <c r="G41" s="72" t="s">
        <v>40</v>
      </c>
      <c r="H41" s="80" t="s">
        <v>107</v>
      </c>
      <c r="I41" s="85"/>
      <c r="J41" s="85"/>
      <c r="K41" s="85"/>
      <c r="L41" s="85" t="s">
        <v>107</v>
      </c>
      <c r="M41" s="85"/>
      <c r="N41" s="85"/>
      <c r="O41" s="85"/>
      <c r="P41" s="85"/>
      <c r="Q41" s="85"/>
      <c r="R41" s="85"/>
      <c r="S41" s="85"/>
      <c r="T41" s="85"/>
      <c r="U41" s="85"/>
      <c r="V41" s="85"/>
      <c r="W41" s="85"/>
      <c r="X41" s="85"/>
      <c r="Y41" s="85"/>
      <c r="Z41" s="85"/>
      <c r="AA41" s="74"/>
      <c r="AB41" s="66" t="s">
        <v>74</v>
      </c>
      <c r="AC41" s="76" t="s">
        <v>89</v>
      </c>
      <c r="AD41" s="76">
        <v>1</v>
      </c>
      <c r="AE41" s="71">
        <v>6</v>
      </c>
      <c r="AF41" s="71"/>
      <c r="AG41" s="66" t="s">
        <v>1193</v>
      </c>
      <c r="AH41" s="66" t="s">
        <v>162</v>
      </c>
      <c r="AI41" s="89"/>
      <c r="AJ41" s="89"/>
      <c r="AK41" s="89"/>
      <c r="AL41" s="89"/>
      <c r="AM41" s="89"/>
      <c r="AN41" s="89"/>
      <c r="AO41" s="89"/>
      <c r="AP41" s="89"/>
      <c r="AQ41" s="89"/>
      <c r="AR41" s="89"/>
      <c r="AS41" s="89"/>
      <c r="AT41" s="89"/>
      <c r="AU41" s="89"/>
      <c r="AV41" s="89"/>
      <c r="AW41" s="89"/>
      <c r="AX41" s="89"/>
      <c r="AY41" s="89"/>
      <c r="AZ41" s="89"/>
      <c r="BA41" s="89"/>
      <c r="BB41" s="89"/>
      <c r="BC41" s="89"/>
      <c r="BD41" s="89" t="s">
        <v>107</v>
      </c>
      <c r="BE41" s="71" t="s">
        <v>558</v>
      </c>
      <c r="BF41" s="89" t="s">
        <v>60</v>
      </c>
      <c r="BG41" s="71"/>
      <c r="BH41" s="71" t="s">
        <v>558</v>
      </c>
    </row>
    <row r="42" spans="1:60" s="66" customFormat="1" ht="99.6" hidden="1" x14ac:dyDescent="0.3">
      <c r="A42" s="66">
        <v>38</v>
      </c>
      <c r="B42" s="71" t="s">
        <v>569</v>
      </c>
      <c r="C42" s="70" t="s">
        <v>1188</v>
      </c>
      <c r="D42" s="72" t="s">
        <v>568</v>
      </c>
      <c r="E42" s="71">
        <v>25</v>
      </c>
      <c r="F42" s="72" t="s">
        <v>66</v>
      </c>
      <c r="G42" s="72" t="s">
        <v>159</v>
      </c>
      <c r="H42" s="80" t="s">
        <v>107</v>
      </c>
      <c r="I42" s="85"/>
      <c r="J42" s="85"/>
      <c r="K42" s="85"/>
      <c r="L42" s="85" t="s">
        <v>107</v>
      </c>
      <c r="M42" s="85"/>
      <c r="N42" s="85"/>
      <c r="O42" s="85"/>
      <c r="P42" s="85"/>
      <c r="Q42" s="85"/>
      <c r="R42" s="85"/>
      <c r="S42" s="85"/>
      <c r="T42" s="85"/>
      <c r="U42" s="85"/>
      <c r="V42" s="85"/>
      <c r="W42" s="85"/>
      <c r="X42" s="85"/>
      <c r="Y42" s="85"/>
      <c r="Z42" s="85"/>
      <c r="AA42" s="74"/>
      <c r="AB42" s="66" t="s">
        <v>74</v>
      </c>
      <c r="AC42" s="76" t="s">
        <v>89</v>
      </c>
      <c r="AD42" s="76">
        <v>2</v>
      </c>
      <c r="AE42" s="71">
        <v>12</v>
      </c>
      <c r="AF42" s="71"/>
      <c r="AG42" s="66" t="s">
        <v>1193</v>
      </c>
      <c r="AH42" s="66" t="s">
        <v>1194</v>
      </c>
      <c r="AI42" s="89"/>
      <c r="AJ42" s="89"/>
      <c r="AK42" s="89"/>
      <c r="AL42" s="89"/>
      <c r="AM42" s="89"/>
      <c r="AN42" s="89"/>
      <c r="AO42" s="89"/>
      <c r="AP42" s="89"/>
      <c r="AQ42" s="89"/>
      <c r="AR42" s="89"/>
      <c r="AS42" s="89"/>
      <c r="AT42" s="89"/>
      <c r="AU42" s="89"/>
      <c r="AV42" s="89"/>
      <c r="AW42" s="89"/>
      <c r="AX42" s="89"/>
      <c r="AY42" s="89" t="s">
        <v>107</v>
      </c>
      <c r="AZ42" s="89"/>
      <c r="BA42" s="89"/>
      <c r="BB42" s="89"/>
      <c r="BC42" s="89"/>
      <c r="BD42" s="89"/>
      <c r="BF42" s="89" t="s">
        <v>107</v>
      </c>
      <c r="BH42" s="71" t="s">
        <v>164</v>
      </c>
    </row>
    <row r="43" spans="1:60" s="66" customFormat="1" ht="46.8" hidden="1" x14ac:dyDescent="0.3">
      <c r="A43" s="66">
        <v>39</v>
      </c>
      <c r="B43" s="71" t="s">
        <v>578</v>
      </c>
      <c r="C43" s="70" t="s">
        <v>1189</v>
      </c>
      <c r="D43" s="72" t="s">
        <v>577</v>
      </c>
      <c r="E43" s="71">
        <v>29</v>
      </c>
      <c r="F43" s="72" t="s">
        <v>66</v>
      </c>
      <c r="G43" s="72" t="s">
        <v>462</v>
      </c>
      <c r="H43" s="80" t="s">
        <v>60</v>
      </c>
      <c r="I43" s="85"/>
      <c r="J43" s="85"/>
      <c r="K43" s="85"/>
      <c r="L43" s="85"/>
      <c r="M43" s="85"/>
      <c r="N43" s="85"/>
      <c r="O43" s="85"/>
      <c r="P43" s="85"/>
      <c r="Q43" s="85"/>
      <c r="R43" s="85"/>
      <c r="S43" s="85"/>
      <c r="T43" s="85"/>
      <c r="U43" s="85"/>
      <c r="V43" s="85"/>
      <c r="W43" s="85"/>
      <c r="X43" s="85"/>
      <c r="Y43" s="85"/>
      <c r="Z43" s="85"/>
      <c r="AA43" s="74"/>
      <c r="AB43" s="66" t="s">
        <v>74</v>
      </c>
      <c r="AC43" s="76" t="s">
        <v>89</v>
      </c>
      <c r="AD43" s="76">
        <v>3</v>
      </c>
      <c r="AE43" s="71">
        <v>29</v>
      </c>
      <c r="AF43" s="71"/>
      <c r="AG43" s="66" t="s">
        <v>1192</v>
      </c>
      <c r="AH43" s="66" t="s">
        <v>162</v>
      </c>
      <c r="AI43" s="89"/>
      <c r="AJ43" s="89"/>
      <c r="AK43" s="89"/>
      <c r="AL43" s="89"/>
      <c r="AM43" s="89"/>
      <c r="AN43" s="89"/>
      <c r="AO43" s="89"/>
      <c r="AP43" s="89"/>
      <c r="AQ43" s="89"/>
      <c r="AR43" s="89"/>
      <c r="AS43" s="89"/>
      <c r="AT43" s="89"/>
      <c r="AU43" s="89"/>
      <c r="AV43" s="89"/>
      <c r="AW43" s="89"/>
      <c r="AX43" s="89"/>
      <c r="AY43" s="89"/>
      <c r="AZ43" s="89"/>
      <c r="BA43" s="89"/>
      <c r="BB43" s="89"/>
      <c r="BC43" s="89"/>
      <c r="BD43" s="89" t="s">
        <v>107</v>
      </c>
      <c r="BE43" s="71" t="s">
        <v>583</v>
      </c>
      <c r="BF43" s="89" t="s">
        <v>60</v>
      </c>
      <c r="BG43" s="71"/>
      <c r="BH43" s="71" t="s">
        <v>583</v>
      </c>
    </row>
    <row r="44" spans="1:60" s="66" customFormat="1" ht="78" hidden="1" x14ac:dyDescent="0.3">
      <c r="A44" s="66">
        <v>40</v>
      </c>
      <c r="B44" s="71" t="s">
        <v>592</v>
      </c>
      <c r="C44" s="70" t="s">
        <v>1189</v>
      </c>
      <c r="D44" s="72" t="s">
        <v>591</v>
      </c>
      <c r="E44" s="71">
        <v>28</v>
      </c>
      <c r="F44" s="72" t="s">
        <v>66</v>
      </c>
      <c r="G44" s="72" t="s">
        <v>594</v>
      </c>
      <c r="H44" s="80" t="s">
        <v>60</v>
      </c>
      <c r="I44" s="85"/>
      <c r="J44" s="85"/>
      <c r="K44" s="85"/>
      <c r="L44" s="85"/>
      <c r="M44" s="85"/>
      <c r="N44" s="85"/>
      <c r="O44" s="85"/>
      <c r="P44" s="85"/>
      <c r="Q44" s="85"/>
      <c r="R44" s="85"/>
      <c r="S44" s="85"/>
      <c r="T44" s="85"/>
      <c r="U44" s="85"/>
      <c r="V44" s="85"/>
      <c r="W44" s="85"/>
      <c r="X44" s="85"/>
      <c r="Y44" s="85"/>
      <c r="Z44" s="85"/>
      <c r="AA44" s="74"/>
      <c r="AB44" s="66" t="s">
        <v>74</v>
      </c>
      <c r="AC44" s="76" t="s">
        <v>89</v>
      </c>
      <c r="AD44" s="76"/>
      <c r="AE44" s="71">
        <v>3</v>
      </c>
      <c r="AF44" s="71"/>
      <c r="AG44" s="66" t="s">
        <v>1203</v>
      </c>
      <c r="AH44" s="66" t="s">
        <v>1204</v>
      </c>
      <c r="AI44" s="89" t="s">
        <v>107</v>
      </c>
      <c r="AJ44" s="89" t="s">
        <v>107</v>
      </c>
      <c r="AK44" s="89"/>
      <c r="AL44" s="89"/>
      <c r="AM44" s="89"/>
      <c r="AN44" s="89"/>
      <c r="AO44" s="89"/>
      <c r="AP44" s="89"/>
      <c r="AQ44" s="89"/>
      <c r="AR44" s="89"/>
      <c r="AS44" s="89" t="s">
        <v>107</v>
      </c>
      <c r="AT44" s="89"/>
      <c r="AU44" s="89"/>
      <c r="AV44" s="89"/>
      <c r="AW44" s="89"/>
      <c r="AX44" s="89"/>
      <c r="AY44" s="89"/>
      <c r="AZ44" s="89"/>
      <c r="BA44" s="89"/>
      <c r="BB44" s="89"/>
      <c r="BC44" s="89"/>
      <c r="BD44" s="89"/>
      <c r="BF44" s="89" t="s">
        <v>60</v>
      </c>
      <c r="BH44" s="71" t="s">
        <v>598</v>
      </c>
    </row>
    <row r="45" spans="1:60" s="66" customFormat="1" ht="93.6" hidden="1" x14ac:dyDescent="0.3">
      <c r="A45" s="66">
        <v>41</v>
      </c>
      <c r="B45" s="71" t="s">
        <v>608</v>
      </c>
      <c r="C45" s="70" t="s">
        <v>1189</v>
      </c>
      <c r="D45" s="72" t="s">
        <v>108</v>
      </c>
      <c r="E45" s="71">
        <v>21</v>
      </c>
      <c r="F45" s="72" t="s">
        <v>66</v>
      </c>
      <c r="G45" s="72" t="s">
        <v>218</v>
      </c>
      <c r="H45" s="80" t="s">
        <v>60</v>
      </c>
      <c r="I45" s="85"/>
      <c r="J45" s="85"/>
      <c r="K45" s="85"/>
      <c r="L45" s="85"/>
      <c r="M45" s="85"/>
      <c r="N45" s="85"/>
      <c r="O45" s="85"/>
      <c r="P45" s="85"/>
      <c r="Q45" s="85"/>
      <c r="R45" s="85"/>
      <c r="S45" s="85"/>
      <c r="T45" s="85"/>
      <c r="U45" s="85"/>
      <c r="V45" s="85"/>
      <c r="W45" s="85"/>
      <c r="X45" s="85"/>
      <c r="Y45" s="85"/>
      <c r="Z45" s="85"/>
      <c r="AA45" s="74"/>
      <c r="AB45" s="66" t="s">
        <v>48</v>
      </c>
      <c r="AC45" s="76" t="s">
        <v>89</v>
      </c>
      <c r="AD45" s="76"/>
      <c r="AE45" s="71">
        <v>25</v>
      </c>
      <c r="AF45" s="71"/>
      <c r="AG45" s="66" t="s">
        <v>1203</v>
      </c>
      <c r="AH45" s="66" t="s">
        <v>1204</v>
      </c>
      <c r="AI45" s="89"/>
      <c r="AJ45" s="89"/>
      <c r="AK45" s="89"/>
      <c r="AL45" s="89"/>
      <c r="AM45" s="89"/>
      <c r="AN45" s="89"/>
      <c r="AO45" s="89"/>
      <c r="AP45" s="89"/>
      <c r="AQ45" s="89"/>
      <c r="AR45" s="89"/>
      <c r="AS45" s="89"/>
      <c r="AT45" s="89"/>
      <c r="AU45" s="89"/>
      <c r="AV45" s="89"/>
      <c r="AW45" s="89"/>
      <c r="AX45" s="89"/>
      <c r="AY45" s="89"/>
      <c r="AZ45" s="89"/>
      <c r="BA45" s="89"/>
      <c r="BB45" s="89"/>
      <c r="BC45" s="89"/>
      <c r="BD45" s="89" t="s">
        <v>107</v>
      </c>
      <c r="BE45" s="71" t="s">
        <v>1229</v>
      </c>
      <c r="BF45" s="89" t="s">
        <v>60</v>
      </c>
      <c r="BG45" s="71"/>
      <c r="BH45" s="71" t="s">
        <v>612</v>
      </c>
    </row>
    <row r="46" spans="1:60" s="66" customFormat="1" ht="78" hidden="1" x14ac:dyDescent="0.3">
      <c r="A46" s="66">
        <v>42</v>
      </c>
      <c r="B46" s="71" t="s">
        <v>618</v>
      </c>
      <c r="C46" s="70" t="s">
        <v>1189</v>
      </c>
      <c r="D46" s="72" t="s">
        <v>86</v>
      </c>
      <c r="E46" s="71">
        <v>36</v>
      </c>
      <c r="F46" s="72" t="s">
        <v>40</v>
      </c>
      <c r="G46" s="72" t="s">
        <v>40</v>
      </c>
      <c r="H46" s="80" t="s">
        <v>60</v>
      </c>
      <c r="I46" s="85"/>
      <c r="J46" s="85"/>
      <c r="K46" s="85"/>
      <c r="L46" s="85"/>
      <c r="M46" s="85"/>
      <c r="N46" s="85"/>
      <c r="O46" s="85"/>
      <c r="P46" s="85"/>
      <c r="Q46" s="85"/>
      <c r="R46" s="85"/>
      <c r="S46" s="85"/>
      <c r="T46" s="85"/>
      <c r="U46" s="85"/>
      <c r="V46" s="85"/>
      <c r="W46" s="85"/>
      <c r="X46" s="85"/>
      <c r="Y46" s="85"/>
      <c r="Z46" s="85"/>
      <c r="AA46" s="74"/>
      <c r="AB46" s="66" t="s">
        <v>365</v>
      </c>
      <c r="AC46" s="76" t="s">
        <v>39</v>
      </c>
      <c r="AD46" s="76">
        <v>5</v>
      </c>
      <c r="AE46" s="71">
        <v>22</v>
      </c>
      <c r="AF46" s="71"/>
      <c r="AG46" s="66" t="s">
        <v>1192</v>
      </c>
      <c r="AH46" s="66" t="s">
        <v>162</v>
      </c>
      <c r="AI46" s="89"/>
      <c r="AJ46" s="89"/>
      <c r="AK46" s="89"/>
      <c r="AL46" s="89"/>
      <c r="AM46" s="89"/>
      <c r="AN46" s="89"/>
      <c r="AO46" s="89"/>
      <c r="AP46" s="89"/>
      <c r="AQ46" s="89"/>
      <c r="AR46" s="89"/>
      <c r="AS46" s="89"/>
      <c r="AT46" s="89"/>
      <c r="AU46" s="89"/>
      <c r="AV46" s="89"/>
      <c r="AW46" s="89"/>
      <c r="AX46" s="89"/>
      <c r="AY46" s="89"/>
      <c r="AZ46" s="89" t="s">
        <v>107</v>
      </c>
      <c r="BA46" s="89"/>
      <c r="BB46" s="89"/>
      <c r="BC46" s="89"/>
      <c r="BD46" s="89"/>
      <c r="BF46" s="89" t="s">
        <v>107</v>
      </c>
      <c r="BH46" s="71" t="s">
        <v>625</v>
      </c>
    </row>
    <row r="47" spans="1:60" s="66" customFormat="1" ht="78" hidden="1" x14ac:dyDescent="0.3">
      <c r="A47" s="66">
        <v>43</v>
      </c>
      <c r="B47" s="71" t="s">
        <v>635</v>
      </c>
      <c r="C47" s="70" t="s">
        <v>1189</v>
      </c>
      <c r="D47" s="72" t="s">
        <v>634</v>
      </c>
      <c r="E47" s="71">
        <v>34</v>
      </c>
      <c r="F47" s="72" t="s">
        <v>40</v>
      </c>
      <c r="G47" s="72" t="s">
        <v>40</v>
      </c>
      <c r="H47" s="80" t="s">
        <v>60</v>
      </c>
      <c r="I47" s="85"/>
      <c r="J47" s="85"/>
      <c r="K47" s="85"/>
      <c r="L47" s="85"/>
      <c r="M47" s="85"/>
      <c r="N47" s="85"/>
      <c r="O47" s="85"/>
      <c r="P47" s="85"/>
      <c r="Q47" s="85"/>
      <c r="R47" s="85"/>
      <c r="S47" s="85"/>
      <c r="T47" s="85"/>
      <c r="U47" s="85"/>
      <c r="V47" s="85"/>
      <c r="W47" s="85"/>
      <c r="X47" s="85"/>
      <c r="Y47" s="85"/>
      <c r="Z47" s="85"/>
      <c r="AA47" s="74"/>
      <c r="AB47" s="66" t="s">
        <v>74</v>
      </c>
      <c r="AC47" s="76" t="s">
        <v>89</v>
      </c>
      <c r="AD47" s="76">
        <v>2</v>
      </c>
      <c r="AE47" s="71">
        <v>5</v>
      </c>
      <c r="AF47" s="71"/>
      <c r="AG47" s="66" t="s">
        <v>1203</v>
      </c>
      <c r="AH47" s="66" t="s">
        <v>1193</v>
      </c>
      <c r="AI47" s="89"/>
      <c r="AJ47" s="89"/>
      <c r="AK47" s="89"/>
      <c r="AL47" s="89"/>
      <c r="AM47" s="89"/>
      <c r="AN47" s="89"/>
      <c r="AO47" s="89"/>
      <c r="AP47" s="89" t="s">
        <v>107</v>
      </c>
      <c r="AQ47" s="89"/>
      <c r="AR47" s="89"/>
      <c r="AS47" s="89"/>
      <c r="AT47" s="89"/>
      <c r="AU47" s="89"/>
      <c r="AV47" s="89"/>
      <c r="AW47" s="89"/>
      <c r="AX47" s="89"/>
      <c r="AY47" s="89"/>
      <c r="AZ47" s="89"/>
      <c r="BA47" s="89"/>
      <c r="BB47" s="89"/>
      <c r="BC47" s="89"/>
      <c r="BD47" s="89"/>
      <c r="BF47" s="89" t="s">
        <v>60</v>
      </c>
      <c r="BH47" s="71" t="s">
        <v>638</v>
      </c>
    </row>
    <row r="48" spans="1:60" s="66" customFormat="1" ht="78" hidden="1" x14ac:dyDescent="0.3">
      <c r="A48" s="66">
        <v>44</v>
      </c>
      <c r="B48" s="71" t="s">
        <v>644</v>
      </c>
      <c r="C48" s="70" t="s">
        <v>1190</v>
      </c>
      <c r="D48" s="72" t="s">
        <v>297</v>
      </c>
      <c r="E48" s="71">
        <v>30</v>
      </c>
      <c r="F48" s="72" t="s">
        <v>66</v>
      </c>
      <c r="G48" s="72" t="s">
        <v>159</v>
      </c>
      <c r="H48" s="80" t="s">
        <v>107</v>
      </c>
      <c r="I48" s="85"/>
      <c r="J48" s="85"/>
      <c r="K48" s="85"/>
      <c r="L48" s="85"/>
      <c r="M48" s="85"/>
      <c r="N48" s="85" t="s">
        <v>107</v>
      </c>
      <c r="O48" s="85"/>
      <c r="P48" s="85"/>
      <c r="Q48" s="85"/>
      <c r="R48" s="85"/>
      <c r="S48" s="85"/>
      <c r="T48" s="85"/>
      <c r="U48" s="85"/>
      <c r="V48" s="85"/>
      <c r="W48" s="85"/>
      <c r="X48" s="85"/>
      <c r="Y48" s="85"/>
      <c r="Z48" s="85"/>
      <c r="AA48" s="74"/>
      <c r="AB48" s="66" t="s">
        <v>74</v>
      </c>
      <c r="AC48" s="76" t="s">
        <v>39</v>
      </c>
      <c r="AD48" s="76">
        <v>4</v>
      </c>
      <c r="AE48" s="71">
        <v>4</v>
      </c>
      <c r="AF48" s="71"/>
      <c r="AG48" s="66" t="s">
        <v>1203</v>
      </c>
      <c r="AH48" s="66" t="s">
        <v>1204</v>
      </c>
      <c r="AI48" s="89"/>
      <c r="AJ48" s="89"/>
      <c r="AK48" s="89"/>
      <c r="AL48" s="89"/>
      <c r="AM48" s="89"/>
      <c r="AN48" s="89"/>
      <c r="AO48" s="89"/>
      <c r="AP48" s="89"/>
      <c r="AQ48" s="89"/>
      <c r="AR48" s="89"/>
      <c r="AS48" s="89" t="s">
        <v>107</v>
      </c>
      <c r="AT48" s="89"/>
      <c r="AU48" s="89"/>
      <c r="AV48" s="89"/>
      <c r="AW48" s="89"/>
      <c r="AX48" s="89"/>
      <c r="AY48" s="89"/>
      <c r="AZ48" s="89"/>
      <c r="BA48" s="89"/>
      <c r="BB48" s="89"/>
      <c r="BC48" s="89"/>
      <c r="BD48" s="89" t="s">
        <v>107</v>
      </c>
      <c r="BE48" s="66" t="s">
        <v>1230</v>
      </c>
      <c r="BF48" s="89" t="s">
        <v>107</v>
      </c>
      <c r="BH48" s="71" t="s">
        <v>648</v>
      </c>
    </row>
    <row r="49" spans="1:60" s="66" customFormat="1" ht="78" hidden="1" x14ac:dyDescent="0.3">
      <c r="A49" s="66">
        <v>45</v>
      </c>
      <c r="B49" s="71" t="s">
        <v>658</v>
      </c>
      <c r="C49" s="70" t="s">
        <v>1190</v>
      </c>
      <c r="D49" s="72" t="s">
        <v>657</v>
      </c>
      <c r="E49" s="71">
        <v>32</v>
      </c>
      <c r="F49" s="72" t="s">
        <v>66</v>
      </c>
      <c r="G49" s="72" t="s">
        <v>462</v>
      </c>
      <c r="H49" s="80" t="s">
        <v>107</v>
      </c>
      <c r="I49" s="85"/>
      <c r="J49" s="85"/>
      <c r="K49" s="85"/>
      <c r="L49" s="85"/>
      <c r="M49" s="85"/>
      <c r="N49" s="85" t="s">
        <v>107</v>
      </c>
      <c r="O49" s="85"/>
      <c r="P49" s="85"/>
      <c r="Q49" s="85"/>
      <c r="R49" s="85" t="s">
        <v>107</v>
      </c>
      <c r="S49" s="85"/>
      <c r="T49" s="85"/>
      <c r="U49" s="85"/>
      <c r="V49" s="85"/>
      <c r="W49" s="85"/>
      <c r="X49" s="85"/>
      <c r="Y49" s="85"/>
      <c r="Z49" s="85"/>
      <c r="AA49" s="74"/>
      <c r="AB49" s="66" t="s">
        <v>48</v>
      </c>
      <c r="AC49" s="76" t="s">
        <v>89</v>
      </c>
      <c r="AD49" s="76"/>
      <c r="AE49" s="71">
        <v>5</v>
      </c>
      <c r="AF49" s="71"/>
      <c r="AG49" s="66" t="s">
        <v>1193</v>
      </c>
      <c r="AH49" s="66" t="s">
        <v>1193</v>
      </c>
      <c r="AI49" s="89" t="s">
        <v>107</v>
      </c>
      <c r="AJ49" s="89"/>
      <c r="AK49" s="89"/>
      <c r="AL49" s="89" t="s">
        <v>107</v>
      </c>
      <c r="AM49" s="89"/>
      <c r="AN49" s="89"/>
      <c r="AO49" s="89"/>
      <c r="AP49" s="89"/>
      <c r="AQ49" s="89"/>
      <c r="AR49" s="89"/>
      <c r="AS49" s="89"/>
      <c r="AT49" s="89"/>
      <c r="AU49" s="89"/>
      <c r="AV49" s="89"/>
      <c r="AW49" s="89"/>
      <c r="AX49" s="89"/>
      <c r="AY49" s="89"/>
      <c r="AZ49" s="89"/>
      <c r="BA49" s="89"/>
      <c r="BB49" s="89"/>
      <c r="BC49" s="89"/>
      <c r="BD49" s="89"/>
      <c r="BF49" s="89" t="s">
        <v>107</v>
      </c>
      <c r="BH49" s="71" t="s">
        <v>663</v>
      </c>
    </row>
    <row r="50" spans="1:60" s="66" customFormat="1" ht="171.6" hidden="1" x14ac:dyDescent="0.3">
      <c r="A50" s="66">
        <v>46</v>
      </c>
      <c r="B50" s="71" t="s">
        <v>669</v>
      </c>
      <c r="C50" s="70" t="s">
        <v>1188</v>
      </c>
      <c r="D50" s="72" t="s">
        <v>142</v>
      </c>
      <c r="E50" s="71">
        <v>32</v>
      </c>
      <c r="F50" s="72" t="s">
        <v>66</v>
      </c>
      <c r="G50" s="72" t="s">
        <v>231</v>
      </c>
      <c r="H50" s="80" t="s">
        <v>107</v>
      </c>
      <c r="I50" s="85"/>
      <c r="J50" s="85"/>
      <c r="K50" s="85"/>
      <c r="L50" s="85"/>
      <c r="M50" s="85"/>
      <c r="N50" s="85"/>
      <c r="O50" s="85"/>
      <c r="P50" s="85"/>
      <c r="Q50" s="85"/>
      <c r="R50" s="85" t="s">
        <v>107</v>
      </c>
      <c r="S50" s="85"/>
      <c r="T50" s="85"/>
      <c r="U50" s="85"/>
      <c r="V50" s="85"/>
      <c r="W50" s="85"/>
      <c r="X50" s="85"/>
      <c r="Y50" s="85"/>
      <c r="Z50" s="85"/>
      <c r="AA50" s="74"/>
      <c r="AB50" s="66" t="s">
        <v>48</v>
      </c>
      <c r="AC50" s="76" t="s">
        <v>89</v>
      </c>
      <c r="AD50" s="76">
        <v>10</v>
      </c>
      <c r="AE50" s="71">
        <v>18</v>
      </c>
      <c r="AF50" s="71"/>
      <c r="AG50" s="66" t="s">
        <v>1193</v>
      </c>
      <c r="AH50" s="66" t="s">
        <v>1204</v>
      </c>
      <c r="AI50" s="89"/>
      <c r="AJ50" s="89"/>
      <c r="AK50" s="89"/>
      <c r="AL50" s="89"/>
      <c r="AM50" s="89"/>
      <c r="AN50" s="89"/>
      <c r="AO50" s="89"/>
      <c r="AP50" s="89"/>
      <c r="AQ50" s="89"/>
      <c r="AR50" s="89"/>
      <c r="AS50" s="89"/>
      <c r="AT50" s="89"/>
      <c r="AU50" s="89"/>
      <c r="AV50" s="89"/>
      <c r="AW50" s="89"/>
      <c r="AX50" s="89"/>
      <c r="AY50" s="89"/>
      <c r="AZ50" s="89"/>
      <c r="BA50" s="89"/>
      <c r="BB50" s="89"/>
      <c r="BC50" s="89"/>
      <c r="BD50" s="89" t="s">
        <v>107</v>
      </c>
      <c r="BE50" s="71" t="s">
        <v>674</v>
      </c>
      <c r="BF50" s="89" t="s">
        <v>107</v>
      </c>
      <c r="BG50" s="71"/>
      <c r="BH50" s="71" t="s">
        <v>674</v>
      </c>
    </row>
    <row r="51" spans="1:60" s="66" customFormat="1" ht="82.2" hidden="1" x14ac:dyDescent="0.3">
      <c r="A51" s="66">
        <v>47</v>
      </c>
      <c r="B51" s="71" t="s">
        <v>680</v>
      </c>
      <c r="C51" s="70" t="s">
        <v>1188</v>
      </c>
      <c r="D51" s="72" t="s">
        <v>371</v>
      </c>
      <c r="E51" s="71">
        <v>36</v>
      </c>
      <c r="F51" s="72" t="s">
        <v>66</v>
      </c>
      <c r="G51" s="72" t="s">
        <v>218</v>
      </c>
      <c r="H51" s="80" t="s">
        <v>107</v>
      </c>
      <c r="I51" s="85" t="s">
        <v>107</v>
      </c>
      <c r="J51" s="85"/>
      <c r="K51" s="85"/>
      <c r="L51" s="85"/>
      <c r="M51" s="85"/>
      <c r="N51" s="85"/>
      <c r="O51" s="85"/>
      <c r="P51" s="85"/>
      <c r="Q51" s="85"/>
      <c r="R51" s="85"/>
      <c r="S51" s="85"/>
      <c r="T51" s="85"/>
      <c r="U51" s="85"/>
      <c r="V51" s="85"/>
      <c r="W51" s="85"/>
      <c r="X51" s="85"/>
      <c r="Y51" s="85"/>
      <c r="Z51" s="85"/>
      <c r="AA51" s="74"/>
      <c r="AB51" s="66" t="s">
        <v>74</v>
      </c>
      <c r="AC51" s="76" t="s">
        <v>39</v>
      </c>
      <c r="AD51" s="76"/>
      <c r="AE51" s="71">
        <v>13</v>
      </c>
      <c r="AF51" s="71"/>
      <c r="AG51" s="66" t="s">
        <v>1192</v>
      </c>
      <c r="AH51" s="66" t="s">
        <v>1192</v>
      </c>
      <c r="AI51" s="89" t="s">
        <v>107</v>
      </c>
      <c r="AJ51" s="89" t="s">
        <v>107</v>
      </c>
      <c r="AK51" s="89"/>
      <c r="AL51" s="89"/>
      <c r="AM51" s="89"/>
      <c r="AN51" s="89"/>
      <c r="AO51" s="89"/>
      <c r="AP51" s="89"/>
      <c r="AQ51" s="89"/>
      <c r="AR51" s="89" t="s">
        <v>107</v>
      </c>
      <c r="AS51" s="89"/>
      <c r="AT51" s="89"/>
      <c r="AU51" s="89"/>
      <c r="AV51" s="89"/>
      <c r="AW51" s="89"/>
      <c r="AX51" s="89"/>
      <c r="AY51" s="89"/>
      <c r="AZ51" s="89"/>
      <c r="BA51" s="89"/>
      <c r="BB51" s="89"/>
      <c r="BC51" s="89"/>
      <c r="BD51" s="89"/>
      <c r="BF51" s="89" t="s">
        <v>60</v>
      </c>
      <c r="BH51" s="71" t="s">
        <v>685</v>
      </c>
    </row>
    <row r="52" spans="1:60" s="66" customFormat="1" ht="62.4" hidden="1" x14ac:dyDescent="0.3">
      <c r="A52" s="66">
        <v>48</v>
      </c>
      <c r="B52" s="71" t="s">
        <v>691</v>
      </c>
      <c r="C52" s="70" t="s">
        <v>1188</v>
      </c>
      <c r="D52" s="72" t="s">
        <v>143</v>
      </c>
      <c r="E52" s="71">
        <v>27</v>
      </c>
      <c r="F52" s="72" t="s">
        <v>66</v>
      </c>
      <c r="G52" s="72" t="s">
        <v>462</v>
      </c>
      <c r="H52" s="80" t="s">
        <v>60</v>
      </c>
      <c r="I52" s="85"/>
      <c r="J52" s="85"/>
      <c r="K52" s="85"/>
      <c r="L52" s="85"/>
      <c r="M52" s="85"/>
      <c r="N52" s="85"/>
      <c r="O52" s="85"/>
      <c r="P52" s="85"/>
      <c r="Q52" s="85"/>
      <c r="R52" s="85"/>
      <c r="S52" s="85"/>
      <c r="T52" s="85"/>
      <c r="U52" s="85"/>
      <c r="V52" s="85"/>
      <c r="W52" s="85"/>
      <c r="X52" s="85"/>
      <c r="Y52" s="85"/>
      <c r="Z52" s="85"/>
      <c r="AA52" s="74"/>
      <c r="AB52" s="66" t="s">
        <v>74</v>
      </c>
      <c r="AC52" s="76" t="s">
        <v>39</v>
      </c>
      <c r="AD52" s="76">
        <v>1</v>
      </c>
      <c r="AE52" s="71">
        <v>21</v>
      </c>
      <c r="AF52" s="71"/>
      <c r="AG52" s="66" t="s">
        <v>1193</v>
      </c>
      <c r="AH52" s="66" t="s">
        <v>1194</v>
      </c>
      <c r="AI52" s="89"/>
      <c r="AJ52" s="89"/>
      <c r="AK52" s="89"/>
      <c r="AL52" s="89"/>
      <c r="AM52" s="89"/>
      <c r="AN52" s="89"/>
      <c r="AO52" s="89"/>
      <c r="AP52" s="89"/>
      <c r="AQ52" s="89"/>
      <c r="AR52" s="89"/>
      <c r="AS52" s="89"/>
      <c r="AT52" s="89"/>
      <c r="AU52" s="89"/>
      <c r="AV52" s="89"/>
      <c r="AW52" s="89"/>
      <c r="AX52" s="89"/>
      <c r="AY52" s="89"/>
      <c r="AZ52" s="89"/>
      <c r="BA52" s="89"/>
      <c r="BB52" s="89"/>
      <c r="BC52" s="89"/>
      <c r="BD52" s="89" t="s">
        <v>107</v>
      </c>
      <c r="BE52" s="71" t="s">
        <v>696</v>
      </c>
      <c r="BF52" s="89" t="s">
        <v>107</v>
      </c>
      <c r="BG52" s="71"/>
      <c r="BH52" s="71" t="s">
        <v>696</v>
      </c>
    </row>
    <row r="53" spans="1:60" s="66" customFormat="1" ht="78" hidden="1" x14ac:dyDescent="0.3">
      <c r="A53" s="66">
        <v>49</v>
      </c>
      <c r="B53" s="71" t="s">
        <v>701</v>
      </c>
      <c r="C53" s="70" t="s">
        <v>1189</v>
      </c>
      <c r="D53" s="72" t="s">
        <v>174</v>
      </c>
      <c r="E53" s="71">
        <v>37</v>
      </c>
      <c r="F53" s="72" t="s">
        <v>66</v>
      </c>
      <c r="G53" s="72" t="s">
        <v>703</v>
      </c>
      <c r="H53" s="80" t="s">
        <v>60</v>
      </c>
      <c r="I53" s="85"/>
      <c r="J53" s="85"/>
      <c r="K53" s="85"/>
      <c r="L53" s="85"/>
      <c r="M53" s="85"/>
      <c r="N53" s="85"/>
      <c r="O53" s="85"/>
      <c r="P53" s="85"/>
      <c r="Q53" s="85"/>
      <c r="R53" s="85"/>
      <c r="S53" s="85"/>
      <c r="T53" s="85"/>
      <c r="U53" s="85"/>
      <c r="V53" s="85"/>
      <c r="W53" s="85"/>
      <c r="X53" s="85"/>
      <c r="Y53" s="85"/>
      <c r="Z53" s="85"/>
      <c r="AA53" s="74"/>
      <c r="AB53" s="66" t="s">
        <v>48</v>
      </c>
      <c r="AC53" s="76" t="s">
        <v>89</v>
      </c>
      <c r="AD53" s="76"/>
      <c r="AE53" s="71">
        <v>8</v>
      </c>
      <c r="AF53" s="71"/>
      <c r="AG53" s="66" t="s">
        <v>1193</v>
      </c>
      <c r="AH53" s="66" t="s">
        <v>1204</v>
      </c>
      <c r="AI53" s="89"/>
      <c r="AJ53" s="89"/>
      <c r="AK53" s="89"/>
      <c r="AL53" s="89"/>
      <c r="AM53" s="89"/>
      <c r="AN53" s="89"/>
      <c r="AO53" s="89"/>
      <c r="AP53" s="89"/>
      <c r="AQ53" s="89"/>
      <c r="AR53" s="89"/>
      <c r="AS53" s="89"/>
      <c r="AT53" s="89" t="s">
        <v>107</v>
      </c>
      <c r="AU53" s="89"/>
      <c r="AV53" s="89"/>
      <c r="AW53" s="89"/>
      <c r="AX53" s="89"/>
      <c r="AY53" s="89"/>
      <c r="AZ53" s="89"/>
      <c r="BA53" s="89"/>
      <c r="BB53" s="89"/>
      <c r="BC53" s="89"/>
      <c r="BD53" s="89"/>
      <c r="BF53" s="89" t="s">
        <v>107</v>
      </c>
      <c r="BH53" s="71" t="s">
        <v>707</v>
      </c>
    </row>
    <row r="54" spans="1:60" s="66" customFormat="1" ht="93.6" hidden="1" x14ac:dyDescent="0.3">
      <c r="A54" s="66">
        <v>50</v>
      </c>
      <c r="B54" s="71" t="s">
        <v>712</v>
      </c>
      <c r="C54" s="70" t="s">
        <v>1189</v>
      </c>
      <c r="D54" s="72" t="s">
        <v>711</v>
      </c>
      <c r="E54" s="71">
        <v>25</v>
      </c>
      <c r="F54" s="72" t="s">
        <v>66</v>
      </c>
      <c r="G54" s="72" t="s">
        <v>1240</v>
      </c>
      <c r="H54" s="80" t="s">
        <v>60</v>
      </c>
      <c r="I54" s="85"/>
      <c r="J54" s="85"/>
      <c r="K54" s="85"/>
      <c r="L54" s="85"/>
      <c r="M54" s="85"/>
      <c r="N54" s="85"/>
      <c r="O54" s="85"/>
      <c r="P54" s="85"/>
      <c r="Q54" s="85"/>
      <c r="R54" s="85"/>
      <c r="S54" s="85"/>
      <c r="T54" s="85"/>
      <c r="U54" s="85"/>
      <c r="V54" s="85"/>
      <c r="W54" s="85"/>
      <c r="X54" s="85"/>
      <c r="Y54" s="85"/>
      <c r="Z54" s="85"/>
      <c r="AA54" s="74"/>
      <c r="AB54" s="66" t="s">
        <v>48</v>
      </c>
      <c r="AC54" s="76" t="s">
        <v>89</v>
      </c>
      <c r="AD54" s="76"/>
      <c r="AE54" s="71">
        <v>3</v>
      </c>
      <c r="AF54" s="71"/>
      <c r="AG54" s="66" t="s">
        <v>1203</v>
      </c>
      <c r="AH54" s="66" t="s">
        <v>1204</v>
      </c>
      <c r="AI54" s="89"/>
      <c r="AJ54" s="89"/>
      <c r="AK54" s="89"/>
      <c r="AL54" s="89"/>
      <c r="AM54" s="89"/>
      <c r="AN54" s="89"/>
      <c r="AO54" s="89"/>
      <c r="AP54" s="89"/>
      <c r="AQ54" s="89"/>
      <c r="AR54" s="89"/>
      <c r="AS54" s="89"/>
      <c r="AT54" s="89"/>
      <c r="AU54" s="89"/>
      <c r="AV54" s="89"/>
      <c r="AW54" s="89"/>
      <c r="AX54" s="89"/>
      <c r="AY54" s="89"/>
      <c r="AZ54" s="89"/>
      <c r="BA54" s="89"/>
      <c r="BB54" s="89"/>
      <c r="BC54" s="89"/>
      <c r="BD54" s="89" t="s">
        <v>107</v>
      </c>
      <c r="BE54" s="66" t="s">
        <v>1231</v>
      </c>
      <c r="BF54" s="89" t="s">
        <v>60</v>
      </c>
      <c r="BH54" s="71" t="s">
        <v>716</v>
      </c>
    </row>
    <row r="55" spans="1:60" s="66" customFormat="1" ht="124.8" hidden="1" x14ac:dyDescent="0.3">
      <c r="A55" s="66">
        <v>51</v>
      </c>
      <c r="B55" s="71" t="s">
        <v>722</v>
      </c>
      <c r="C55" s="70" t="s">
        <v>1189</v>
      </c>
      <c r="D55" s="72" t="s">
        <v>445</v>
      </c>
      <c r="E55" s="71">
        <v>35</v>
      </c>
      <c r="F55" s="75" t="s">
        <v>1246</v>
      </c>
      <c r="G55" s="75" t="s">
        <v>1246</v>
      </c>
      <c r="H55" s="80" t="s">
        <v>60</v>
      </c>
      <c r="I55" s="85"/>
      <c r="J55" s="85"/>
      <c r="K55" s="85"/>
      <c r="L55" s="85"/>
      <c r="M55" s="85"/>
      <c r="N55" s="85"/>
      <c r="O55" s="85"/>
      <c r="P55" s="85"/>
      <c r="Q55" s="85"/>
      <c r="R55" s="85"/>
      <c r="S55" s="85"/>
      <c r="T55" s="85"/>
      <c r="U55" s="85"/>
      <c r="V55" s="85"/>
      <c r="W55" s="85"/>
      <c r="X55" s="85"/>
      <c r="Y55" s="85"/>
      <c r="Z55" s="85"/>
      <c r="AA55" s="74"/>
      <c r="AB55" s="66" t="s">
        <v>48</v>
      </c>
      <c r="AC55" s="76" t="s">
        <v>39</v>
      </c>
      <c r="AD55" s="76"/>
      <c r="AE55" s="71">
        <v>3</v>
      </c>
      <c r="AF55" s="71"/>
      <c r="AG55" s="66" t="s">
        <v>1192</v>
      </c>
      <c r="AH55" s="66" t="s">
        <v>1204</v>
      </c>
      <c r="AI55" s="89"/>
      <c r="AJ55" s="89"/>
      <c r="AK55" s="89"/>
      <c r="AL55" s="89"/>
      <c r="AM55" s="89"/>
      <c r="AN55" s="89"/>
      <c r="AO55" s="89"/>
      <c r="AP55" s="89"/>
      <c r="AQ55" s="89"/>
      <c r="AR55" s="89"/>
      <c r="AS55" s="89"/>
      <c r="AT55" s="89"/>
      <c r="AU55" s="89"/>
      <c r="AV55" s="89"/>
      <c r="AW55" s="89"/>
      <c r="AX55" s="89"/>
      <c r="AY55" s="89"/>
      <c r="AZ55" s="89"/>
      <c r="BA55" s="89"/>
      <c r="BB55" s="89"/>
      <c r="BC55" s="89"/>
      <c r="BD55" s="89" t="s">
        <v>107</v>
      </c>
      <c r="BE55" s="71" t="s">
        <v>726</v>
      </c>
      <c r="BF55" s="89" t="s">
        <v>107</v>
      </c>
      <c r="BG55" s="71"/>
      <c r="BH55" s="71" t="s">
        <v>726</v>
      </c>
    </row>
    <row r="56" spans="1:60" s="66" customFormat="1" ht="140.4" hidden="1" x14ac:dyDescent="0.3">
      <c r="A56" s="66">
        <v>52</v>
      </c>
      <c r="B56" s="71" t="s">
        <v>733</v>
      </c>
      <c r="C56" s="70" t="s">
        <v>1189</v>
      </c>
      <c r="D56" s="72" t="s">
        <v>732</v>
      </c>
      <c r="E56" s="71">
        <v>26</v>
      </c>
      <c r="F56" s="75" t="s">
        <v>1246</v>
      </c>
      <c r="G56" s="75" t="s">
        <v>1246</v>
      </c>
      <c r="H56" s="80" t="s">
        <v>60</v>
      </c>
      <c r="I56" s="85"/>
      <c r="J56" s="85"/>
      <c r="K56" s="85"/>
      <c r="L56" s="85"/>
      <c r="M56" s="85"/>
      <c r="N56" s="85"/>
      <c r="O56" s="85"/>
      <c r="P56" s="85"/>
      <c r="Q56" s="85"/>
      <c r="R56" s="85"/>
      <c r="S56" s="85"/>
      <c r="T56" s="85"/>
      <c r="U56" s="85"/>
      <c r="V56" s="85"/>
      <c r="W56" s="85"/>
      <c r="X56" s="85"/>
      <c r="Y56" s="85"/>
      <c r="Z56" s="85"/>
      <c r="AA56" s="74"/>
      <c r="AB56" s="66" t="s">
        <v>48</v>
      </c>
      <c r="AC56" s="76" t="s">
        <v>39</v>
      </c>
      <c r="AD56" s="76">
        <v>8</v>
      </c>
      <c r="AE56" s="71">
        <v>25</v>
      </c>
      <c r="AF56" s="71"/>
      <c r="AG56" s="66" t="s">
        <v>1193</v>
      </c>
      <c r="AH56" s="66" t="s">
        <v>1194</v>
      </c>
      <c r="AI56" s="89"/>
      <c r="AJ56" s="89"/>
      <c r="AK56" s="89"/>
      <c r="AL56" s="89"/>
      <c r="AM56" s="89"/>
      <c r="AN56" s="89"/>
      <c r="AO56" s="89"/>
      <c r="AP56" s="89"/>
      <c r="AQ56" s="89"/>
      <c r="AR56" s="89"/>
      <c r="AS56" s="89"/>
      <c r="AT56" s="89"/>
      <c r="AU56" s="89"/>
      <c r="AV56" s="89"/>
      <c r="AW56" s="89"/>
      <c r="AX56" s="89"/>
      <c r="AY56" s="89"/>
      <c r="AZ56" s="89"/>
      <c r="BA56" s="89"/>
      <c r="BB56" s="89"/>
      <c r="BC56" s="89"/>
      <c r="BD56" s="89" t="s">
        <v>107</v>
      </c>
      <c r="BE56" s="71" t="s">
        <v>738</v>
      </c>
      <c r="BF56" s="89" t="s">
        <v>60</v>
      </c>
      <c r="BG56" s="71"/>
      <c r="BH56" s="71" t="s">
        <v>738</v>
      </c>
    </row>
    <row r="57" spans="1:60" s="66" customFormat="1" ht="140.4" hidden="1" x14ac:dyDescent="0.3">
      <c r="A57" s="66">
        <v>53</v>
      </c>
      <c r="B57" s="71" t="s">
        <v>748</v>
      </c>
      <c r="C57" s="70" t="s">
        <v>1188</v>
      </c>
      <c r="D57" s="72" t="s">
        <v>747</v>
      </c>
      <c r="E57" s="71">
        <v>29</v>
      </c>
      <c r="F57" s="72" t="s">
        <v>66</v>
      </c>
      <c r="G57" s="72" t="s">
        <v>231</v>
      </c>
      <c r="H57" s="80" t="s">
        <v>60</v>
      </c>
      <c r="I57" s="85"/>
      <c r="J57" s="85"/>
      <c r="K57" s="85"/>
      <c r="L57" s="85"/>
      <c r="M57" s="85"/>
      <c r="N57" s="85"/>
      <c r="O57" s="85"/>
      <c r="P57" s="85"/>
      <c r="Q57" s="85"/>
      <c r="R57" s="85"/>
      <c r="S57" s="85"/>
      <c r="T57" s="85"/>
      <c r="U57" s="85"/>
      <c r="V57" s="85"/>
      <c r="W57" s="85"/>
      <c r="X57" s="85"/>
      <c r="Y57" s="85"/>
      <c r="Z57" s="85"/>
      <c r="AA57" s="74"/>
      <c r="AB57" s="66" t="s">
        <v>48</v>
      </c>
      <c r="AC57" s="76" t="s">
        <v>89</v>
      </c>
      <c r="AD57" s="76"/>
      <c r="AE57" s="71">
        <v>1</v>
      </c>
      <c r="AF57" s="71"/>
      <c r="AG57" s="66" t="s">
        <v>1203</v>
      </c>
      <c r="AH57" s="66" t="s">
        <v>1204</v>
      </c>
      <c r="AI57" s="89"/>
      <c r="AJ57" s="89"/>
      <c r="AK57" s="89"/>
      <c r="AL57" s="89"/>
      <c r="AM57" s="89"/>
      <c r="AN57" s="89"/>
      <c r="AO57" s="89"/>
      <c r="AP57" s="89"/>
      <c r="AQ57" s="89"/>
      <c r="AR57" s="89"/>
      <c r="AS57" s="89"/>
      <c r="AT57" s="89"/>
      <c r="AU57" s="89"/>
      <c r="AV57" s="89"/>
      <c r="AW57" s="89"/>
      <c r="AX57" s="89"/>
      <c r="AY57" s="89"/>
      <c r="AZ57" s="89"/>
      <c r="BA57" s="89"/>
      <c r="BB57" s="89"/>
      <c r="BC57" s="89"/>
      <c r="BD57" s="89" t="s">
        <v>107</v>
      </c>
      <c r="BE57" s="71" t="s">
        <v>754</v>
      </c>
      <c r="BF57" s="89" t="s">
        <v>60</v>
      </c>
      <c r="BG57" s="71"/>
      <c r="BH57" s="71" t="s">
        <v>754</v>
      </c>
    </row>
    <row r="58" spans="1:60" s="66" customFormat="1" ht="78" hidden="1" x14ac:dyDescent="0.3">
      <c r="A58" s="66">
        <v>54</v>
      </c>
      <c r="B58" s="71" t="s">
        <v>760</v>
      </c>
      <c r="C58" s="70" t="s">
        <v>1189</v>
      </c>
      <c r="D58" s="72" t="s">
        <v>759</v>
      </c>
      <c r="E58" s="71">
        <v>34</v>
      </c>
      <c r="F58" s="72" t="s">
        <v>66</v>
      </c>
      <c r="G58" s="72" t="s">
        <v>159</v>
      </c>
      <c r="H58" s="80" t="s">
        <v>60</v>
      </c>
      <c r="I58" s="85"/>
      <c r="J58" s="85"/>
      <c r="K58" s="85"/>
      <c r="L58" s="85"/>
      <c r="M58" s="85"/>
      <c r="N58" s="85"/>
      <c r="O58" s="85"/>
      <c r="P58" s="85"/>
      <c r="Q58" s="85"/>
      <c r="R58" s="85"/>
      <c r="S58" s="85"/>
      <c r="T58" s="85"/>
      <c r="U58" s="85"/>
      <c r="V58" s="85"/>
      <c r="W58" s="85"/>
      <c r="X58" s="85"/>
      <c r="Y58" s="85"/>
      <c r="Z58" s="85"/>
      <c r="AA58" s="74"/>
      <c r="AB58" s="66" t="s">
        <v>48</v>
      </c>
      <c r="AC58" s="76" t="s">
        <v>89</v>
      </c>
      <c r="AD58" s="76"/>
      <c r="AE58" s="71">
        <v>5</v>
      </c>
      <c r="AF58" s="71"/>
      <c r="AG58" s="66" t="s">
        <v>1203</v>
      </c>
      <c r="AH58" s="66" t="s">
        <v>1204</v>
      </c>
      <c r="AI58" s="89" t="s">
        <v>107</v>
      </c>
      <c r="AJ58" s="89" t="s">
        <v>107</v>
      </c>
      <c r="AK58" s="89"/>
      <c r="AL58" s="89"/>
      <c r="AM58" s="89"/>
      <c r="AN58" s="89"/>
      <c r="AO58" s="89"/>
      <c r="AP58" s="89"/>
      <c r="AQ58" s="89"/>
      <c r="AR58" s="89"/>
      <c r="AS58" s="89"/>
      <c r="AT58" s="89"/>
      <c r="AU58" s="89"/>
      <c r="AV58" s="89"/>
      <c r="AW58" s="89"/>
      <c r="AX58" s="89"/>
      <c r="AY58" s="89"/>
      <c r="AZ58" s="89"/>
      <c r="BA58" s="89"/>
      <c r="BB58" s="89"/>
      <c r="BC58" s="89"/>
      <c r="BD58" s="89"/>
      <c r="BF58" s="89" t="s">
        <v>107</v>
      </c>
      <c r="BH58" s="71" t="s">
        <v>764</v>
      </c>
    </row>
    <row r="59" spans="1:60" s="66" customFormat="1" ht="78" hidden="1" x14ac:dyDescent="0.3">
      <c r="A59" s="66">
        <v>55</v>
      </c>
      <c r="B59" s="71" t="s">
        <v>769</v>
      </c>
      <c r="C59" s="70" t="s">
        <v>1189</v>
      </c>
      <c r="D59" s="72" t="s">
        <v>325</v>
      </c>
      <c r="E59" s="71">
        <v>33</v>
      </c>
      <c r="F59" s="72" t="s">
        <v>66</v>
      </c>
      <c r="G59" s="72" t="s">
        <v>231</v>
      </c>
      <c r="H59" s="80" t="s">
        <v>60</v>
      </c>
      <c r="I59" s="85"/>
      <c r="J59" s="85"/>
      <c r="K59" s="85"/>
      <c r="L59" s="85"/>
      <c r="M59" s="85"/>
      <c r="N59" s="85"/>
      <c r="O59" s="85"/>
      <c r="P59" s="85"/>
      <c r="Q59" s="85"/>
      <c r="R59" s="85"/>
      <c r="S59" s="85"/>
      <c r="T59" s="85"/>
      <c r="U59" s="85"/>
      <c r="V59" s="85"/>
      <c r="W59" s="85"/>
      <c r="X59" s="85"/>
      <c r="Y59" s="85"/>
      <c r="Z59" s="85"/>
      <c r="AA59" s="74"/>
      <c r="AB59" s="66" t="s">
        <v>48</v>
      </c>
      <c r="AC59" s="76" t="s">
        <v>39</v>
      </c>
      <c r="AD59" s="76">
        <v>8</v>
      </c>
      <c r="AE59" s="71">
        <v>0</v>
      </c>
      <c r="AF59" s="71"/>
      <c r="AG59" s="66" t="s">
        <v>1192</v>
      </c>
      <c r="AH59" s="66" t="s">
        <v>1204</v>
      </c>
      <c r="AI59" s="89"/>
      <c r="AJ59" s="89"/>
      <c r="AK59" s="89"/>
      <c r="AL59" s="89"/>
      <c r="AM59" s="89"/>
      <c r="AN59" s="89"/>
      <c r="AO59" s="89"/>
      <c r="AP59" s="89"/>
      <c r="AQ59" s="89"/>
      <c r="AR59" s="89"/>
      <c r="AS59" s="89"/>
      <c r="AT59" s="89"/>
      <c r="AU59" s="89"/>
      <c r="AV59" s="89"/>
      <c r="AW59" s="89"/>
      <c r="AX59" s="89"/>
      <c r="AY59" s="89"/>
      <c r="AZ59" s="89"/>
      <c r="BA59" s="89"/>
      <c r="BB59" s="89"/>
      <c r="BC59" s="89"/>
      <c r="BD59" s="89" t="s">
        <v>107</v>
      </c>
      <c r="BE59" s="66" t="s">
        <v>1211</v>
      </c>
      <c r="BF59" s="89" t="s">
        <v>60</v>
      </c>
      <c r="BH59" s="71" t="s">
        <v>773</v>
      </c>
    </row>
    <row r="60" spans="1:60" s="66" customFormat="1" ht="66.599999999999994" hidden="1" x14ac:dyDescent="0.3">
      <c r="A60" s="66">
        <v>56</v>
      </c>
      <c r="B60" s="71" t="s">
        <v>780</v>
      </c>
      <c r="C60" s="70" t="s">
        <v>1189</v>
      </c>
      <c r="D60" s="72" t="s">
        <v>779</v>
      </c>
      <c r="E60" s="71">
        <v>27</v>
      </c>
      <c r="F60" s="72" t="s">
        <v>66</v>
      </c>
      <c r="G60" s="72" t="s">
        <v>1241</v>
      </c>
      <c r="H60" s="80" t="s">
        <v>60</v>
      </c>
      <c r="I60" s="85"/>
      <c r="J60" s="85"/>
      <c r="K60" s="85"/>
      <c r="L60" s="85"/>
      <c r="M60" s="85"/>
      <c r="N60" s="85"/>
      <c r="O60" s="85"/>
      <c r="P60" s="85"/>
      <c r="Q60" s="85"/>
      <c r="R60" s="85"/>
      <c r="S60" s="85"/>
      <c r="T60" s="85"/>
      <c r="U60" s="85"/>
      <c r="V60" s="85"/>
      <c r="W60" s="85"/>
      <c r="X60" s="85"/>
      <c r="Y60" s="85"/>
      <c r="Z60" s="85"/>
      <c r="AA60" s="74"/>
      <c r="AB60" s="66" t="s">
        <v>74</v>
      </c>
      <c r="AC60" s="76" t="s">
        <v>39</v>
      </c>
      <c r="AD60" s="76">
        <v>3</v>
      </c>
      <c r="AE60" s="71">
        <v>5</v>
      </c>
      <c r="AF60" s="71"/>
      <c r="AG60" s="66" t="s">
        <v>1193</v>
      </c>
      <c r="AH60" s="66" t="s">
        <v>1193</v>
      </c>
      <c r="AI60" s="89"/>
      <c r="AJ60" s="89"/>
      <c r="AK60" s="89"/>
      <c r="AL60" s="89"/>
      <c r="AM60" s="89"/>
      <c r="AN60" s="89" t="s">
        <v>107</v>
      </c>
      <c r="AO60" s="89"/>
      <c r="AP60" s="89"/>
      <c r="AQ60" s="89"/>
      <c r="AR60" s="89" t="s">
        <v>107</v>
      </c>
      <c r="AS60" s="89"/>
      <c r="AT60" s="89"/>
      <c r="AU60" s="89"/>
      <c r="AV60" s="89"/>
      <c r="AW60" s="89"/>
      <c r="AX60" s="89"/>
      <c r="AY60" s="89"/>
      <c r="AZ60" s="89"/>
      <c r="BA60" s="89"/>
      <c r="BB60" s="89"/>
      <c r="BC60" s="89"/>
      <c r="BD60" s="89"/>
      <c r="BF60" s="89" t="s">
        <v>107</v>
      </c>
      <c r="BH60" s="71" t="s">
        <v>786</v>
      </c>
    </row>
    <row r="61" spans="1:60" s="66" customFormat="1" ht="62.4" hidden="1" x14ac:dyDescent="0.3">
      <c r="A61" s="66">
        <v>57</v>
      </c>
      <c r="B61" s="71" t="s">
        <v>795</v>
      </c>
      <c r="C61" s="70" t="s">
        <v>1189</v>
      </c>
      <c r="D61" s="72" t="s">
        <v>794</v>
      </c>
      <c r="E61" s="71">
        <v>30</v>
      </c>
      <c r="F61" s="72" t="s">
        <v>66</v>
      </c>
      <c r="G61" s="72" t="s">
        <v>462</v>
      </c>
      <c r="H61" s="80" t="s">
        <v>60</v>
      </c>
      <c r="I61" s="85"/>
      <c r="J61" s="85"/>
      <c r="K61" s="85"/>
      <c r="L61" s="85"/>
      <c r="M61" s="85"/>
      <c r="N61" s="85"/>
      <c r="O61" s="85"/>
      <c r="P61" s="85"/>
      <c r="Q61" s="85"/>
      <c r="R61" s="85"/>
      <c r="S61" s="85"/>
      <c r="T61" s="85"/>
      <c r="U61" s="85"/>
      <c r="V61" s="85"/>
      <c r="W61" s="85"/>
      <c r="X61" s="85"/>
      <c r="Y61" s="85"/>
      <c r="Z61" s="85"/>
      <c r="AA61" s="74"/>
      <c r="AB61" s="66" t="s">
        <v>48</v>
      </c>
      <c r="AC61" s="76" t="s">
        <v>39</v>
      </c>
      <c r="AD61" s="76">
        <v>2</v>
      </c>
      <c r="AE61" s="71">
        <v>3</v>
      </c>
      <c r="AF61" s="71"/>
      <c r="AG61" s="66" t="s">
        <v>1192</v>
      </c>
      <c r="AH61" s="66" t="s">
        <v>162</v>
      </c>
      <c r="AI61" s="89"/>
      <c r="AJ61" s="89"/>
      <c r="AK61" s="89"/>
      <c r="AL61" s="89"/>
      <c r="AM61" s="89"/>
      <c r="AN61" s="89"/>
      <c r="AO61" s="89"/>
      <c r="AP61" s="89"/>
      <c r="AQ61" s="89"/>
      <c r="AR61" s="89"/>
      <c r="AS61" s="89"/>
      <c r="AT61" s="89"/>
      <c r="AU61" s="89"/>
      <c r="AV61" s="89"/>
      <c r="AW61" s="89"/>
      <c r="AX61" s="89"/>
      <c r="AY61" s="89"/>
      <c r="AZ61" s="89"/>
      <c r="BA61" s="89"/>
      <c r="BB61" s="89" t="s">
        <v>107</v>
      </c>
      <c r="BC61" s="89"/>
      <c r="BD61" s="89"/>
      <c r="BF61" s="89" t="s">
        <v>107</v>
      </c>
      <c r="BH61" s="71" t="s">
        <v>480</v>
      </c>
    </row>
    <row r="62" spans="1:60" s="66" customFormat="1" ht="78" hidden="1" x14ac:dyDescent="0.3">
      <c r="A62" s="66">
        <v>58</v>
      </c>
      <c r="B62" s="71" t="s">
        <v>807</v>
      </c>
      <c r="C62" s="70" t="s">
        <v>1190</v>
      </c>
      <c r="D62" s="72" t="s">
        <v>806</v>
      </c>
      <c r="E62" s="71">
        <v>29</v>
      </c>
      <c r="F62" s="72" t="s">
        <v>66</v>
      </c>
      <c r="G62" s="72" t="s">
        <v>462</v>
      </c>
      <c r="H62" s="80" t="s">
        <v>60</v>
      </c>
      <c r="I62" s="85"/>
      <c r="J62" s="85"/>
      <c r="K62" s="85"/>
      <c r="L62" s="85"/>
      <c r="M62" s="85"/>
      <c r="N62" s="85"/>
      <c r="O62" s="85"/>
      <c r="P62" s="85"/>
      <c r="Q62" s="85"/>
      <c r="R62" s="85"/>
      <c r="S62" s="85"/>
      <c r="T62" s="85"/>
      <c r="U62" s="85"/>
      <c r="V62" s="85"/>
      <c r="W62" s="85"/>
      <c r="X62" s="85"/>
      <c r="Y62" s="85"/>
      <c r="Z62" s="85"/>
      <c r="AA62" s="74"/>
      <c r="AB62" s="66" t="s">
        <v>74</v>
      </c>
      <c r="AC62" s="76" t="s">
        <v>39</v>
      </c>
      <c r="AD62" s="76"/>
      <c r="AE62" s="71">
        <v>8</v>
      </c>
      <c r="AF62" s="71"/>
      <c r="AG62" s="66" t="s">
        <v>1193</v>
      </c>
      <c r="AH62" s="66" t="s">
        <v>1193</v>
      </c>
      <c r="AI62" s="89" t="s">
        <v>107</v>
      </c>
      <c r="AJ62" s="89" t="s">
        <v>107</v>
      </c>
      <c r="AK62" s="89"/>
      <c r="AL62" s="89"/>
      <c r="AM62" s="89"/>
      <c r="AN62" s="89"/>
      <c r="AO62" s="89"/>
      <c r="AP62" s="89"/>
      <c r="AQ62" s="89"/>
      <c r="AR62" s="89"/>
      <c r="AS62" s="89"/>
      <c r="AT62" s="89"/>
      <c r="AU62" s="89"/>
      <c r="AV62" s="89"/>
      <c r="AW62" s="89"/>
      <c r="AX62" s="89"/>
      <c r="AY62" s="89"/>
      <c r="AZ62" s="89"/>
      <c r="BA62" s="89"/>
      <c r="BB62" s="89"/>
      <c r="BC62" s="89"/>
      <c r="BD62" s="89"/>
      <c r="BF62" s="89" t="s">
        <v>60</v>
      </c>
      <c r="BH62" s="71" t="s">
        <v>811</v>
      </c>
    </row>
    <row r="63" spans="1:60" s="66" customFormat="1" ht="109.2" hidden="1" x14ac:dyDescent="0.3">
      <c r="A63" s="66">
        <v>59</v>
      </c>
      <c r="B63" s="71" t="s">
        <v>815</v>
      </c>
      <c r="C63" s="70" t="s">
        <v>1188</v>
      </c>
      <c r="D63" s="72" t="s">
        <v>814</v>
      </c>
      <c r="E63" s="71">
        <v>37</v>
      </c>
      <c r="F63" s="72" t="s">
        <v>66</v>
      </c>
      <c r="G63" s="72" t="s">
        <v>218</v>
      </c>
      <c r="H63" s="80" t="s">
        <v>107</v>
      </c>
      <c r="I63" s="85"/>
      <c r="J63" s="85"/>
      <c r="K63" s="85"/>
      <c r="L63" s="85"/>
      <c r="M63" s="85"/>
      <c r="N63" s="85"/>
      <c r="O63" s="85"/>
      <c r="P63" s="85"/>
      <c r="Q63" s="85"/>
      <c r="R63" s="85"/>
      <c r="S63" s="85"/>
      <c r="T63" s="85"/>
      <c r="U63" s="85"/>
      <c r="V63" s="85"/>
      <c r="W63" s="85"/>
      <c r="X63" s="85"/>
      <c r="Y63" s="85"/>
      <c r="Z63" s="85" t="s">
        <v>107</v>
      </c>
      <c r="AA63" s="74"/>
      <c r="AB63" s="66" t="s">
        <v>48</v>
      </c>
      <c r="AC63" s="76" t="s">
        <v>89</v>
      </c>
      <c r="AD63" s="76"/>
      <c r="AE63" s="71">
        <v>20</v>
      </c>
      <c r="AF63" s="71"/>
      <c r="AG63" s="66" t="s">
        <v>1203</v>
      </c>
      <c r="AH63" s="66" t="s">
        <v>1204</v>
      </c>
      <c r="AI63" s="89" t="s">
        <v>107</v>
      </c>
      <c r="AJ63" s="89" t="s">
        <v>107</v>
      </c>
      <c r="AK63" s="89"/>
      <c r="AL63" s="89"/>
      <c r="AM63" s="89"/>
      <c r="AN63" s="89"/>
      <c r="AO63" s="89"/>
      <c r="AP63" s="89"/>
      <c r="AQ63" s="89"/>
      <c r="AR63" s="89"/>
      <c r="AS63" s="89"/>
      <c r="AT63" s="89"/>
      <c r="AU63" s="89"/>
      <c r="AV63" s="89" t="s">
        <v>107</v>
      </c>
      <c r="AW63" s="89"/>
      <c r="AX63" s="89"/>
      <c r="AY63" s="89"/>
      <c r="AZ63" s="89"/>
      <c r="BA63" s="89"/>
      <c r="BB63" s="89"/>
      <c r="BC63" s="89"/>
      <c r="BD63" s="89"/>
      <c r="BF63" s="89" t="s">
        <v>60</v>
      </c>
      <c r="BH63" s="71" t="s">
        <v>820</v>
      </c>
    </row>
    <row r="64" spans="1:60" s="66" customFormat="1" ht="62.4" hidden="1" x14ac:dyDescent="0.3">
      <c r="A64" s="66">
        <v>60</v>
      </c>
      <c r="B64" s="71" t="s">
        <v>828</v>
      </c>
      <c r="C64" s="70" t="s">
        <v>1188</v>
      </c>
      <c r="D64" s="72" t="s">
        <v>142</v>
      </c>
      <c r="E64" s="71">
        <v>28</v>
      </c>
      <c r="F64" s="72" t="s">
        <v>66</v>
      </c>
      <c r="G64" s="72" t="s">
        <v>830</v>
      </c>
      <c r="H64" s="80" t="s">
        <v>60</v>
      </c>
      <c r="I64" s="85"/>
      <c r="J64" s="85"/>
      <c r="K64" s="85"/>
      <c r="L64" s="85"/>
      <c r="M64" s="85"/>
      <c r="N64" s="85"/>
      <c r="O64" s="85"/>
      <c r="P64" s="85"/>
      <c r="Q64" s="85"/>
      <c r="R64" s="85"/>
      <c r="S64" s="85"/>
      <c r="T64" s="85"/>
      <c r="U64" s="85"/>
      <c r="V64" s="85"/>
      <c r="W64" s="85"/>
      <c r="X64" s="85"/>
      <c r="Y64" s="85"/>
      <c r="Z64" s="85"/>
      <c r="AA64" s="74"/>
      <c r="AB64" s="66" t="s">
        <v>48</v>
      </c>
      <c r="AC64" s="76" t="s">
        <v>89</v>
      </c>
      <c r="AD64" s="76">
        <v>1</v>
      </c>
      <c r="AE64" s="71"/>
      <c r="AF64" s="71"/>
      <c r="AG64" s="66" t="s">
        <v>1193</v>
      </c>
      <c r="AH64" s="66" t="s">
        <v>1193</v>
      </c>
      <c r="AI64" s="89" t="s">
        <v>107</v>
      </c>
      <c r="AJ64" s="89"/>
      <c r="AK64" s="89"/>
      <c r="AL64" s="89"/>
      <c r="AM64" s="89"/>
      <c r="AN64" s="89"/>
      <c r="AO64" s="89"/>
      <c r="AP64" s="89"/>
      <c r="AQ64" s="89"/>
      <c r="AR64" s="89" t="s">
        <v>107</v>
      </c>
      <c r="AS64" s="89"/>
      <c r="AT64" s="89"/>
      <c r="AU64" s="89"/>
      <c r="AV64" s="89"/>
      <c r="AW64" s="89"/>
      <c r="AX64" s="89"/>
      <c r="AY64" s="89"/>
      <c r="AZ64" s="89"/>
      <c r="BA64" s="89"/>
      <c r="BB64" s="89"/>
      <c r="BC64" s="89"/>
      <c r="BD64" s="89"/>
      <c r="BF64" s="89" t="s">
        <v>107</v>
      </c>
      <c r="BH64" s="71" t="s">
        <v>834</v>
      </c>
    </row>
    <row r="65" spans="1:60" s="66" customFormat="1" ht="82.2" hidden="1" x14ac:dyDescent="0.3">
      <c r="A65" s="66">
        <v>61</v>
      </c>
      <c r="B65" s="71" t="s">
        <v>840</v>
      </c>
      <c r="C65" s="70" t="s">
        <v>1188</v>
      </c>
      <c r="D65" s="72" t="s">
        <v>371</v>
      </c>
      <c r="E65" s="71">
        <v>21</v>
      </c>
      <c r="F65" s="72" t="s">
        <v>66</v>
      </c>
      <c r="G65" s="72" t="s">
        <v>159</v>
      </c>
      <c r="H65" s="80" t="s">
        <v>107</v>
      </c>
      <c r="I65" s="85"/>
      <c r="J65" s="85"/>
      <c r="K65" s="85"/>
      <c r="L65" s="85" t="s">
        <v>107</v>
      </c>
      <c r="M65" s="85"/>
      <c r="N65" s="85"/>
      <c r="O65" s="85"/>
      <c r="P65" s="85"/>
      <c r="Q65" s="85"/>
      <c r="R65" s="85"/>
      <c r="S65" s="85"/>
      <c r="T65" s="85"/>
      <c r="U65" s="85"/>
      <c r="V65" s="85"/>
      <c r="W65" s="85"/>
      <c r="X65" s="85"/>
      <c r="Y65" s="85"/>
      <c r="Z65" s="85"/>
      <c r="AA65" s="74"/>
      <c r="AB65" s="66" t="s">
        <v>74</v>
      </c>
      <c r="AC65" s="76" t="s">
        <v>89</v>
      </c>
      <c r="AD65" s="76"/>
      <c r="AE65" s="71">
        <v>5</v>
      </c>
      <c r="AF65" s="71"/>
      <c r="AG65" s="66" t="s">
        <v>1193</v>
      </c>
      <c r="AH65" s="66" t="s">
        <v>1193</v>
      </c>
      <c r="AI65" s="89" t="s">
        <v>107</v>
      </c>
      <c r="AJ65" s="89" t="s">
        <v>107</v>
      </c>
      <c r="AK65" s="89"/>
      <c r="AL65" s="89"/>
      <c r="AM65" s="89"/>
      <c r="AN65" s="89"/>
      <c r="AO65" s="89"/>
      <c r="AP65" s="89"/>
      <c r="AQ65" s="89"/>
      <c r="AR65" s="89"/>
      <c r="AS65" s="89"/>
      <c r="AT65" s="89"/>
      <c r="AU65" s="89"/>
      <c r="AV65" s="89"/>
      <c r="AW65" s="89"/>
      <c r="AX65" s="89"/>
      <c r="AY65" s="89"/>
      <c r="AZ65" s="89"/>
      <c r="BA65" s="89"/>
      <c r="BB65" s="89"/>
      <c r="BC65" s="89"/>
      <c r="BD65" s="89"/>
      <c r="BF65" s="89" t="s">
        <v>60</v>
      </c>
      <c r="BH65" s="71" t="s">
        <v>845</v>
      </c>
    </row>
    <row r="66" spans="1:60" s="66" customFormat="1" ht="109.2" hidden="1" x14ac:dyDescent="0.3">
      <c r="A66" s="66">
        <v>62</v>
      </c>
      <c r="B66" s="71" t="s">
        <v>851</v>
      </c>
      <c r="C66" s="70" t="s">
        <v>1189</v>
      </c>
      <c r="D66" s="72" t="s">
        <v>174</v>
      </c>
      <c r="E66" s="71">
        <v>22</v>
      </c>
      <c r="F66" s="72" t="s">
        <v>66</v>
      </c>
      <c r="G66" s="72" t="s">
        <v>853</v>
      </c>
      <c r="H66" s="80" t="s">
        <v>107</v>
      </c>
      <c r="I66" s="85"/>
      <c r="J66" s="85"/>
      <c r="K66" s="85"/>
      <c r="L66" s="85" t="s">
        <v>107</v>
      </c>
      <c r="M66" s="85"/>
      <c r="N66" s="85"/>
      <c r="O66" s="85"/>
      <c r="P66" s="85"/>
      <c r="Q66" s="85"/>
      <c r="R66" s="85"/>
      <c r="S66" s="85"/>
      <c r="T66" s="85"/>
      <c r="U66" s="85"/>
      <c r="V66" s="85"/>
      <c r="W66" s="85"/>
      <c r="X66" s="85"/>
      <c r="Y66" s="85"/>
      <c r="Z66" s="85"/>
      <c r="AA66" s="74"/>
      <c r="AB66" s="66" t="s">
        <v>48</v>
      </c>
      <c r="AC66" s="76" t="s">
        <v>89</v>
      </c>
      <c r="AD66" s="76"/>
      <c r="AE66" s="71">
        <v>5</v>
      </c>
      <c r="AF66" s="71"/>
      <c r="AG66" s="66" t="s">
        <v>1193</v>
      </c>
      <c r="AH66" s="66" t="s">
        <v>1193</v>
      </c>
      <c r="AI66" s="89"/>
      <c r="AJ66" s="89"/>
      <c r="AK66" s="89"/>
      <c r="AL66" s="89"/>
      <c r="AM66" s="89"/>
      <c r="AN66" s="89"/>
      <c r="AO66" s="89"/>
      <c r="AP66" s="89"/>
      <c r="AQ66" s="89"/>
      <c r="AR66" s="89"/>
      <c r="AS66" s="89"/>
      <c r="AT66" s="89"/>
      <c r="AU66" s="89"/>
      <c r="AV66" s="89"/>
      <c r="AW66" s="89"/>
      <c r="AX66" s="89"/>
      <c r="AY66" s="89"/>
      <c r="AZ66" s="89"/>
      <c r="BA66" s="89"/>
      <c r="BB66" s="89"/>
      <c r="BC66" s="89"/>
      <c r="BD66" s="89" t="s">
        <v>107</v>
      </c>
      <c r="BE66" s="71" t="s">
        <v>856</v>
      </c>
      <c r="BF66" s="89" t="s">
        <v>60</v>
      </c>
      <c r="BG66" s="71"/>
      <c r="BH66" s="71" t="s">
        <v>856</v>
      </c>
    </row>
    <row r="67" spans="1:60" s="66" customFormat="1" ht="62.4" hidden="1" x14ac:dyDescent="0.3">
      <c r="A67" s="66">
        <v>63</v>
      </c>
      <c r="B67" s="71" t="s">
        <v>862</v>
      </c>
      <c r="C67" s="70" t="s">
        <v>1189</v>
      </c>
      <c r="D67" s="72" t="s">
        <v>325</v>
      </c>
      <c r="E67" s="71">
        <v>36</v>
      </c>
      <c r="F67" s="72" t="s">
        <v>66</v>
      </c>
      <c r="G67" s="72" t="s">
        <v>231</v>
      </c>
      <c r="H67" s="80" t="s">
        <v>60</v>
      </c>
      <c r="I67" s="85"/>
      <c r="J67" s="85"/>
      <c r="K67" s="85"/>
      <c r="L67" s="85"/>
      <c r="M67" s="85"/>
      <c r="N67" s="85"/>
      <c r="O67" s="85"/>
      <c r="P67" s="85"/>
      <c r="Q67" s="85"/>
      <c r="R67" s="85"/>
      <c r="S67" s="85"/>
      <c r="T67" s="85"/>
      <c r="U67" s="85"/>
      <c r="V67" s="85"/>
      <c r="W67" s="85"/>
      <c r="X67" s="85"/>
      <c r="Y67" s="85"/>
      <c r="Z67" s="85"/>
      <c r="AA67" s="74"/>
      <c r="AB67" s="66" t="s">
        <v>48</v>
      </c>
      <c r="AC67" s="76" t="s">
        <v>39</v>
      </c>
      <c r="AD67" s="76"/>
      <c r="AE67" s="71">
        <v>12</v>
      </c>
      <c r="AF67" s="71"/>
      <c r="AG67" s="66" t="s">
        <v>1203</v>
      </c>
      <c r="AH67" s="66" t="s">
        <v>1204</v>
      </c>
      <c r="AI67" s="89"/>
      <c r="AJ67" s="89"/>
      <c r="AK67" s="89"/>
      <c r="AL67" s="89"/>
      <c r="AM67" s="89"/>
      <c r="AN67" s="89"/>
      <c r="AO67" s="89"/>
      <c r="AP67" s="89"/>
      <c r="AQ67" s="89" t="s">
        <v>107</v>
      </c>
      <c r="AR67" s="89"/>
      <c r="AS67" s="89"/>
      <c r="AT67" s="89"/>
      <c r="AU67" s="89"/>
      <c r="AV67" s="89"/>
      <c r="AW67" s="89"/>
      <c r="AX67" s="89"/>
      <c r="AY67" s="89"/>
      <c r="AZ67" s="89"/>
      <c r="BA67" s="89"/>
      <c r="BB67" s="89"/>
      <c r="BC67" s="89"/>
      <c r="BD67" s="89"/>
      <c r="BF67" s="89" t="s">
        <v>60</v>
      </c>
      <c r="BH67" s="71" t="s">
        <v>865</v>
      </c>
    </row>
    <row r="68" spans="1:60" s="66" customFormat="1" ht="62.4" hidden="1" x14ac:dyDescent="0.3">
      <c r="A68" s="66">
        <v>64</v>
      </c>
      <c r="B68" s="71" t="s">
        <v>871</v>
      </c>
      <c r="C68" s="70" t="s">
        <v>1189</v>
      </c>
      <c r="D68" s="72" t="s">
        <v>124</v>
      </c>
      <c r="E68" s="71">
        <v>38</v>
      </c>
      <c r="F68" s="72" t="s">
        <v>66</v>
      </c>
      <c r="G68" s="72" t="s">
        <v>231</v>
      </c>
      <c r="H68" s="80" t="s">
        <v>60</v>
      </c>
      <c r="I68" s="85"/>
      <c r="J68" s="85"/>
      <c r="K68" s="85"/>
      <c r="L68" s="85"/>
      <c r="M68" s="85"/>
      <c r="N68" s="85"/>
      <c r="O68" s="85"/>
      <c r="P68" s="85"/>
      <c r="Q68" s="85"/>
      <c r="R68" s="85"/>
      <c r="S68" s="85"/>
      <c r="T68" s="85"/>
      <c r="U68" s="85"/>
      <c r="V68" s="85"/>
      <c r="W68" s="85"/>
      <c r="X68" s="85"/>
      <c r="Y68" s="85"/>
      <c r="Z68" s="85"/>
      <c r="AA68" s="74"/>
      <c r="AB68" s="66" t="s">
        <v>74</v>
      </c>
      <c r="AC68" s="76" t="s">
        <v>39</v>
      </c>
      <c r="AD68" s="76">
        <v>10</v>
      </c>
      <c r="AE68" s="71">
        <v>26</v>
      </c>
      <c r="AF68" s="71"/>
      <c r="AG68" s="66" t="s">
        <v>1193</v>
      </c>
      <c r="AH68" s="66" t="s">
        <v>1194</v>
      </c>
      <c r="AI68" s="89"/>
      <c r="AJ68" s="89"/>
      <c r="AK68" s="89"/>
      <c r="AL68" s="89"/>
      <c r="AM68" s="89"/>
      <c r="AN68" s="89"/>
      <c r="AO68" s="89"/>
      <c r="AP68" s="89"/>
      <c r="AQ68" s="89"/>
      <c r="AR68" s="89"/>
      <c r="AS68" s="89"/>
      <c r="AT68" s="89"/>
      <c r="AU68" s="89"/>
      <c r="AV68" s="89"/>
      <c r="AW68" s="89"/>
      <c r="AX68" s="89"/>
      <c r="AY68" s="89"/>
      <c r="AZ68" s="89"/>
      <c r="BA68" s="89"/>
      <c r="BB68" s="89"/>
      <c r="BC68" s="89" t="s">
        <v>107</v>
      </c>
      <c r="BD68" s="89" t="s">
        <v>107</v>
      </c>
      <c r="BE68" s="66" t="s">
        <v>1233</v>
      </c>
      <c r="BF68" s="89" t="s">
        <v>60</v>
      </c>
      <c r="BH68" s="71" t="s">
        <v>876</v>
      </c>
    </row>
    <row r="69" spans="1:60" s="66" customFormat="1" ht="46.8" hidden="1" x14ac:dyDescent="0.3">
      <c r="A69" s="66">
        <v>65</v>
      </c>
      <c r="B69" s="71" t="s">
        <v>883</v>
      </c>
      <c r="C69" s="70" t="s">
        <v>1189</v>
      </c>
      <c r="D69" s="72" t="s">
        <v>882</v>
      </c>
      <c r="E69" s="71">
        <v>33</v>
      </c>
      <c r="F69" s="72" t="s">
        <v>66</v>
      </c>
      <c r="G69" s="72" t="s">
        <v>159</v>
      </c>
      <c r="H69" s="80" t="s">
        <v>60</v>
      </c>
      <c r="I69" s="85"/>
      <c r="J69" s="85"/>
      <c r="K69" s="85"/>
      <c r="L69" s="85"/>
      <c r="M69" s="85"/>
      <c r="N69" s="85"/>
      <c r="O69" s="85"/>
      <c r="P69" s="85"/>
      <c r="Q69" s="85"/>
      <c r="R69" s="85"/>
      <c r="S69" s="85"/>
      <c r="T69" s="85"/>
      <c r="U69" s="85"/>
      <c r="V69" s="85"/>
      <c r="W69" s="85"/>
      <c r="X69" s="85"/>
      <c r="Y69" s="85"/>
      <c r="Z69" s="85"/>
      <c r="AA69" s="74"/>
      <c r="AB69" s="66" t="s">
        <v>48</v>
      </c>
      <c r="AC69" s="76" t="s">
        <v>89</v>
      </c>
      <c r="AD69" s="76"/>
      <c r="AE69" s="71">
        <v>22</v>
      </c>
      <c r="AF69" s="71"/>
      <c r="AG69" s="66" t="s">
        <v>1193</v>
      </c>
      <c r="AH69" s="66" t="s">
        <v>1194</v>
      </c>
      <c r="AI69" s="89"/>
      <c r="AJ69" s="89"/>
      <c r="AK69" s="89"/>
      <c r="AL69" s="89"/>
      <c r="AM69" s="89"/>
      <c r="AN69" s="89"/>
      <c r="AO69" s="89"/>
      <c r="AP69" s="89"/>
      <c r="AQ69" s="89"/>
      <c r="AR69" s="89" t="s">
        <v>107</v>
      </c>
      <c r="AS69" s="89"/>
      <c r="AT69" s="89"/>
      <c r="AU69" s="89"/>
      <c r="AV69" s="89"/>
      <c r="AW69" s="89"/>
      <c r="AX69" s="89"/>
      <c r="AY69" s="89"/>
      <c r="AZ69" s="89"/>
      <c r="BA69" s="89"/>
      <c r="BB69" s="89"/>
      <c r="BC69" s="89"/>
      <c r="BD69" s="89"/>
      <c r="BF69" s="89" t="s">
        <v>107</v>
      </c>
      <c r="BH69" s="71" t="s">
        <v>889</v>
      </c>
    </row>
    <row r="70" spans="1:60" s="66" customFormat="1" ht="187.2" hidden="1" x14ac:dyDescent="0.3">
      <c r="A70" s="66">
        <v>66</v>
      </c>
      <c r="B70" s="71" t="s">
        <v>892</v>
      </c>
      <c r="C70" s="70" t="s">
        <v>1189</v>
      </c>
      <c r="D70" s="72" t="s">
        <v>891</v>
      </c>
      <c r="E70" s="71">
        <v>32</v>
      </c>
      <c r="F70" s="72" t="s">
        <v>40</v>
      </c>
      <c r="G70" s="72" t="s">
        <v>40</v>
      </c>
      <c r="H70" s="80" t="s">
        <v>60</v>
      </c>
      <c r="I70" s="85"/>
      <c r="J70" s="85"/>
      <c r="K70" s="85"/>
      <c r="L70" s="85"/>
      <c r="M70" s="85"/>
      <c r="N70" s="85"/>
      <c r="O70" s="85"/>
      <c r="P70" s="85"/>
      <c r="Q70" s="85"/>
      <c r="R70" s="85"/>
      <c r="S70" s="85"/>
      <c r="T70" s="85"/>
      <c r="U70" s="85"/>
      <c r="V70" s="85"/>
      <c r="W70" s="85"/>
      <c r="X70" s="85"/>
      <c r="Y70" s="85"/>
      <c r="Z70" s="85"/>
      <c r="AA70" s="74"/>
      <c r="AB70" s="66" t="s">
        <v>74</v>
      </c>
      <c r="AC70" s="76" t="s">
        <v>39</v>
      </c>
      <c r="AD70" s="76">
        <v>2</v>
      </c>
      <c r="AE70" s="71">
        <v>23</v>
      </c>
      <c r="AF70" s="71"/>
      <c r="AG70" s="66" t="s">
        <v>1203</v>
      </c>
      <c r="AH70" s="66" t="s">
        <v>1204</v>
      </c>
      <c r="AI70" s="89"/>
      <c r="AJ70" s="89"/>
      <c r="AK70" s="89"/>
      <c r="AL70" s="89"/>
      <c r="AM70" s="89"/>
      <c r="AN70" s="89"/>
      <c r="AO70" s="89"/>
      <c r="AP70" s="89"/>
      <c r="AQ70" s="89"/>
      <c r="AR70" s="89"/>
      <c r="AS70" s="89"/>
      <c r="AT70" s="89"/>
      <c r="AU70" s="89"/>
      <c r="AV70" s="89"/>
      <c r="AW70" s="89"/>
      <c r="AX70" s="89"/>
      <c r="AY70" s="89"/>
      <c r="AZ70" s="89"/>
      <c r="BA70" s="89"/>
      <c r="BB70" s="89"/>
      <c r="BC70" s="89"/>
      <c r="BD70" s="89" t="s">
        <v>107</v>
      </c>
      <c r="BE70" s="71" t="s">
        <v>895</v>
      </c>
      <c r="BF70" s="89" t="s">
        <v>60</v>
      </c>
      <c r="BG70" s="71"/>
      <c r="BH70" s="71" t="s">
        <v>895</v>
      </c>
    </row>
    <row r="71" spans="1:60" s="66" customFormat="1" ht="109.2" hidden="1" x14ac:dyDescent="0.3">
      <c r="A71" s="66">
        <v>67</v>
      </c>
      <c r="B71" s="71" t="s">
        <v>900</v>
      </c>
      <c r="C71" s="70" t="s">
        <v>1189</v>
      </c>
      <c r="D71" s="72" t="s">
        <v>891</v>
      </c>
      <c r="E71" s="71">
        <v>33</v>
      </c>
      <c r="F71" s="72" t="s">
        <v>66</v>
      </c>
      <c r="G71" s="72" t="s">
        <v>66</v>
      </c>
      <c r="H71" s="80" t="s">
        <v>60</v>
      </c>
      <c r="I71" s="85"/>
      <c r="J71" s="85"/>
      <c r="K71" s="85"/>
      <c r="L71" s="85"/>
      <c r="M71" s="85"/>
      <c r="N71" s="85"/>
      <c r="O71" s="85"/>
      <c r="P71" s="85"/>
      <c r="Q71" s="85"/>
      <c r="R71" s="85"/>
      <c r="S71" s="85"/>
      <c r="T71" s="85"/>
      <c r="U71" s="85"/>
      <c r="V71" s="85"/>
      <c r="W71" s="85"/>
      <c r="X71" s="85"/>
      <c r="Y71" s="85"/>
      <c r="Z71" s="85"/>
      <c r="AA71" s="74"/>
      <c r="AB71" s="66" t="s">
        <v>74</v>
      </c>
      <c r="AC71" s="76" t="s">
        <v>89</v>
      </c>
      <c r="AD71" s="76">
        <v>11</v>
      </c>
      <c r="AE71" s="71">
        <v>2</v>
      </c>
      <c r="AF71" s="71"/>
      <c r="AG71" s="66" t="s">
        <v>1193</v>
      </c>
      <c r="AH71" s="66" t="s">
        <v>162</v>
      </c>
      <c r="AI71" s="89"/>
      <c r="AJ71" s="89"/>
      <c r="AK71" s="89"/>
      <c r="AL71" s="89"/>
      <c r="AM71" s="89"/>
      <c r="AN71" s="89"/>
      <c r="AO71" s="89"/>
      <c r="AP71" s="89"/>
      <c r="AQ71" s="89"/>
      <c r="AR71" s="89"/>
      <c r="AS71" s="89"/>
      <c r="AT71" s="89"/>
      <c r="AU71" s="89"/>
      <c r="AV71" s="89"/>
      <c r="AW71" s="89"/>
      <c r="AX71" s="89"/>
      <c r="AY71" s="89"/>
      <c r="AZ71" s="89"/>
      <c r="BA71" s="89"/>
      <c r="BB71" s="89"/>
      <c r="BC71" s="89"/>
      <c r="BD71" s="89" t="s">
        <v>107</v>
      </c>
      <c r="BE71" s="71" t="s">
        <v>903</v>
      </c>
      <c r="BF71" s="89" t="s">
        <v>60</v>
      </c>
      <c r="BG71" s="71"/>
      <c r="BH71" s="71" t="s">
        <v>903</v>
      </c>
    </row>
    <row r="72" spans="1:60" s="66" customFormat="1" ht="62.4" hidden="1" x14ac:dyDescent="0.3">
      <c r="A72" s="66">
        <v>68</v>
      </c>
      <c r="B72" s="71" t="s">
        <v>909</v>
      </c>
      <c r="C72" s="70" t="s">
        <v>1189</v>
      </c>
      <c r="D72" s="72" t="s">
        <v>577</v>
      </c>
      <c r="E72" s="71">
        <v>30</v>
      </c>
      <c r="F72" s="72" t="s">
        <v>66</v>
      </c>
      <c r="G72" s="72" t="s">
        <v>231</v>
      </c>
      <c r="H72" s="80" t="s">
        <v>60</v>
      </c>
      <c r="I72" s="85"/>
      <c r="J72" s="85"/>
      <c r="K72" s="85"/>
      <c r="L72" s="85"/>
      <c r="M72" s="85"/>
      <c r="N72" s="85"/>
      <c r="O72" s="85"/>
      <c r="P72" s="85"/>
      <c r="Q72" s="85"/>
      <c r="R72" s="85"/>
      <c r="S72" s="85"/>
      <c r="T72" s="85"/>
      <c r="U72" s="85"/>
      <c r="V72" s="85"/>
      <c r="W72" s="85"/>
      <c r="X72" s="85"/>
      <c r="Y72" s="85"/>
      <c r="Z72" s="85"/>
      <c r="AA72" s="74"/>
      <c r="AB72" s="66" t="s">
        <v>48</v>
      </c>
      <c r="AC72" s="76" t="s">
        <v>89</v>
      </c>
      <c r="AD72" s="76"/>
      <c r="AE72" s="71"/>
      <c r="AF72" s="71">
        <v>3</v>
      </c>
      <c r="AG72" s="66" t="s">
        <v>1193</v>
      </c>
      <c r="AH72" s="66" t="s">
        <v>1193</v>
      </c>
      <c r="AI72" s="89"/>
      <c r="AJ72" s="89"/>
      <c r="AK72" s="89"/>
      <c r="AL72" s="89"/>
      <c r="AM72" s="89"/>
      <c r="AN72" s="89"/>
      <c r="AO72" s="89"/>
      <c r="AP72" s="89"/>
      <c r="AQ72" s="89"/>
      <c r="AR72" s="89"/>
      <c r="AS72" s="89"/>
      <c r="AT72" s="89"/>
      <c r="AU72" s="89"/>
      <c r="AV72" s="89"/>
      <c r="AW72" s="89"/>
      <c r="AX72" s="89"/>
      <c r="AY72" s="89"/>
      <c r="AZ72" s="89" t="s">
        <v>107</v>
      </c>
      <c r="BA72" s="89"/>
      <c r="BB72" s="89"/>
      <c r="BC72" s="89"/>
      <c r="BD72" s="89"/>
      <c r="BF72" s="89" t="s">
        <v>107</v>
      </c>
      <c r="BH72" s="71" t="s">
        <v>912</v>
      </c>
    </row>
    <row r="73" spans="1:60" s="66" customFormat="1" ht="62.4" hidden="1" x14ac:dyDescent="0.3">
      <c r="A73" s="66">
        <v>69</v>
      </c>
      <c r="B73" s="71" t="s">
        <v>921</v>
      </c>
      <c r="C73" s="70" t="s">
        <v>1190</v>
      </c>
      <c r="D73" s="72" t="s">
        <v>920</v>
      </c>
      <c r="E73" s="71">
        <v>33</v>
      </c>
      <c r="F73" s="72" t="s">
        <v>40</v>
      </c>
      <c r="G73" s="72" t="s">
        <v>40</v>
      </c>
      <c r="H73" s="80" t="s">
        <v>60</v>
      </c>
      <c r="I73" s="85"/>
      <c r="J73" s="85"/>
      <c r="K73" s="85"/>
      <c r="L73" s="85"/>
      <c r="M73" s="85"/>
      <c r="N73" s="85"/>
      <c r="O73" s="85"/>
      <c r="P73" s="85"/>
      <c r="Q73" s="85"/>
      <c r="R73" s="85"/>
      <c r="S73" s="85"/>
      <c r="T73" s="85"/>
      <c r="U73" s="85"/>
      <c r="V73" s="85"/>
      <c r="W73" s="85"/>
      <c r="X73" s="85"/>
      <c r="Y73" s="85"/>
      <c r="Z73" s="85"/>
      <c r="AA73" s="74"/>
      <c r="AB73" s="66" t="s">
        <v>48</v>
      </c>
      <c r="AC73" s="76" t="s">
        <v>39</v>
      </c>
      <c r="AD73" s="76">
        <v>3</v>
      </c>
      <c r="AE73" s="71">
        <v>19</v>
      </c>
      <c r="AF73" s="71"/>
      <c r="AG73" s="66" t="s">
        <v>1193</v>
      </c>
      <c r="AH73" s="66" t="s">
        <v>162</v>
      </c>
      <c r="AI73" s="89"/>
      <c r="AJ73" s="89"/>
      <c r="AK73" s="89"/>
      <c r="AL73" s="89"/>
      <c r="AM73" s="89"/>
      <c r="AN73" s="89"/>
      <c r="AO73" s="89"/>
      <c r="AP73" s="89"/>
      <c r="AQ73" s="89"/>
      <c r="AR73" s="89"/>
      <c r="AS73" s="89"/>
      <c r="AT73" s="89"/>
      <c r="AU73" s="89"/>
      <c r="AV73" s="89"/>
      <c r="AW73" s="89"/>
      <c r="AX73" s="89"/>
      <c r="AY73" s="89"/>
      <c r="AZ73" s="89"/>
      <c r="BA73" s="89"/>
      <c r="BB73" s="89"/>
      <c r="BC73" s="89" t="s">
        <v>107</v>
      </c>
      <c r="BD73" s="89"/>
      <c r="BF73" s="89" t="s">
        <v>60</v>
      </c>
      <c r="BH73" s="71" t="s">
        <v>925</v>
      </c>
    </row>
    <row r="74" spans="1:60" s="66" customFormat="1" ht="62.4" hidden="1" x14ac:dyDescent="0.3">
      <c r="A74" s="66">
        <v>70</v>
      </c>
      <c r="B74" s="71" t="s">
        <v>931</v>
      </c>
      <c r="C74" s="70" t="s">
        <v>1188</v>
      </c>
      <c r="D74" s="72" t="s">
        <v>37</v>
      </c>
      <c r="E74" s="71">
        <v>33</v>
      </c>
      <c r="F74" s="72" t="s">
        <v>66</v>
      </c>
      <c r="G74" s="72" t="s">
        <v>231</v>
      </c>
      <c r="H74" s="80" t="s">
        <v>107</v>
      </c>
      <c r="I74" s="85"/>
      <c r="J74" s="85"/>
      <c r="K74" s="85"/>
      <c r="L74" s="85"/>
      <c r="M74" s="85" t="s">
        <v>107</v>
      </c>
      <c r="N74" s="85"/>
      <c r="O74" s="85"/>
      <c r="P74" s="85"/>
      <c r="Q74" s="85"/>
      <c r="R74" s="85"/>
      <c r="S74" s="85"/>
      <c r="T74" s="85"/>
      <c r="U74" s="85"/>
      <c r="V74" s="85"/>
      <c r="W74" s="85"/>
      <c r="X74" s="85"/>
      <c r="Y74" s="85"/>
      <c r="Z74" s="85"/>
      <c r="AA74" s="74"/>
      <c r="AB74" s="66" t="s">
        <v>74</v>
      </c>
      <c r="AC74" s="76" t="s">
        <v>39</v>
      </c>
      <c r="AD74" s="76">
        <v>7</v>
      </c>
      <c r="AE74" s="71">
        <v>2</v>
      </c>
      <c r="AF74" s="71"/>
      <c r="AG74" s="66" t="s">
        <v>1203</v>
      </c>
      <c r="AH74" s="66" t="s">
        <v>1204</v>
      </c>
      <c r="AI74" s="89"/>
      <c r="AJ74" s="89"/>
      <c r="AK74" s="89"/>
      <c r="AL74" s="89"/>
      <c r="AM74" s="89"/>
      <c r="AN74" s="89" t="s">
        <v>107</v>
      </c>
      <c r="AO74" s="89"/>
      <c r="AP74" s="89"/>
      <c r="AQ74" s="89"/>
      <c r="AR74" s="89"/>
      <c r="AS74" s="89"/>
      <c r="AT74" s="89"/>
      <c r="AU74" s="89"/>
      <c r="AV74" s="89"/>
      <c r="AW74" s="89"/>
      <c r="AX74" s="89"/>
      <c r="AY74" s="89"/>
      <c r="AZ74" s="89"/>
      <c r="BA74" s="89"/>
      <c r="BB74" s="89"/>
      <c r="BC74" s="89"/>
      <c r="BD74" s="89"/>
      <c r="BF74" s="89" t="s">
        <v>60</v>
      </c>
      <c r="BH74" s="71" t="s">
        <v>935</v>
      </c>
    </row>
    <row r="75" spans="1:60" s="66" customFormat="1" ht="62.4" hidden="1" x14ac:dyDescent="0.3">
      <c r="A75" s="66">
        <v>71</v>
      </c>
      <c r="B75" s="71" t="s">
        <v>940</v>
      </c>
      <c r="C75" s="70" t="s">
        <v>1188</v>
      </c>
      <c r="D75" s="72" t="s">
        <v>142</v>
      </c>
      <c r="E75" s="71">
        <v>37</v>
      </c>
      <c r="F75" s="72" t="s">
        <v>66</v>
      </c>
      <c r="G75" s="72" t="s">
        <v>231</v>
      </c>
      <c r="H75" s="80" t="s">
        <v>60</v>
      </c>
      <c r="I75" s="85"/>
      <c r="J75" s="85"/>
      <c r="K75" s="85"/>
      <c r="L75" s="85"/>
      <c r="M75" s="85"/>
      <c r="N75" s="85"/>
      <c r="O75" s="85"/>
      <c r="P75" s="85"/>
      <c r="Q75" s="85"/>
      <c r="R75" s="85"/>
      <c r="S75" s="85"/>
      <c r="T75" s="85"/>
      <c r="U75" s="85"/>
      <c r="V75" s="85"/>
      <c r="W75" s="85"/>
      <c r="X75" s="85"/>
      <c r="Y75" s="85"/>
      <c r="Z75" s="85"/>
      <c r="AA75" s="74"/>
      <c r="AB75" s="66" t="s">
        <v>74</v>
      </c>
      <c r="AC75" s="76" t="s">
        <v>89</v>
      </c>
      <c r="AD75" s="76">
        <v>1</v>
      </c>
      <c r="AE75" s="71">
        <v>15</v>
      </c>
      <c r="AF75" s="71"/>
      <c r="AG75" s="66" t="s">
        <v>1193</v>
      </c>
      <c r="AH75" s="66" t="s">
        <v>162</v>
      </c>
      <c r="AI75" s="89"/>
      <c r="AJ75" s="89"/>
      <c r="AK75" s="89"/>
      <c r="AL75" s="89"/>
      <c r="AM75" s="89"/>
      <c r="AN75" s="89"/>
      <c r="AO75" s="89"/>
      <c r="AP75" s="89"/>
      <c r="AQ75" s="89" t="s">
        <v>107</v>
      </c>
      <c r="AR75" s="89"/>
      <c r="AS75" s="89"/>
      <c r="AT75" s="89"/>
      <c r="AU75" s="89"/>
      <c r="AV75" s="89"/>
      <c r="AW75" s="89"/>
      <c r="AX75" s="89"/>
      <c r="AY75" s="89"/>
      <c r="AZ75" s="89"/>
      <c r="BA75" s="89"/>
      <c r="BB75" s="89"/>
      <c r="BC75" s="89"/>
      <c r="BD75" s="89"/>
      <c r="BF75" s="89" t="s">
        <v>60</v>
      </c>
      <c r="BH75" s="71" t="s">
        <v>944</v>
      </c>
    </row>
    <row r="76" spans="1:60" s="66" customFormat="1" ht="78" hidden="1" x14ac:dyDescent="0.3">
      <c r="A76" s="66">
        <v>72</v>
      </c>
      <c r="B76" s="71" t="s">
        <v>952</v>
      </c>
      <c r="C76" s="70" t="s">
        <v>1189</v>
      </c>
      <c r="D76" s="72" t="s">
        <v>86</v>
      </c>
      <c r="E76" s="71">
        <v>29</v>
      </c>
      <c r="F76" s="72" t="s">
        <v>40</v>
      </c>
      <c r="G76" s="72" t="s">
        <v>40</v>
      </c>
      <c r="H76" s="80" t="s">
        <v>60</v>
      </c>
      <c r="I76" s="85"/>
      <c r="J76" s="85"/>
      <c r="K76" s="85"/>
      <c r="L76" s="85"/>
      <c r="M76" s="85"/>
      <c r="N76" s="85"/>
      <c r="O76" s="85"/>
      <c r="P76" s="85"/>
      <c r="Q76" s="85"/>
      <c r="R76" s="85"/>
      <c r="S76" s="85"/>
      <c r="T76" s="85"/>
      <c r="U76" s="85"/>
      <c r="V76" s="85"/>
      <c r="W76" s="85"/>
      <c r="X76" s="85"/>
      <c r="Y76" s="85"/>
      <c r="Z76" s="85"/>
      <c r="AA76" s="74"/>
      <c r="AB76" s="66" t="s">
        <v>74</v>
      </c>
      <c r="AC76" s="76" t="s">
        <v>89</v>
      </c>
      <c r="AD76" s="76"/>
      <c r="AE76" s="71">
        <v>2</v>
      </c>
      <c r="AF76" s="71"/>
      <c r="AG76" s="66" t="s">
        <v>1203</v>
      </c>
      <c r="AH76" s="66" t="s">
        <v>1204</v>
      </c>
      <c r="AI76" s="89" t="s">
        <v>107</v>
      </c>
      <c r="AJ76" s="89"/>
      <c r="AK76" s="89"/>
      <c r="AL76" s="89" t="s">
        <v>107</v>
      </c>
      <c r="AM76" s="89"/>
      <c r="AN76" s="89"/>
      <c r="AO76" s="89"/>
      <c r="AP76" s="89"/>
      <c r="AQ76" s="89"/>
      <c r="AR76" s="89"/>
      <c r="AS76" s="89" t="s">
        <v>107</v>
      </c>
      <c r="AT76" s="89"/>
      <c r="AU76" s="89"/>
      <c r="AV76" s="89"/>
      <c r="AW76" s="89"/>
      <c r="AX76" s="89"/>
      <c r="AY76" s="89"/>
      <c r="AZ76" s="89"/>
      <c r="BA76" s="89"/>
      <c r="BB76" s="89"/>
      <c r="BC76" s="89"/>
      <c r="BD76" s="89"/>
      <c r="BF76" s="89" t="s">
        <v>60</v>
      </c>
      <c r="BH76" s="71" t="s">
        <v>957</v>
      </c>
    </row>
    <row r="77" spans="1:60" s="66" customFormat="1" ht="78" hidden="1" x14ac:dyDescent="0.3">
      <c r="A77" s="66">
        <v>73</v>
      </c>
      <c r="B77" s="71" t="s">
        <v>964</v>
      </c>
      <c r="C77" s="70" t="s">
        <v>1189</v>
      </c>
      <c r="D77" s="72" t="s">
        <v>124</v>
      </c>
      <c r="E77" s="71">
        <v>26</v>
      </c>
      <c r="F77" s="72" t="s">
        <v>66</v>
      </c>
      <c r="G77" s="72" t="s">
        <v>66</v>
      </c>
      <c r="H77" s="80" t="s">
        <v>60</v>
      </c>
      <c r="I77" s="85"/>
      <c r="J77" s="85"/>
      <c r="K77" s="85"/>
      <c r="L77" s="85"/>
      <c r="M77" s="85"/>
      <c r="N77" s="85"/>
      <c r="O77" s="85"/>
      <c r="P77" s="85"/>
      <c r="Q77" s="85"/>
      <c r="R77" s="85"/>
      <c r="S77" s="85"/>
      <c r="T77" s="85"/>
      <c r="U77" s="85"/>
      <c r="V77" s="85"/>
      <c r="W77" s="85"/>
      <c r="X77" s="85"/>
      <c r="Y77" s="85"/>
      <c r="Z77" s="85"/>
      <c r="AA77" s="74"/>
      <c r="AB77" s="66" t="s">
        <v>48</v>
      </c>
      <c r="AC77" s="76" t="s">
        <v>89</v>
      </c>
      <c r="AD77" s="76"/>
      <c r="AE77" s="71">
        <v>10</v>
      </c>
      <c r="AF77" s="71"/>
      <c r="AG77" s="66" t="s">
        <v>1203</v>
      </c>
      <c r="AH77" s="66" t="s">
        <v>1204</v>
      </c>
      <c r="AI77" s="89"/>
      <c r="AJ77" s="89"/>
      <c r="AK77" s="89"/>
      <c r="AL77" s="89"/>
      <c r="AM77" s="89" t="s">
        <v>107</v>
      </c>
      <c r="AN77" s="89"/>
      <c r="AO77" s="89"/>
      <c r="AP77" s="89"/>
      <c r="AQ77" s="89"/>
      <c r="AR77" s="89"/>
      <c r="AS77" s="89" t="s">
        <v>107</v>
      </c>
      <c r="AT77" s="89"/>
      <c r="AU77" s="89"/>
      <c r="AV77" s="89"/>
      <c r="AW77" s="89"/>
      <c r="AX77" s="89"/>
      <c r="AY77" s="89"/>
      <c r="AZ77" s="89"/>
      <c r="BA77" s="89"/>
      <c r="BB77" s="89"/>
      <c r="BC77" s="89"/>
      <c r="BD77" s="89" t="s">
        <v>107</v>
      </c>
      <c r="BE77" s="66" t="s">
        <v>1234</v>
      </c>
      <c r="BF77" s="89" t="s">
        <v>107</v>
      </c>
      <c r="BH77" s="71" t="s">
        <v>968</v>
      </c>
    </row>
    <row r="78" spans="1:60" s="66" customFormat="1" ht="69" hidden="1" x14ac:dyDescent="0.3">
      <c r="A78" s="66">
        <v>74</v>
      </c>
      <c r="B78" s="71" t="s">
        <v>975</v>
      </c>
      <c r="C78" s="70" t="s">
        <v>1190</v>
      </c>
      <c r="D78" s="72" t="s">
        <v>157</v>
      </c>
      <c r="E78" s="71">
        <v>28</v>
      </c>
      <c r="F78" s="72" t="s">
        <v>40</v>
      </c>
      <c r="G78" s="72" t="s">
        <v>40</v>
      </c>
      <c r="H78" s="80" t="s">
        <v>107</v>
      </c>
      <c r="I78" s="85"/>
      <c r="J78" s="85"/>
      <c r="K78" s="85"/>
      <c r="L78" s="85"/>
      <c r="M78" s="85"/>
      <c r="N78" s="85"/>
      <c r="O78" s="85"/>
      <c r="P78" s="85"/>
      <c r="Q78" s="85"/>
      <c r="R78" s="85" t="s">
        <v>107</v>
      </c>
      <c r="S78" s="85"/>
      <c r="T78" s="85"/>
      <c r="U78" s="85"/>
      <c r="V78" s="85"/>
      <c r="W78" s="85"/>
      <c r="X78" s="85"/>
      <c r="Y78" s="85"/>
      <c r="Z78" s="85"/>
      <c r="AA78" s="74"/>
      <c r="AB78" s="66" t="s">
        <v>48</v>
      </c>
      <c r="AC78" s="76" t="s">
        <v>89</v>
      </c>
      <c r="AD78" s="76">
        <v>10</v>
      </c>
      <c r="AE78" s="71">
        <v>26</v>
      </c>
      <c r="AF78" s="71"/>
      <c r="AG78" s="66" t="s">
        <v>1193</v>
      </c>
      <c r="AH78" s="66" t="s">
        <v>1192</v>
      </c>
      <c r="AI78" s="89"/>
      <c r="AJ78" s="89"/>
      <c r="AK78" s="89"/>
      <c r="AL78" s="89"/>
      <c r="AM78" s="89"/>
      <c r="AN78" s="89"/>
      <c r="AO78" s="89"/>
      <c r="AP78" s="89"/>
      <c r="AQ78" s="89"/>
      <c r="AR78" s="89"/>
      <c r="AS78" s="89"/>
      <c r="AT78" s="89"/>
      <c r="AU78" s="89"/>
      <c r="AV78" s="89"/>
      <c r="AW78" s="89"/>
      <c r="AX78" s="89"/>
      <c r="AY78" s="89"/>
      <c r="AZ78" s="89"/>
      <c r="BA78" s="89"/>
      <c r="BB78" s="89"/>
      <c r="BC78" s="89"/>
      <c r="BD78" s="89" t="s">
        <v>107</v>
      </c>
      <c r="BE78" s="66" t="s">
        <v>980</v>
      </c>
      <c r="BF78" s="89" t="s">
        <v>60</v>
      </c>
      <c r="BH78" s="71" t="s">
        <v>980</v>
      </c>
    </row>
    <row r="79" spans="1:60" s="66" customFormat="1" ht="46.8" hidden="1" x14ac:dyDescent="0.3">
      <c r="A79" s="66">
        <v>75</v>
      </c>
      <c r="B79" s="71" t="s">
        <v>985</v>
      </c>
      <c r="C79" s="70" t="s">
        <v>1190</v>
      </c>
      <c r="D79" s="72" t="s">
        <v>400</v>
      </c>
      <c r="E79" s="71">
        <v>36</v>
      </c>
      <c r="F79" s="72" t="s">
        <v>66</v>
      </c>
      <c r="G79" s="72" t="s">
        <v>462</v>
      </c>
      <c r="H79" s="80" t="s">
        <v>107</v>
      </c>
      <c r="I79" s="85"/>
      <c r="J79" s="85"/>
      <c r="K79" s="85"/>
      <c r="L79" s="85"/>
      <c r="M79" s="85"/>
      <c r="N79" s="85"/>
      <c r="O79" s="85"/>
      <c r="P79" s="85"/>
      <c r="Q79" s="85"/>
      <c r="R79" s="85" t="s">
        <v>107</v>
      </c>
      <c r="S79" s="85"/>
      <c r="T79" s="85"/>
      <c r="U79" s="85"/>
      <c r="V79" s="85"/>
      <c r="W79" s="85"/>
      <c r="X79" s="85"/>
      <c r="Y79" s="85"/>
      <c r="Z79" s="85"/>
      <c r="AA79" s="74"/>
      <c r="AB79" s="66" t="s">
        <v>990</v>
      </c>
      <c r="AC79" s="76" t="s">
        <v>89</v>
      </c>
      <c r="AD79" s="76"/>
      <c r="AE79" s="71">
        <v>1</v>
      </c>
      <c r="AF79" s="71"/>
      <c r="AG79" s="66" t="s">
        <v>1193</v>
      </c>
      <c r="AH79" s="66" t="s">
        <v>1193</v>
      </c>
      <c r="AI79" s="89" t="s">
        <v>107</v>
      </c>
      <c r="AJ79" s="89" t="s">
        <v>107</v>
      </c>
      <c r="AK79" s="89"/>
      <c r="AL79" s="89"/>
      <c r="AM79" s="89"/>
      <c r="AN79" s="89"/>
      <c r="AO79" s="89"/>
      <c r="AP79" s="89"/>
      <c r="AQ79" s="89"/>
      <c r="AR79" s="89"/>
      <c r="AS79" s="89"/>
      <c r="AT79" s="89"/>
      <c r="AU79" s="89"/>
      <c r="AV79" s="89"/>
      <c r="AW79" s="89"/>
      <c r="AX79" s="89"/>
      <c r="AY79" s="89"/>
      <c r="AZ79" s="89"/>
      <c r="BA79" s="89"/>
      <c r="BB79" s="89"/>
      <c r="BC79" s="89"/>
      <c r="BD79" s="89"/>
      <c r="BF79" s="89" t="s">
        <v>60</v>
      </c>
      <c r="BH79" s="71" t="s">
        <v>989</v>
      </c>
    </row>
    <row r="80" spans="1:60" s="66" customFormat="1" ht="78" hidden="1" x14ac:dyDescent="0.3">
      <c r="A80" s="66">
        <v>76</v>
      </c>
      <c r="B80" s="71" t="s">
        <v>999</v>
      </c>
      <c r="C80" s="70" t="s">
        <v>1189</v>
      </c>
      <c r="D80" s="72" t="s">
        <v>124</v>
      </c>
      <c r="E80" s="71">
        <v>35</v>
      </c>
      <c r="F80" s="75" t="s">
        <v>40</v>
      </c>
      <c r="G80" s="75" t="s">
        <v>40</v>
      </c>
      <c r="H80" s="80" t="s">
        <v>60</v>
      </c>
      <c r="I80" s="85"/>
      <c r="J80" s="85"/>
      <c r="K80" s="85"/>
      <c r="L80" s="85"/>
      <c r="M80" s="85"/>
      <c r="N80" s="85"/>
      <c r="O80" s="85"/>
      <c r="P80" s="85"/>
      <c r="Q80" s="85"/>
      <c r="R80" s="85"/>
      <c r="S80" s="85"/>
      <c r="T80" s="85"/>
      <c r="U80" s="85"/>
      <c r="V80" s="85"/>
      <c r="W80" s="85"/>
      <c r="X80" s="85"/>
      <c r="Y80" s="85"/>
      <c r="Z80" s="85"/>
      <c r="AA80" s="74"/>
      <c r="AB80" s="66" t="s">
        <v>74</v>
      </c>
      <c r="AC80" s="76" t="s">
        <v>39</v>
      </c>
      <c r="AD80" s="76"/>
      <c r="AE80" s="71">
        <v>13</v>
      </c>
      <c r="AF80" s="71"/>
      <c r="AG80" s="66" t="s">
        <v>1252</v>
      </c>
      <c r="AH80" s="66" t="s">
        <v>1194</v>
      </c>
      <c r="AI80" s="89"/>
      <c r="AJ80" s="89"/>
      <c r="AK80" s="89"/>
      <c r="AL80" s="89"/>
      <c r="AM80" s="89"/>
      <c r="AN80" s="89"/>
      <c r="AO80" s="89"/>
      <c r="AP80" s="89"/>
      <c r="AQ80" s="89" t="s">
        <v>107</v>
      </c>
      <c r="AR80" s="89"/>
      <c r="AS80" s="89"/>
      <c r="AT80" s="89"/>
      <c r="AU80" s="89"/>
      <c r="AV80" s="89"/>
      <c r="AW80" s="89"/>
      <c r="AX80" s="89"/>
      <c r="AY80" s="89"/>
      <c r="AZ80" s="89"/>
      <c r="BA80" s="89"/>
      <c r="BB80" s="89"/>
      <c r="BC80" s="89"/>
      <c r="BD80" s="89"/>
      <c r="BF80" s="89" t="s">
        <v>60</v>
      </c>
      <c r="BH80" s="76" t="s">
        <v>1004</v>
      </c>
    </row>
    <row r="81" spans="1:60" s="66" customFormat="1" ht="140.4" hidden="1" x14ac:dyDescent="0.3">
      <c r="A81" s="66">
        <v>77</v>
      </c>
      <c r="B81" s="71" t="s">
        <v>1008</v>
      </c>
      <c r="C81" s="70" t="s">
        <v>1189</v>
      </c>
      <c r="D81" s="72" t="s">
        <v>86</v>
      </c>
      <c r="E81" s="71">
        <v>30</v>
      </c>
      <c r="F81" s="75" t="s">
        <v>66</v>
      </c>
      <c r="G81" s="75" t="s">
        <v>1009</v>
      </c>
      <c r="H81" s="80" t="s">
        <v>60</v>
      </c>
      <c r="I81" s="85"/>
      <c r="J81" s="85"/>
      <c r="K81" s="85"/>
      <c r="L81" s="85"/>
      <c r="M81" s="85"/>
      <c r="N81" s="85"/>
      <c r="O81" s="85"/>
      <c r="P81" s="85"/>
      <c r="Q81" s="85"/>
      <c r="R81" s="85"/>
      <c r="S81" s="85"/>
      <c r="T81" s="85"/>
      <c r="U81" s="85"/>
      <c r="V81" s="85"/>
      <c r="W81" s="85"/>
      <c r="X81" s="85"/>
      <c r="Y81" s="85"/>
      <c r="Z81" s="85"/>
      <c r="AA81" s="74"/>
      <c r="AB81" s="66" t="s">
        <v>1015</v>
      </c>
      <c r="AC81" s="76" t="s">
        <v>89</v>
      </c>
      <c r="AD81" s="76"/>
      <c r="AE81" s="71">
        <v>7</v>
      </c>
      <c r="AF81" s="71"/>
      <c r="AG81" s="66" t="s">
        <v>1203</v>
      </c>
      <c r="AH81" s="66" t="s">
        <v>1204</v>
      </c>
      <c r="AI81" s="89"/>
      <c r="AJ81" s="89"/>
      <c r="AK81" s="89"/>
      <c r="AL81" s="89"/>
      <c r="AM81" s="89"/>
      <c r="AN81" s="89"/>
      <c r="AO81" s="89"/>
      <c r="AP81" s="89"/>
      <c r="AQ81" s="89"/>
      <c r="AR81" s="89"/>
      <c r="AS81" s="89"/>
      <c r="AT81" s="89"/>
      <c r="AU81" s="89"/>
      <c r="AV81" s="89"/>
      <c r="AW81" s="89"/>
      <c r="AX81" s="89"/>
      <c r="AY81" s="89"/>
      <c r="AZ81" s="89"/>
      <c r="BA81" s="89"/>
      <c r="BB81" s="89"/>
      <c r="BC81" s="89"/>
      <c r="BD81" s="89" t="s">
        <v>107</v>
      </c>
      <c r="BE81" s="76" t="s">
        <v>1013</v>
      </c>
      <c r="BF81" s="89" t="s">
        <v>60</v>
      </c>
      <c r="BG81" s="76"/>
      <c r="BH81" s="76" t="s">
        <v>1013</v>
      </c>
    </row>
    <row r="82" spans="1:60" s="66" customFormat="1" ht="312" x14ac:dyDescent="0.3">
      <c r="A82" s="66">
        <v>78</v>
      </c>
      <c r="B82" s="71" t="s">
        <v>1020</v>
      </c>
      <c r="C82" s="70" t="s">
        <v>1189</v>
      </c>
      <c r="D82" s="72" t="s">
        <v>86</v>
      </c>
      <c r="E82" s="71">
        <v>37</v>
      </c>
      <c r="F82" s="75" t="s">
        <v>66</v>
      </c>
      <c r="G82" s="75" t="s">
        <v>1009</v>
      </c>
      <c r="H82" s="80" t="s">
        <v>60</v>
      </c>
      <c r="I82" s="85"/>
      <c r="J82" s="85"/>
      <c r="K82" s="85"/>
      <c r="L82" s="85"/>
      <c r="M82" s="85"/>
      <c r="N82" s="85"/>
      <c r="O82" s="85"/>
      <c r="P82" s="85"/>
      <c r="Q82" s="85"/>
      <c r="R82" s="85"/>
      <c r="S82" s="85"/>
      <c r="T82" s="85"/>
      <c r="U82" s="85"/>
      <c r="V82" s="85"/>
      <c r="W82" s="85"/>
      <c r="X82" s="85"/>
      <c r="Y82" s="85"/>
      <c r="Z82" s="85"/>
      <c r="AA82" s="74"/>
      <c r="AB82" s="66" t="s">
        <v>48</v>
      </c>
      <c r="AC82" s="76" t="s">
        <v>39</v>
      </c>
      <c r="AD82" s="76"/>
      <c r="AE82" s="71">
        <v>5</v>
      </c>
      <c r="AF82" s="71"/>
      <c r="AG82" s="66" t="s">
        <v>1203</v>
      </c>
      <c r="AH82" s="66" t="s">
        <v>1204</v>
      </c>
      <c r="AI82" s="89" t="s">
        <v>107</v>
      </c>
      <c r="AJ82" s="89"/>
      <c r="AK82" s="89"/>
      <c r="AL82" s="89"/>
      <c r="AM82" s="89" t="s">
        <v>107</v>
      </c>
      <c r="AN82" s="89"/>
      <c r="AO82" s="89"/>
      <c r="AP82" s="89"/>
      <c r="AQ82" s="89"/>
      <c r="AR82" s="89"/>
      <c r="AS82" s="89"/>
      <c r="AT82" s="89"/>
      <c r="AU82" s="89"/>
      <c r="AV82" s="89"/>
      <c r="AW82" s="89"/>
      <c r="AX82" s="89"/>
      <c r="AY82" s="89"/>
      <c r="AZ82" s="89"/>
      <c r="BA82" s="89"/>
      <c r="BB82" s="89"/>
      <c r="BC82" s="89"/>
      <c r="BD82" s="89" t="s">
        <v>107</v>
      </c>
      <c r="BE82" s="76" t="s">
        <v>1023</v>
      </c>
      <c r="BF82" s="89" t="s">
        <v>60</v>
      </c>
      <c r="BG82" s="76"/>
      <c r="BH82" s="76" t="s">
        <v>1023</v>
      </c>
    </row>
    <row r="83" spans="1:60" s="66" customFormat="1" ht="140.4" hidden="1" x14ac:dyDescent="0.3">
      <c r="A83" s="66">
        <v>79</v>
      </c>
      <c r="B83" s="71" t="s">
        <v>1033</v>
      </c>
      <c r="C83" s="70" t="s">
        <v>1189</v>
      </c>
      <c r="D83" s="72" t="s">
        <v>1032</v>
      </c>
      <c r="E83" s="71">
        <v>24</v>
      </c>
      <c r="F83" s="75" t="s">
        <v>40</v>
      </c>
      <c r="G83" s="75" t="s">
        <v>40</v>
      </c>
      <c r="H83" s="80" t="s">
        <v>60</v>
      </c>
      <c r="I83" s="85"/>
      <c r="J83" s="85"/>
      <c r="K83" s="85"/>
      <c r="L83" s="85"/>
      <c r="M83" s="85"/>
      <c r="N83" s="85"/>
      <c r="O83" s="85"/>
      <c r="P83" s="85"/>
      <c r="Q83" s="85"/>
      <c r="R83" s="85"/>
      <c r="S83" s="85"/>
      <c r="T83" s="85"/>
      <c r="U83" s="85"/>
      <c r="V83" s="85"/>
      <c r="W83" s="85"/>
      <c r="X83" s="85"/>
      <c r="Y83" s="85"/>
      <c r="Z83" s="85"/>
      <c r="AA83" s="74"/>
      <c r="AB83" s="66" t="s">
        <v>48</v>
      </c>
      <c r="AC83" s="76" t="s">
        <v>39</v>
      </c>
      <c r="AD83" s="76"/>
      <c r="AE83" s="71">
        <v>15</v>
      </c>
      <c r="AF83" s="71"/>
      <c r="AG83" s="66" t="s">
        <v>1192</v>
      </c>
      <c r="AH83" s="66" t="s">
        <v>1204</v>
      </c>
      <c r="AI83" s="89"/>
      <c r="AJ83" s="89"/>
      <c r="AK83" s="89"/>
      <c r="AL83" s="89"/>
      <c r="AM83" s="89"/>
      <c r="AN83" s="89"/>
      <c r="AO83" s="89"/>
      <c r="AP83" s="89"/>
      <c r="AQ83" s="89" t="s">
        <v>107</v>
      </c>
      <c r="AR83" s="89"/>
      <c r="AS83" s="89"/>
      <c r="AT83" s="89"/>
      <c r="AU83" s="89"/>
      <c r="AV83" s="89"/>
      <c r="AW83" s="89"/>
      <c r="AX83" s="89"/>
      <c r="AY83" s="89"/>
      <c r="AZ83" s="89"/>
      <c r="BA83" s="89"/>
      <c r="BB83" s="89"/>
      <c r="BC83" s="89"/>
      <c r="BD83" s="89" t="s">
        <v>107</v>
      </c>
      <c r="BE83" s="76" t="s">
        <v>1038</v>
      </c>
      <c r="BF83" s="89" t="s">
        <v>60</v>
      </c>
      <c r="BG83" s="76"/>
      <c r="BH83" s="76" t="s">
        <v>1038</v>
      </c>
    </row>
    <row r="84" spans="1:60" s="66" customFormat="1" ht="93.6" hidden="1" x14ac:dyDescent="0.3">
      <c r="A84" s="66">
        <v>80</v>
      </c>
      <c r="B84" s="71" t="s">
        <v>1046</v>
      </c>
      <c r="C84" s="70" t="s">
        <v>1189</v>
      </c>
      <c r="D84" s="72" t="s">
        <v>446</v>
      </c>
      <c r="E84" s="71">
        <v>30</v>
      </c>
      <c r="F84" s="75" t="s">
        <v>66</v>
      </c>
      <c r="G84" s="75" t="s">
        <v>1047</v>
      </c>
      <c r="H84" s="80" t="s">
        <v>60</v>
      </c>
      <c r="I84" s="85"/>
      <c r="J84" s="85"/>
      <c r="K84" s="85"/>
      <c r="L84" s="85"/>
      <c r="M84" s="85"/>
      <c r="N84" s="85"/>
      <c r="O84" s="85"/>
      <c r="P84" s="85"/>
      <c r="Q84" s="85"/>
      <c r="R84" s="85"/>
      <c r="S84" s="85"/>
      <c r="T84" s="85"/>
      <c r="U84" s="85"/>
      <c r="V84" s="85"/>
      <c r="W84" s="85"/>
      <c r="X84" s="85"/>
      <c r="Y84" s="85"/>
      <c r="Z84" s="85"/>
      <c r="AA84" s="74"/>
      <c r="AB84" s="66" t="s">
        <v>48</v>
      </c>
      <c r="AC84" s="76" t="s">
        <v>89</v>
      </c>
      <c r="AD84" s="76"/>
      <c r="AE84" s="71">
        <v>22</v>
      </c>
      <c r="AF84" s="71"/>
      <c r="AG84" s="66" t="s">
        <v>1192</v>
      </c>
      <c r="AH84" s="66" t="s">
        <v>1193</v>
      </c>
      <c r="AI84" s="89"/>
      <c r="AJ84" s="89"/>
      <c r="AK84" s="89"/>
      <c r="AL84" s="89"/>
      <c r="AM84" s="89"/>
      <c r="AN84" s="89"/>
      <c r="AO84" s="89"/>
      <c r="AP84" s="89"/>
      <c r="AQ84" s="89"/>
      <c r="AR84" s="89"/>
      <c r="AS84" s="89"/>
      <c r="AT84" s="89"/>
      <c r="AU84" s="89"/>
      <c r="AV84" s="89"/>
      <c r="AW84" s="89"/>
      <c r="AX84" s="89" t="s">
        <v>107</v>
      </c>
      <c r="AY84" s="89"/>
      <c r="AZ84" s="89"/>
      <c r="BA84" s="89"/>
      <c r="BB84" s="89"/>
      <c r="BC84" s="89"/>
      <c r="BD84" s="89"/>
      <c r="BF84" s="89" t="s">
        <v>60</v>
      </c>
      <c r="BH84" s="76" t="s">
        <v>1050</v>
      </c>
    </row>
    <row r="85" spans="1:60" s="66" customFormat="1" ht="109.2" hidden="1" x14ac:dyDescent="0.3">
      <c r="A85" s="66">
        <v>81</v>
      </c>
      <c r="B85" s="71" t="s">
        <v>1056</v>
      </c>
      <c r="C85" s="70" t="s">
        <v>1188</v>
      </c>
      <c r="D85" s="72" t="s">
        <v>1055</v>
      </c>
      <c r="E85" s="71">
        <v>30</v>
      </c>
      <c r="F85" s="75" t="s">
        <v>66</v>
      </c>
      <c r="G85" s="75" t="s">
        <v>1057</v>
      </c>
      <c r="H85" s="80" t="s">
        <v>60</v>
      </c>
      <c r="I85" s="85"/>
      <c r="J85" s="85"/>
      <c r="K85" s="85"/>
      <c r="L85" s="85"/>
      <c r="M85" s="85"/>
      <c r="N85" s="85"/>
      <c r="O85" s="85"/>
      <c r="P85" s="85"/>
      <c r="Q85" s="85"/>
      <c r="R85" s="85"/>
      <c r="S85" s="85"/>
      <c r="T85" s="85"/>
      <c r="U85" s="85"/>
      <c r="V85" s="85"/>
      <c r="W85" s="85"/>
      <c r="X85" s="85"/>
      <c r="Y85" s="85"/>
      <c r="Z85" s="85"/>
      <c r="AA85" s="74"/>
      <c r="AB85" s="66" t="s">
        <v>48</v>
      </c>
      <c r="AC85" s="76" t="s">
        <v>39</v>
      </c>
      <c r="AD85" s="76">
        <v>1</v>
      </c>
      <c r="AE85" s="71">
        <v>8</v>
      </c>
      <c r="AF85" s="71"/>
      <c r="AG85" s="66" t="s">
        <v>1203</v>
      </c>
      <c r="AH85" s="66" t="s">
        <v>1204</v>
      </c>
      <c r="AI85" s="89"/>
      <c r="AJ85" s="89"/>
      <c r="AK85" s="89" t="s">
        <v>107</v>
      </c>
      <c r="AL85" s="89"/>
      <c r="AM85" s="89"/>
      <c r="AN85" s="89"/>
      <c r="AO85" s="89"/>
      <c r="AP85" s="89"/>
      <c r="AQ85" s="89"/>
      <c r="AR85" s="89"/>
      <c r="AS85" s="89"/>
      <c r="AT85" s="89"/>
      <c r="AU85" s="89"/>
      <c r="AV85" s="89"/>
      <c r="AW85" s="89"/>
      <c r="AX85" s="89"/>
      <c r="AY85" s="89"/>
      <c r="AZ85" s="89"/>
      <c r="BA85" s="89"/>
      <c r="BB85" s="89"/>
      <c r="BC85" s="89"/>
      <c r="BD85" s="89" t="s">
        <v>107</v>
      </c>
      <c r="BE85" s="76" t="s">
        <v>1060</v>
      </c>
      <c r="BF85" s="89" t="s">
        <v>107</v>
      </c>
      <c r="BG85" s="76"/>
      <c r="BH85" s="76" t="s">
        <v>1060</v>
      </c>
    </row>
    <row r="86" spans="1:60" s="66" customFormat="1" ht="70.8" hidden="1" x14ac:dyDescent="0.3">
      <c r="A86" s="66">
        <v>82</v>
      </c>
      <c r="B86" s="71" t="s">
        <v>1069</v>
      </c>
      <c r="C86" s="70" t="s">
        <v>1190</v>
      </c>
      <c r="D86" s="72" t="s">
        <v>1068</v>
      </c>
      <c r="E86" s="71">
        <v>30</v>
      </c>
      <c r="F86" s="75" t="s">
        <v>66</v>
      </c>
      <c r="G86" s="75" t="s">
        <v>462</v>
      </c>
      <c r="H86" s="80" t="s">
        <v>60</v>
      </c>
      <c r="I86" s="85"/>
      <c r="J86" s="85"/>
      <c r="K86" s="85"/>
      <c r="L86" s="85"/>
      <c r="M86" s="85"/>
      <c r="N86" s="85"/>
      <c r="O86" s="85"/>
      <c r="P86" s="85"/>
      <c r="Q86" s="85"/>
      <c r="R86" s="85"/>
      <c r="S86" s="85"/>
      <c r="T86" s="85"/>
      <c r="U86" s="85"/>
      <c r="V86" s="85"/>
      <c r="W86" s="85"/>
      <c r="X86" s="85"/>
      <c r="Y86" s="85"/>
      <c r="Z86" s="85"/>
      <c r="AA86" s="74"/>
      <c r="AB86" s="66" t="s">
        <v>426</v>
      </c>
      <c r="AC86" s="76" t="s">
        <v>39</v>
      </c>
      <c r="AD86" s="76">
        <v>1</v>
      </c>
      <c r="AE86" s="71">
        <v>8</v>
      </c>
      <c r="AF86" s="71"/>
      <c r="AG86" s="66" t="s">
        <v>1193</v>
      </c>
      <c r="AH86" s="66" t="s">
        <v>1192</v>
      </c>
      <c r="AI86" s="89"/>
      <c r="AJ86" s="89"/>
      <c r="AK86" s="89"/>
      <c r="AL86" s="89"/>
      <c r="AM86" s="89"/>
      <c r="AN86" s="89"/>
      <c r="AO86" s="89"/>
      <c r="AP86" s="89"/>
      <c r="AQ86" s="89"/>
      <c r="AR86" s="89"/>
      <c r="AS86" s="89"/>
      <c r="AT86" s="89"/>
      <c r="AU86" s="89"/>
      <c r="AV86" s="89"/>
      <c r="AW86" s="89"/>
      <c r="AX86" s="89"/>
      <c r="AY86" s="89" t="s">
        <v>107</v>
      </c>
      <c r="AZ86" s="89"/>
      <c r="BA86" s="89"/>
      <c r="BB86" s="89"/>
      <c r="BC86" s="89"/>
      <c r="BD86" s="89"/>
      <c r="BF86" s="89" t="s">
        <v>107</v>
      </c>
      <c r="BH86" s="76" t="s">
        <v>1074</v>
      </c>
    </row>
    <row r="87" spans="1:60" ht="20.399999999999999" hidden="1" x14ac:dyDescent="0.3">
      <c r="I87" s="86">
        <f>+COUNTIF(I5:I86,"Yes")</f>
        <v>2</v>
      </c>
      <c r="J87" s="86">
        <f t="shared" ref="J87:AA87" si="0">+COUNTIF(J5:J86,"Yes")</f>
        <v>2</v>
      </c>
      <c r="K87" s="86">
        <f t="shared" si="0"/>
        <v>1</v>
      </c>
      <c r="L87" s="86">
        <f t="shared" si="0"/>
        <v>5</v>
      </c>
      <c r="M87" s="86">
        <f t="shared" si="0"/>
        <v>1</v>
      </c>
      <c r="N87" s="86">
        <f t="shared" si="0"/>
        <v>2</v>
      </c>
      <c r="O87" s="86">
        <f t="shared" si="0"/>
        <v>2</v>
      </c>
      <c r="P87" s="86">
        <f t="shared" si="0"/>
        <v>0</v>
      </c>
      <c r="Q87" s="86">
        <f t="shared" si="0"/>
        <v>1</v>
      </c>
      <c r="R87" s="86">
        <f t="shared" si="0"/>
        <v>11</v>
      </c>
      <c r="S87" s="86">
        <f t="shared" si="0"/>
        <v>0</v>
      </c>
      <c r="T87" s="86">
        <f t="shared" si="0"/>
        <v>0</v>
      </c>
      <c r="U87" s="86">
        <f t="shared" si="0"/>
        <v>0</v>
      </c>
      <c r="V87" s="86">
        <f t="shared" si="0"/>
        <v>0</v>
      </c>
      <c r="W87" s="86">
        <f t="shared" si="0"/>
        <v>0</v>
      </c>
      <c r="X87" s="86">
        <f t="shared" si="0"/>
        <v>0</v>
      </c>
      <c r="Y87" s="86">
        <f t="shared" si="0"/>
        <v>0</v>
      </c>
      <c r="Z87" s="86">
        <f t="shared" si="0"/>
        <v>5</v>
      </c>
      <c r="AA87" s="86">
        <f t="shared" si="0"/>
        <v>0</v>
      </c>
      <c r="AI87" s="86">
        <f t="shared" ref="AI87" si="1">+COUNTIF(AI5:AI86,"Yes")</f>
        <v>20</v>
      </c>
      <c r="AJ87" s="86">
        <f t="shared" ref="AJ87" si="2">+COUNTIF(AJ5:AJ86,"Yes")</f>
        <v>18</v>
      </c>
      <c r="AK87" s="86">
        <f t="shared" ref="AK87" si="3">+COUNTIF(AK5:AK86,"Yes")</f>
        <v>1</v>
      </c>
      <c r="AL87" s="86">
        <f t="shared" ref="AL87" si="4">+COUNTIF(AL5:AL86,"Yes")</f>
        <v>6</v>
      </c>
      <c r="AM87" s="86">
        <f t="shared" ref="AM87" si="5">+COUNTIF(AM5:AM86,"Yes")</f>
        <v>2</v>
      </c>
      <c r="AN87" s="86">
        <f t="shared" ref="AN87" si="6">+COUNTIF(AN5:AN86,"Yes")</f>
        <v>4</v>
      </c>
      <c r="AO87" s="86">
        <f t="shared" ref="AO87" si="7">+COUNTIF(AO5:AO86,"Yes")</f>
        <v>2</v>
      </c>
      <c r="AP87" s="86">
        <f t="shared" ref="AP87" si="8">+COUNTIF(AP5:AP86,"Yes")</f>
        <v>1</v>
      </c>
      <c r="AQ87" s="86">
        <f t="shared" ref="AQ87" si="9">+COUNTIF(AQ5:AQ86,"Yes")</f>
        <v>4</v>
      </c>
      <c r="AR87" s="86">
        <f t="shared" ref="AR87" si="10">+COUNTIF(AR5:AR86,"Yes")</f>
        <v>11</v>
      </c>
      <c r="AS87" s="86">
        <f t="shared" ref="AS87" si="11">+COUNTIF(AS5:AS86,"Yes")</f>
        <v>10</v>
      </c>
      <c r="AT87" s="86">
        <f t="shared" ref="AT87" si="12">+COUNTIF(AT5:AT86,"Yes")</f>
        <v>2</v>
      </c>
      <c r="AU87" s="86">
        <f t="shared" ref="AU87" si="13">+COUNTIF(AU5:AU86,"Yes")</f>
        <v>2</v>
      </c>
      <c r="AV87" s="86">
        <f t="shared" ref="AV87" si="14">+COUNTIF(AV5:AV86,"Yes")</f>
        <v>3</v>
      </c>
      <c r="AW87" s="86">
        <f t="shared" ref="AW87" si="15">+COUNTIF(AW5:AW86,"Yes")</f>
        <v>1</v>
      </c>
      <c r="AX87" s="86">
        <f t="shared" ref="AX87" si="16">+COUNTIF(AX5:AX86,"Yes")</f>
        <v>2</v>
      </c>
      <c r="AY87" s="86">
        <f t="shared" ref="AY87" si="17">+COUNTIF(AY5:AY86,"Yes")</f>
        <v>3</v>
      </c>
      <c r="AZ87" s="86">
        <f t="shared" ref="AZ87" si="18">+COUNTIF(AZ5:AZ86,"Yes")</f>
        <v>2</v>
      </c>
      <c r="BA87" s="86">
        <f t="shared" ref="BA87" si="19">+COUNTIF(BA5:BA86,"Yes")</f>
        <v>0</v>
      </c>
      <c r="BB87" s="86">
        <f t="shared" ref="BB87" si="20">+COUNTIF(BB5:BB86,"Yes")</f>
        <v>6</v>
      </c>
      <c r="BC87" s="86">
        <f t="shared" ref="BC87" si="21">+COUNTIF(BC5:BC86,"Yes")</f>
        <v>2</v>
      </c>
      <c r="BD87" s="86">
        <f t="shared" ref="BD87" si="22">+COUNTIF(BD5:BD86,"Yes")</f>
        <v>29</v>
      </c>
    </row>
  </sheetData>
  <autoFilter ref="A4:BH87" xr:uid="{00000000-0009-0000-0000-000002000000}">
    <filterColumn colId="34">
      <filters>
        <filter val="Yes"/>
      </filters>
    </filterColumn>
    <filterColumn colId="55">
      <customFilters>
        <customFilter operator="notEqual" val=" "/>
      </customFilters>
    </filterColumn>
  </autoFilter>
  <mergeCells count="59">
    <mergeCell ref="A2:A4"/>
    <mergeCell ref="BE2:BE4"/>
    <mergeCell ref="BF2:BF4"/>
    <mergeCell ref="Q3:Q4"/>
    <mergeCell ref="O3:O4"/>
    <mergeCell ref="L3:L4"/>
    <mergeCell ref="N3:N4"/>
    <mergeCell ref="M3:M4"/>
    <mergeCell ref="AG2:AG4"/>
    <mergeCell ref="AC2:AC4"/>
    <mergeCell ref="AH2:AH4"/>
    <mergeCell ref="BA3:BA4"/>
    <mergeCell ref="BB3:BB4"/>
    <mergeCell ref="BC3:BC4"/>
    <mergeCell ref="BD3:BD4"/>
    <mergeCell ref="AV3:AV4"/>
    <mergeCell ref="AW3:AW4"/>
    <mergeCell ref="AX3:AX4"/>
    <mergeCell ref="AY3:AY4"/>
    <mergeCell ref="AZ3:AZ4"/>
    <mergeCell ref="AI3:AI4"/>
    <mergeCell ref="AR3:AR4"/>
    <mergeCell ref="AS3:AS4"/>
    <mergeCell ref="AT3:AT4"/>
    <mergeCell ref="AU3:AU4"/>
    <mergeCell ref="AN3:AN4"/>
    <mergeCell ref="AM3:AM4"/>
    <mergeCell ref="AL3:AL4"/>
    <mergeCell ref="AK3:AK4"/>
    <mergeCell ref="AJ3:AJ4"/>
    <mergeCell ref="Z3:Z4"/>
    <mergeCell ref="AA3:AA4"/>
    <mergeCell ref="AD3:AD4"/>
    <mergeCell ref="AE3:AE4"/>
    <mergeCell ref="AF3:AF4"/>
    <mergeCell ref="AB2:AB4"/>
    <mergeCell ref="B2:B4"/>
    <mergeCell ref="E2:E4"/>
    <mergeCell ref="F2:F4"/>
    <mergeCell ref="AI2:BD2"/>
    <mergeCell ref="AO3:AQ3"/>
    <mergeCell ref="C2:C4"/>
    <mergeCell ref="D2:D4"/>
    <mergeCell ref="G2:G4"/>
    <mergeCell ref="H2:H4"/>
    <mergeCell ref="I3:I4"/>
    <mergeCell ref="J3:J4"/>
    <mergeCell ref="K3:K4"/>
    <mergeCell ref="P3:P4"/>
    <mergeCell ref="I2:AA2"/>
    <mergeCell ref="AD2:AF2"/>
    <mergeCell ref="R3:R4"/>
    <mergeCell ref="X3:X4"/>
    <mergeCell ref="Y3:Y4"/>
    <mergeCell ref="S3:S4"/>
    <mergeCell ref="T3:T4"/>
    <mergeCell ref="U3:U4"/>
    <mergeCell ref="V3:V4"/>
    <mergeCell ref="W3:W4"/>
  </mergeCells>
  <conditionalFormatting sqref="I5:AA86 AI5:BD86">
    <cfRule type="containsText" dxfId="1" priority="4" operator="containsText" text="Yes">
      <formula>NOT(ISERROR(SEARCH("Yes",I5)))</formula>
    </cfRule>
  </conditionalFormatting>
  <conditionalFormatting sqref="BF5:BF86">
    <cfRule type="containsText" dxfId="0" priority="1" operator="containsText" text="Yes">
      <formula>NOT(ISERROR(SEARCH("Yes",BF5)))</formula>
    </cfRule>
  </conditionalFormatting>
  <pageMargins left="0.70866141732283472" right="0.53" top="0.23622047244094491" bottom="0.31496062992125984" header="0.23622047244094491" footer="0.31496062992125984"/>
  <pageSetup paperSize="5" scale="11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sheetPr>
  <dimension ref="A1:BN63"/>
  <sheetViews>
    <sheetView topLeftCell="AQ1" zoomScale="70" zoomScaleNormal="70" workbookViewId="0">
      <selection activeCell="AZ21" sqref="AZ21"/>
    </sheetView>
  </sheetViews>
  <sheetFormatPr defaultColWidth="9.109375" defaultRowHeight="14.4" x14ac:dyDescent="0.3"/>
  <cols>
    <col min="1" max="1" width="9.6640625" style="102" hidden="1" customWidth="1"/>
    <col min="2" max="2" width="23.44140625" style="102" hidden="1" customWidth="1"/>
    <col min="3" max="3" width="21" style="103" customWidth="1"/>
    <col min="4" max="4" width="11" customWidth="1"/>
    <col min="5" max="5" width="10.5546875" customWidth="1"/>
    <col min="6" max="6" width="13.21875" customWidth="1"/>
    <col min="7" max="7" width="11.6640625" style="102" customWidth="1"/>
    <col min="8" max="8" width="7.21875" customWidth="1"/>
    <col min="9" max="9" width="9.44140625" style="102" customWidth="1"/>
    <col min="10" max="10" width="7.33203125" style="102" customWidth="1"/>
    <col min="11" max="11" width="8.21875" style="102" customWidth="1"/>
    <col min="12" max="12" width="7.109375" style="102" customWidth="1"/>
    <col min="13" max="13" width="9" style="102" customWidth="1"/>
    <col min="14" max="14" width="8.21875" style="102" customWidth="1"/>
    <col min="15" max="15" width="7.88671875" style="102" customWidth="1"/>
    <col min="16" max="16" width="13" style="102" bestFit="1" customWidth="1"/>
    <col min="17" max="17" width="20" style="102" bestFit="1" customWidth="1"/>
    <col min="18" max="18" width="26.33203125" style="102" bestFit="1" customWidth="1"/>
    <col min="19" max="19" width="41.33203125" style="102" bestFit="1" customWidth="1"/>
    <col min="20" max="20" width="23.109375" style="102" bestFit="1" customWidth="1"/>
    <col min="21" max="21" width="7.33203125" style="102" customWidth="1"/>
    <col min="22" max="22" width="16.88671875" style="102" bestFit="1" customWidth="1"/>
    <col min="23" max="23" width="26.33203125" style="102" bestFit="1" customWidth="1"/>
    <col min="24" max="24" width="8.109375" style="102" customWidth="1"/>
    <col min="25" max="25" width="17.44140625" style="102" bestFit="1" customWidth="1"/>
    <col min="26" max="26" width="7.21875" style="102" bestFit="1" customWidth="1"/>
    <col min="27" max="27" width="7.88671875" style="102" customWidth="1"/>
    <col min="28" max="28" width="35.77734375" style="102" bestFit="1" customWidth="1"/>
    <col min="29" max="29" width="18.88671875" style="102" customWidth="1"/>
    <col min="30" max="30" width="23.88671875" style="102" customWidth="1"/>
    <col min="31" max="31" width="24.21875" style="102" customWidth="1"/>
    <col min="32" max="32" width="13.44140625" style="102" customWidth="1"/>
    <col min="33" max="33" width="11.21875" style="102" customWidth="1"/>
    <col min="34" max="34" width="13" customWidth="1"/>
    <col min="35" max="35" width="14" customWidth="1"/>
    <col min="36" max="36" width="11.88671875" customWidth="1"/>
    <col min="37" max="37" width="34.88671875" customWidth="1"/>
    <col min="38" max="38" width="17.109375" customWidth="1"/>
    <col min="39" max="39" width="6.6640625" customWidth="1"/>
    <col min="40" max="40" width="5.5546875" customWidth="1"/>
    <col min="41" max="41" width="4" customWidth="1"/>
    <col min="42" max="42" width="4.109375" customWidth="1"/>
    <col min="43" max="43" width="11.5546875" bestFit="1" customWidth="1"/>
    <col min="44" max="44" width="11.6640625" bestFit="1" customWidth="1"/>
    <col min="45" max="45" width="16.109375" bestFit="1" customWidth="1"/>
    <col min="46" max="46" width="4" customWidth="1"/>
    <col min="47" max="47" width="4.6640625" customWidth="1"/>
    <col min="48" max="50" width="6" customWidth="1"/>
    <col min="51" max="51" width="8.88671875" customWidth="1"/>
    <col min="52" max="52" width="31.33203125" customWidth="1"/>
    <col min="53" max="53" width="26.33203125" bestFit="1" customWidth="1"/>
    <col min="54" max="54" width="13.5546875" bestFit="1" customWidth="1"/>
    <col min="55" max="55" width="16.77734375" bestFit="1" customWidth="1"/>
    <col min="56" max="56" width="6" customWidth="1"/>
    <col min="57" max="57" width="4.88671875" bestFit="1" customWidth="1"/>
    <col min="58" max="58" width="7.21875" bestFit="1" customWidth="1"/>
    <col min="59" max="59" width="18.5546875" bestFit="1" customWidth="1"/>
    <col min="60" max="61" width="16.77734375" hidden="1" customWidth="1"/>
    <col min="62" max="62" width="23.109375" hidden="1" customWidth="1"/>
    <col min="63" max="63" width="6.88671875" customWidth="1"/>
    <col min="64" max="64" width="36" customWidth="1"/>
    <col min="65" max="65" width="20.44140625" style="102" customWidth="1"/>
  </cols>
  <sheetData>
    <row r="1" spans="1:66" ht="31.2" x14ac:dyDescent="0.6">
      <c r="A1" s="167" t="s">
        <v>1358</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7"/>
      <c r="BH1" s="167"/>
      <c r="BI1" s="167"/>
      <c r="BJ1" s="167"/>
      <c r="BK1" s="167"/>
      <c r="BL1" s="167"/>
      <c r="BM1" s="167"/>
    </row>
    <row r="2" spans="1:66" s="95" customFormat="1" ht="25.2" customHeight="1" x14ac:dyDescent="0.3">
      <c r="H2" s="168" t="s">
        <v>1168</v>
      </c>
      <c r="I2" s="168"/>
      <c r="J2" s="168"/>
      <c r="K2" s="168"/>
      <c r="L2" s="168"/>
      <c r="M2" s="168"/>
      <c r="N2" s="168"/>
      <c r="O2" s="168"/>
      <c r="P2" s="168"/>
      <c r="Q2" s="168"/>
      <c r="R2" s="168"/>
      <c r="S2" s="168"/>
      <c r="T2" s="168"/>
      <c r="U2" s="168"/>
      <c r="V2" s="168"/>
      <c r="W2" s="168"/>
      <c r="X2" s="168"/>
      <c r="Y2" s="168"/>
      <c r="Z2" s="168"/>
      <c r="AA2" s="168"/>
      <c r="AB2" s="168"/>
      <c r="AJ2" s="168" t="s">
        <v>1209</v>
      </c>
      <c r="AK2" s="168"/>
      <c r="AL2" s="168"/>
      <c r="AM2" s="168"/>
      <c r="AN2" s="168"/>
      <c r="AO2" s="168"/>
      <c r="AP2" s="168"/>
      <c r="AQ2" s="168"/>
      <c r="AR2" s="168"/>
      <c r="AS2" s="168"/>
      <c r="AT2" s="168"/>
      <c r="AU2" s="168"/>
      <c r="AV2" s="168"/>
      <c r="AW2" s="168"/>
      <c r="AX2" s="168"/>
      <c r="AY2" s="168"/>
      <c r="AZ2" s="168"/>
      <c r="BA2" s="168"/>
      <c r="BB2" s="168"/>
      <c r="BC2" s="168"/>
      <c r="BD2" s="168"/>
      <c r="BE2" s="168"/>
      <c r="BF2" s="168"/>
      <c r="BG2" s="168"/>
      <c r="BH2" s="168"/>
      <c r="BI2" s="168"/>
      <c r="BJ2" s="168"/>
      <c r="BK2" s="168"/>
      <c r="BL2" s="94"/>
      <c r="BM2" s="94"/>
    </row>
    <row r="3" spans="1:66" s="95" customFormat="1" ht="26.4" customHeight="1" x14ac:dyDescent="0.3">
      <c r="A3" s="106" t="s">
        <v>1238</v>
      </c>
      <c r="B3" s="107" t="s">
        <v>3</v>
      </c>
      <c r="C3" s="112"/>
      <c r="D3" s="112"/>
      <c r="E3" s="112"/>
      <c r="F3" s="112"/>
      <c r="G3" s="112"/>
      <c r="H3" s="112"/>
      <c r="I3" s="112"/>
      <c r="J3" s="112"/>
      <c r="K3" s="112"/>
      <c r="L3" s="169" t="s">
        <v>1254</v>
      </c>
      <c r="M3" s="169"/>
      <c r="N3" s="169"/>
      <c r="O3" s="112"/>
      <c r="P3" s="112"/>
      <c r="U3" s="112"/>
      <c r="V3" s="112"/>
      <c r="X3" s="112"/>
      <c r="Y3" s="112"/>
      <c r="AA3" s="112"/>
      <c r="AC3" s="112"/>
      <c r="AD3" s="112"/>
      <c r="AE3" s="166" t="s">
        <v>1191</v>
      </c>
      <c r="AF3" s="166"/>
      <c r="AG3" s="166"/>
      <c r="AO3" s="166" t="s">
        <v>1196</v>
      </c>
      <c r="AP3" s="166"/>
      <c r="AQ3" s="166"/>
      <c r="AR3" t="s">
        <v>1205</v>
      </c>
      <c r="AS3"/>
      <c r="AT3"/>
      <c r="BN3"/>
    </row>
    <row r="4" spans="1:66" s="95" customFormat="1" ht="30.6" customHeight="1" x14ac:dyDescent="0.3">
      <c r="A4" s="106"/>
      <c r="B4" s="105"/>
      <c r="C4" s="110" t="s">
        <v>1171</v>
      </c>
      <c r="D4" s="113" t="s">
        <v>1172</v>
      </c>
      <c r="E4" s="113" t="s">
        <v>8</v>
      </c>
      <c r="F4" s="110" t="s">
        <v>7</v>
      </c>
      <c r="G4" s="110" t="s">
        <v>1167</v>
      </c>
      <c r="H4" s="110" t="s">
        <v>1248</v>
      </c>
      <c r="I4" s="110" t="s">
        <v>1249</v>
      </c>
      <c r="J4" s="110" t="s">
        <v>415</v>
      </c>
      <c r="K4" s="110" t="s">
        <v>1269</v>
      </c>
      <c r="L4" s="110" t="s">
        <v>1270</v>
      </c>
      <c r="M4" s="110" t="s">
        <v>1271</v>
      </c>
      <c r="N4" s="110" t="s">
        <v>1175</v>
      </c>
      <c r="O4" s="110" t="s">
        <v>1342</v>
      </c>
      <c r="P4" s="110" t="s">
        <v>370</v>
      </c>
      <c r="Q4" s="110" t="s">
        <v>1176</v>
      </c>
      <c r="R4" s="110" t="s">
        <v>1184</v>
      </c>
      <c r="S4" s="110" t="s">
        <v>1183</v>
      </c>
      <c r="T4" s="110" t="s">
        <v>1182</v>
      </c>
      <c r="U4" s="110" t="s">
        <v>1336</v>
      </c>
      <c r="V4" s="110" t="s">
        <v>1337</v>
      </c>
      <c r="W4" s="110" t="s">
        <v>1179</v>
      </c>
      <c r="X4" s="110" t="s">
        <v>1181</v>
      </c>
      <c r="Y4" s="110" t="s">
        <v>1340</v>
      </c>
      <c r="Z4" s="110" t="s">
        <v>1178</v>
      </c>
      <c r="AA4" s="110" t="s">
        <v>1177</v>
      </c>
      <c r="AB4" s="110" t="s">
        <v>1180</v>
      </c>
      <c r="AC4" s="110" t="s">
        <v>1169</v>
      </c>
      <c r="AD4" s="110" t="s">
        <v>1170</v>
      </c>
      <c r="AE4" s="110" t="s">
        <v>1185</v>
      </c>
      <c r="AF4" s="110" t="s">
        <v>1186</v>
      </c>
      <c r="AG4" s="110" t="s">
        <v>1187</v>
      </c>
      <c r="AH4" s="110" t="s">
        <v>10</v>
      </c>
      <c r="AI4" s="110" t="s">
        <v>1173</v>
      </c>
      <c r="AJ4" s="110" t="s">
        <v>1195</v>
      </c>
      <c r="AK4" s="110" t="s">
        <v>1359</v>
      </c>
      <c r="AL4" s="110" t="s">
        <v>1360</v>
      </c>
      <c r="AM4" s="110" t="s">
        <v>1361</v>
      </c>
      <c r="AN4" s="110" t="s">
        <v>1362</v>
      </c>
      <c r="AO4" s="110" t="s">
        <v>1349</v>
      </c>
      <c r="AP4" s="110" t="s">
        <v>1351</v>
      </c>
      <c r="AQ4" s="110" t="s">
        <v>1357</v>
      </c>
      <c r="AR4" s="110" t="s">
        <v>1208</v>
      </c>
      <c r="AS4" s="110" t="s">
        <v>1217</v>
      </c>
      <c r="AT4" s="110" t="s">
        <v>1216</v>
      </c>
      <c r="AU4" s="110" t="s">
        <v>1197</v>
      </c>
      <c r="AV4" s="110" t="s">
        <v>1210</v>
      </c>
      <c r="AW4" s="110" t="s">
        <v>1334</v>
      </c>
      <c r="AX4" s="110" t="s">
        <v>1202</v>
      </c>
      <c r="AY4" s="110" t="s">
        <v>1212</v>
      </c>
      <c r="AZ4" s="110" t="s">
        <v>1348</v>
      </c>
      <c r="BA4" s="110" t="s">
        <v>1213</v>
      </c>
      <c r="BB4" s="110" t="s">
        <v>1218</v>
      </c>
      <c r="BC4" s="110" t="s">
        <v>1214</v>
      </c>
      <c r="BD4" s="110" t="s">
        <v>343</v>
      </c>
      <c r="BE4" s="110" t="s">
        <v>1215</v>
      </c>
      <c r="BF4" s="110" t="s">
        <v>1178</v>
      </c>
      <c r="BG4" s="110" t="s">
        <v>1250</v>
      </c>
      <c r="BH4" s="110" t="s">
        <v>1225</v>
      </c>
      <c r="BI4" s="110" t="s">
        <v>343</v>
      </c>
      <c r="BJ4" s="110" t="s">
        <v>1232</v>
      </c>
      <c r="BK4" s="110" t="s">
        <v>1206</v>
      </c>
      <c r="BL4" s="111" t="s">
        <v>1328</v>
      </c>
      <c r="BM4" s="114" t="s">
        <v>1245</v>
      </c>
    </row>
    <row r="5" spans="1:66" s="96" customFormat="1" ht="33" customHeight="1" x14ac:dyDescent="0.3">
      <c r="A5" s="96">
        <v>1</v>
      </c>
      <c r="B5" s="97" t="s">
        <v>1081</v>
      </c>
      <c r="C5" s="110" t="s">
        <v>1188</v>
      </c>
      <c r="D5" s="110" t="s">
        <v>142</v>
      </c>
      <c r="E5" s="110" t="s">
        <v>66</v>
      </c>
      <c r="F5" s="110" t="s">
        <v>1082</v>
      </c>
      <c r="G5" s="108" t="s">
        <v>107</v>
      </c>
      <c r="H5" s="109" t="s">
        <v>60</v>
      </c>
      <c r="I5" s="109" t="s">
        <v>60</v>
      </c>
      <c r="J5" s="108" t="s">
        <v>60</v>
      </c>
      <c r="K5" s="108" t="s">
        <v>60</v>
      </c>
      <c r="L5" s="108" t="s">
        <v>60</v>
      </c>
      <c r="M5" s="108" t="s">
        <v>60</v>
      </c>
      <c r="N5" s="108" t="s">
        <v>60</v>
      </c>
      <c r="O5" s="108" t="s">
        <v>60</v>
      </c>
      <c r="P5" s="108" t="s">
        <v>107</v>
      </c>
      <c r="Q5" s="108" t="s">
        <v>60</v>
      </c>
      <c r="R5" s="108" t="s">
        <v>60</v>
      </c>
      <c r="S5" s="108" t="s">
        <v>60</v>
      </c>
      <c r="T5" s="108" t="s">
        <v>60</v>
      </c>
      <c r="U5" s="108" t="s">
        <v>60</v>
      </c>
      <c r="V5" s="108" t="s">
        <v>60</v>
      </c>
      <c r="W5" s="108" t="s">
        <v>60</v>
      </c>
      <c r="X5" s="108" t="s">
        <v>60</v>
      </c>
      <c r="Y5" s="108" t="s">
        <v>60</v>
      </c>
      <c r="Z5" s="108" t="s">
        <v>60</v>
      </c>
      <c r="AA5" s="108" t="s">
        <v>60</v>
      </c>
      <c r="AB5" s="108"/>
      <c r="AC5" s="110" t="s">
        <v>48</v>
      </c>
      <c r="AD5" s="110" t="s">
        <v>39</v>
      </c>
      <c r="AE5" s="108">
        <v>0</v>
      </c>
      <c r="AF5" s="108">
        <v>13</v>
      </c>
      <c r="AG5" s="108">
        <v>0</v>
      </c>
      <c r="AH5" t="s">
        <v>1203</v>
      </c>
      <c r="AI5" t="s">
        <v>1203</v>
      </c>
      <c r="AJ5" s="96" t="s">
        <v>107</v>
      </c>
      <c r="AK5" s="98" t="s">
        <v>60</v>
      </c>
      <c r="AL5" s="98" t="s">
        <v>60</v>
      </c>
      <c r="AM5" s="98" t="s">
        <v>107</v>
      </c>
      <c r="AN5" s="98" t="s">
        <v>60</v>
      </c>
      <c r="AO5" s="98" t="s">
        <v>60</v>
      </c>
      <c r="AP5" s="98" t="s">
        <v>60</v>
      </c>
      <c r="AQ5" s="96" t="s">
        <v>60</v>
      </c>
      <c r="AR5" s="96" t="s">
        <v>60</v>
      </c>
      <c r="AS5" s="98" t="s">
        <v>60</v>
      </c>
      <c r="AT5" s="96" t="s">
        <v>60</v>
      </c>
      <c r="AU5" s="96" t="s">
        <v>60</v>
      </c>
      <c r="AV5" s="96" t="s">
        <v>60</v>
      </c>
      <c r="AW5" s="96" t="s">
        <v>60</v>
      </c>
      <c r="AX5" s="98" t="s">
        <v>60</v>
      </c>
      <c r="AY5" s="98" t="s">
        <v>60</v>
      </c>
      <c r="AZ5" s="98" t="s">
        <v>60</v>
      </c>
      <c r="BA5" s="98" t="s">
        <v>60</v>
      </c>
      <c r="BB5" s="98" t="s">
        <v>60</v>
      </c>
      <c r="BC5" s="98" t="s">
        <v>60</v>
      </c>
      <c r="BD5" s="98" t="s">
        <v>60</v>
      </c>
      <c r="BE5" s="98" t="s">
        <v>60</v>
      </c>
      <c r="BF5" s="98" t="s">
        <v>60</v>
      </c>
      <c r="BG5" s="98" t="s">
        <v>60</v>
      </c>
      <c r="BH5" s="98"/>
      <c r="BI5" s="98"/>
      <c r="BJ5" s="98"/>
      <c r="BM5" s="96" t="s">
        <v>60</v>
      </c>
    </row>
    <row r="6" spans="1:66" s="96" customFormat="1" ht="25.8" customHeight="1" x14ac:dyDescent="0.3">
      <c r="A6" s="96">
        <v>2</v>
      </c>
      <c r="B6" s="97" t="s">
        <v>1235</v>
      </c>
      <c r="C6" s="110" t="s">
        <v>1189</v>
      </c>
      <c r="D6" s="110" t="s">
        <v>174</v>
      </c>
      <c r="E6" s="110" t="s">
        <v>40</v>
      </c>
      <c r="F6" s="110" t="s">
        <v>40</v>
      </c>
      <c r="G6" s="108" t="s">
        <v>107</v>
      </c>
      <c r="H6" s="109" t="s">
        <v>60</v>
      </c>
      <c r="I6" s="109" t="s">
        <v>60</v>
      </c>
      <c r="J6" s="108" t="s">
        <v>60</v>
      </c>
      <c r="K6" s="108" t="s">
        <v>107</v>
      </c>
      <c r="L6" s="108" t="s">
        <v>60</v>
      </c>
      <c r="M6" s="108" t="s">
        <v>60</v>
      </c>
      <c r="N6" s="108" t="s">
        <v>60</v>
      </c>
      <c r="O6" s="108" t="s">
        <v>60</v>
      </c>
      <c r="P6" s="108" t="s">
        <v>107</v>
      </c>
      <c r="Q6" s="108" t="s">
        <v>60</v>
      </c>
      <c r="R6" s="108" t="s">
        <v>60</v>
      </c>
      <c r="S6" s="108" t="s">
        <v>60</v>
      </c>
      <c r="T6" s="108" t="s">
        <v>60</v>
      </c>
      <c r="U6" s="108" t="s">
        <v>60</v>
      </c>
      <c r="V6" s="108" t="s">
        <v>60</v>
      </c>
      <c r="W6" s="108" t="s">
        <v>60</v>
      </c>
      <c r="X6" s="108" t="s">
        <v>60</v>
      </c>
      <c r="Y6" s="108" t="s">
        <v>60</v>
      </c>
      <c r="Z6" s="108" t="s">
        <v>60</v>
      </c>
      <c r="AA6" s="108" t="s">
        <v>60</v>
      </c>
      <c r="AB6" s="108"/>
      <c r="AC6" s="110" t="s">
        <v>48</v>
      </c>
      <c r="AD6" s="110" t="s">
        <v>89</v>
      </c>
      <c r="AE6" s="108">
        <v>2</v>
      </c>
      <c r="AF6" s="108">
        <v>3</v>
      </c>
      <c r="AG6" s="108">
        <v>0</v>
      </c>
      <c r="AH6" t="s">
        <v>1203</v>
      </c>
      <c r="AI6" t="s">
        <v>1203</v>
      </c>
      <c r="AJ6" s="96" t="s">
        <v>60</v>
      </c>
      <c r="AK6" s="98" t="s">
        <v>60</v>
      </c>
      <c r="AL6" s="98" t="s">
        <v>60</v>
      </c>
      <c r="AM6" s="98" t="s">
        <v>60</v>
      </c>
      <c r="AN6" s="98" t="s">
        <v>60</v>
      </c>
      <c r="AO6" s="98" t="s">
        <v>60</v>
      </c>
      <c r="AP6" s="98" t="s">
        <v>60</v>
      </c>
      <c r="AQ6" s="96" t="s">
        <v>60</v>
      </c>
      <c r="AR6" s="96" t="s">
        <v>60</v>
      </c>
      <c r="AS6" s="98" t="s">
        <v>60</v>
      </c>
      <c r="AT6" s="96" t="s">
        <v>60</v>
      </c>
      <c r="AU6" s="96" t="s">
        <v>60</v>
      </c>
      <c r="AV6" s="96" t="s">
        <v>60</v>
      </c>
      <c r="AW6" s="96" t="s">
        <v>60</v>
      </c>
      <c r="AX6" s="98" t="s">
        <v>60</v>
      </c>
      <c r="AY6" s="98" t="s">
        <v>60</v>
      </c>
      <c r="AZ6" s="98" t="s">
        <v>60</v>
      </c>
      <c r="BA6" s="98" t="s">
        <v>60</v>
      </c>
      <c r="BB6" s="98" t="s">
        <v>60</v>
      </c>
      <c r="BC6" s="98" t="s">
        <v>60</v>
      </c>
      <c r="BD6" s="98" t="s">
        <v>60</v>
      </c>
      <c r="BE6" s="98" t="s">
        <v>60</v>
      </c>
      <c r="BF6" s="98" t="s">
        <v>60</v>
      </c>
      <c r="BG6" s="98" t="s">
        <v>60</v>
      </c>
      <c r="BH6" s="98"/>
      <c r="BI6" s="98"/>
      <c r="BJ6" s="98"/>
      <c r="BK6" s="96" t="s">
        <v>107</v>
      </c>
      <c r="BL6" s="98" t="s">
        <v>1236</v>
      </c>
      <c r="BM6" s="96" t="s">
        <v>60</v>
      </c>
    </row>
    <row r="7" spans="1:66" s="99" customFormat="1" ht="28.2" customHeight="1" x14ac:dyDescent="0.3">
      <c r="A7" s="96">
        <v>3</v>
      </c>
      <c r="B7" s="97" t="s">
        <v>1092</v>
      </c>
      <c r="C7" s="110" t="s">
        <v>1190</v>
      </c>
      <c r="D7" s="110" t="s">
        <v>920</v>
      </c>
      <c r="E7" s="110" t="s">
        <v>1093</v>
      </c>
      <c r="F7" s="110" t="s">
        <v>1093</v>
      </c>
      <c r="G7" s="108" t="s">
        <v>107</v>
      </c>
      <c r="H7" s="109" t="s">
        <v>60</v>
      </c>
      <c r="I7" s="109" t="s">
        <v>60</v>
      </c>
      <c r="J7" s="111" t="s">
        <v>60</v>
      </c>
      <c r="K7" s="111" t="s">
        <v>60</v>
      </c>
      <c r="L7" s="111" t="s">
        <v>60</v>
      </c>
      <c r="M7" s="111" t="s">
        <v>60</v>
      </c>
      <c r="N7" s="111" t="s">
        <v>60</v>
      </c>
      <c r="O7" s="111" t="s">
        <v>60</v>
      </c>
      <c r="P7" s="111" t="s">
        <v>107</v>
      </c>
      <c r="Q7" s="111" t="s">
        <v>60</v>
      </c>
      <c r="R7" s="111" t="s">
        <v>60</v>
      </c>
      <c r="S7" s="111" t="s">
        <v>60</v>
      </c>
      <c r="T7" s="111" t="s">
        <v>60</v>
      </c>
      <c r="U7" s="111" t="s">
        <v>60</v>
      </c>
      <c r="V7" s="111" t="s">
        <v>60</v>
      </c>
      <c r="W7" s="111" t="s">
        <v>60</v>
      </c>
      <c r="X7" s="111" t="s">
        <v>60</v>
      </c>
      <c r="Y7" s="111" t="s">
        <v>60</v>
      </c>
      <c r="Z7" s="111" t="s">
        <v>60</v>
      </c>
      <c r="AA7" s="111" t="s">
        <v>60</v>
      </c>
      <c r="AB7" s="111"/>
      <c r="AC7" s="110" t="s">
        <v>48</v>
      </c>
      <c r="AD7" s="110" t="s">
        <v>89</v>
      </c>
      <c r="AE7" s="111">
        <v>0</v>
      </c>
      <c r="AF7" s="111">
        <v>3</v>
      </c>
      <c r="AG7" s="111">
        <v>0</v>
      </c>
      <c r="AH7" t="s">
        <v>1193</v>
      </c>
      <c r="AI7" t="s">
        <v>1193</v>
      </c>
      <c r="AJ7" s="96" t="s">
        <v>60</v>
      </c>
      <c r="AK7" s="96" t="s">
        <v>60</v>
      </c>
      <c r="AL7" s="96" t="s">
        <v>60</v>
      </c>
      <c r="AM7" s="96" t="s">
        <v>60</v>
      </c>
      <c r="AN7" s="96" t="s">
        <v>60</v>
      </c>
      <c r="AO7" s="96" t="s">
        <v>60</v>
      </c>
      <c r="AP7" s="96" t="s">
        <v>60</v>
      </c>
      <c r="AQ7" s="96" t="s">
        <v>60</v>
      </c>
      <c r="AR7" s="96" t="s">
        <v>60</v>
      </c>
      <c r="AS7" s="96" t="s">
        <v>60</v>
      </c>
      <c r="AT7" s="96" t="s">
        <v>60</v>
      </c>
      <c r="AU7" s="96" t="s">
        <v>60</v>
      </c>
      <c r="AV7" s="96" t="s">
        <v>60</v>
      </c>
      <c r="AW7" s="96" t="s">
        <v>60</v>
      </c>
      <c r="AX7" s="96" t="s">
        <v>60</v>
      </c>
      <c r="AY7" s="96" t="s">
        <v>60</v>
      </c>
      <c r="AZ7" s="96" t="s">
        <v>60</v>
      </c>
      <c r="BA7" s="96" t="s">
        <v>60</v>
      </c>
      <c r="BB7" s="96" t="s">
        <v>60</v>
      </c>
      <c r="BC7" s="96" t="s">
        <v>60</v>
      </c>
      <c r="BD7" s="96" t="s">
        <v>60</v>
      </c>
      <c r="BE7" s="96" t="s">
        <v>60</v>
      </c>
      <c r="BF7" s="96" t="s">
        <v>60</v>
      </c>
      <c r="BG7" s="96" t="s">
        <v>60</v>
      </c>
      <c r="BH7" s="96"/>
      <c r="BI7" s="96"/>
      <c r="BJ7" s="96"/>
      <c r="BK7" s="96" t="s">
        <v>107</v>
      </c>
      <c r="BL7" s="97" t="s">
        <v>1097</v>
      </c>
      <c r="BM7" s="96" t="s">
        <v>60</v>
      </c>
    </row>
    <row r="8" spans="1:66" s="99" customFormat="1" ht="23.4" customHeight="1" x14ac:dyDescent="0.3">
      <c r="A8" s="96">
        <v>4</v>
      </c>
      <c r="B8" s="97" t="s">
        <v>1103</v>
      </c>
      <c r="C8" s="110" t="s">
        <v>1188</v>
      </c>
      <c r="D8" s="110" t="s">
        <v>1102</v>
      </c>
      <c r="E8" s="110" t="s">
        <v>66</v>
      </c>
      <c r="F8" s="110" t="s">
        <v>1009</v>
      </c>
      <c r="G8" s="108" t="s">
        <v>107</v>
      </c>
      <c r="H8" s="111" t="s">
        <v>60</v>
      </c>
      <c r="I8" s="111" t="s">
        <v>107</v>
      </c>
      <c r="J8" s="111" t="s">
        <v>60</v>
      </c>
      <c r="K8" s="111" t="s">
        <v>60</v>
      </c>
      <c r="L8" s="111" t="s">
        <v>60</v>
      </c>
      <c r="M8" s="111" t="s">
        <v>60</v>
      </c>
      <c r="N8" s="111" t="s">
        <v>60</v>
      </c>
      <c r="O8" s="111" t="s">
        <v>60</v>
      </c>
      <c r="P8" s="111" t="s">
        <v>60</v>
      </c>
      <c r="Q8" s="111" t="s">
        <v>60</v>
      </c>
      <c r="R8" s="111" t="s">
        <v>60</v>
      </c>
      <c r="S8" s="111" t="s">
        <v>60</v>
      </c>
      <c r="T8" s="111" t="s">
        <v>60</v>
      </c>
      <c r="U8" s="111" t="s">
        <v>60</v>
      </c>
      <c r="V8" s="111" t="s">
        <v>60</v>
      </c>
      <c r="W8" s="111" t="s">
        <v>60</v>
      </c>
      <c r="X8" s="111" t="s">
        <v>60</v>
      </c>
      <c r="Y8" s="111" t="s">
        <v>60</v>
      </c>
      <c r="Z8" s="111" t="s">
        <v>60</v>
      </c>
      <c r="AA8" s="111" t="s">
        <v>60</v>
      </c>
      <c r="AB8" s="111"/>
      <c r="AC8" s="110" t="s">
        <v>74</v>
      </c>
      <c r="AD8" s="110" t="s">
        <v>39</v>
      </c>
      <c r="AE8" s="111">
        <v>2</v>
      </c>
      <c r="AF8" s="111">
        <v>8</v>
      </c>
      <c r="AG8" s="111">
        <v>0</v>
      </c>
      <c r="AH8" t="s">
        <v>1193</v>
      </c>
      <c r="AI8" t="s">
        <v>162</v>
      </c>
      <c r="AJ8" s="96" t="s">
        <v>60</v>
      </c>
      <c r="AK8" s="96" t="s">
        <v>60</v>
      </c>
      <c r="AL8" s="96" t="s">
        <v>60</v>
      </c>
      <c r="AM8" s="96" t="s">
        <v>60</v>
      </c>
      <c r="AN8" s="96" t="s">
        <v>60</v>
      </c>
      <c r="AO8" s="96" t="s">
        <v>60</v>
      </c>
      <c r="AP8" s="96" t="s">
        <v>60</v>
      </c>
      <c r="AQ8" s="96" t="s">
        <v>60</v>
      </c>
      <c r="AR8" s="96" t="s">
        <v>60</v>
      </c>
      <c r="AS8" s="96" t="s">
        <v>60</v>
      </c>
      <c r="AT8" s="96" t="s">
        <v>60</v>
      </c>
      <c r="AU8" s="96" t="s">
        <v>60</v>
      </c>
      <c r="AV8" s="96" t="s">
        <v>60</v>
      </c>
      <c r="AW8" s="96" t="s">
        <v>60</v>
      </c>
      <c r="AX8" s="96" t="s">
        <v>60</v>
      </c>
      <c r="AY8" s="96" t="s">
        <v>60</v>
      </c>
      <c r="AZ8" s="96" t="s">
        <v>60</v>
      </c>
      <c r="BA8" s="96" t="s">
        <v>60</v>
      </c>
      <c r="BB8" s="96" t="s">
        <v>60</v>
      </c>
      <c r="BC8" s="96" t="s">
        <v>60</v>
      </c>
      <c r="BD8" s="96" t="s">
        <v>60</v>
      </c>
      <c r="BE8" s="96" t="s">
        <v>107</v>
      </c>
      <c r="BF8" s="96" t="s">
        <v>60</v>
      </c>
      <c r="BG8" s="96" t="s">
        <v>60</v>
      </c>
      <c r="BH8" s="96"/>
      <c r="BI8" s="96"/>
      <c r="BJ8" s="96"/>
      <c r="BK8" s="96"/>
      <c r="BL8" s="96"/>
      <c r="BM8" s="96" t="s">
        <v>107</v>
      </c>
    </row>
    <row r="9" spans="1:66" s="99" customFormat="1" ht="30" customHeight="1" x14ac:dyDescent="0.3">
      <c r="A9" s="96">
        <v>5</v>
      </c>
      <c r="B9" s="97" t="s">
        <v>1113</v>
      </c>
      <c r="C9" s="110" t="s">
        <v>1188</v>
      </c>
      <c r="D9" s="110" t="s">
        <v>142</v>
      </c>
      <c r="E9" s="110" t="s">
        <v>66</v>
      </c>
      <c r="F9" s="110" t="s">
        <v>1082</v>
      </c>
      <c r="G9" s="108" t="s">
        <v>107</v>
      </c>
      <c r="H9" s="109" t="s">
        <v>60</v>
      </c>
      <c r="I9" s="109" t="s">
        <v>60</v>
      </c>
      <c r="J9" s="111" t="s">
        <v>60</v>
      </c>
      <c r="K9" s="111" t="s">
        <v>60</v>
      </c>
      <c r="L9" s="111" t="s">
        <v>60</v>
      </c>
      <c r="M9" s="111" t="s">
        <v>60</v>
      </c>
      <c r="N9" s="111" t="s">
        <v>60</v>
      </c>
      <c r="O9" s="111" t="s">
        <v>60</v>
      </c>
      <c r="P9" s="111" t="s">
        <v>60</v>
      </c>
      <c r="Q9" s="111" t="s">
        <v>60</v>
      </c>
      <c r="R9" s="111" t="s">
        <v>60</v>
      </c>
      <c r="S9" s="111" t="s">
        <v>60</v>
      </c>
      <c r="T9" s="111" t="s">
        <v>60</v>
      </c>
      <c r="U9" s="111" t="s">
        <v>60</v>
      </c>
      <c r="V9" s="111" t="s">
        <v>60</v>
      </c>
      <c r="W9" s="111" t="s">
        <v>60</v>
      </c>
      <c r="X9" s="111" t="s">
        <v>107</v>
      </c>
      <c r="Y9" s="111" t="s">
        <v>60</v>
      </c>
      <c r="Z9" s="111" t="s">
        <v>60</v>
      </c>
      <c r="AA9" s="111" t="s">
        <v>60</v>
      </c>
      <c r="AB9" s="111"/>
      <c r="AC9" s="110" t="s">
        <v>48</v>
      </c>
      <c r="AD9" s="110" t="s">
        <v>89</v>
      </c>
      <c r="AE9" s="111">
        <v>0</v>
      </c>
      <c r="AF9" s="111">
        <v>8</v>
      </c>
      <c r="AG9" s="111">
        <v>0</v>
      </c>
      <c r="AH9" t="s">
        <v>1193</v>
      </c>
      <c r="AI9" t="s">
        <v>1193</v>
      </c>
      <c r="AJ9" s="96" t="s">
        <v>107</v>
      </c>
      <c r="AK9" s="97" t="s">
        <v>107</v>
      </c>
      <c r="AL9" s="96" t="s">
        <v>60</v>
      </c>
      <c r="AM9" s="96" t="s">
        <v>60</v>
      </c>
      <c r="AN9" s="96" t="s">
        <v>60</v>
      </c>
      <c r="AO9" s="96" t="s">
        <v>60</v>
      </c>
      <c r="AP9" s="96" t="s">
        <v>60</v>
      </c>
      <c r="AQ9" s="96" t="s">
        <v>60</v>
      </c>
      <c r="AR9" s="96" t="s">
        <v>60</v>
      </c>
      <c r="AS9" s="96" t="s">
        <v>60</v>
      </c>
      <c r="AT9" s="96" t="s">
        <v>60</v>
      </c>
      <c r="AU9" s="96" t="s">
        <v>107</v>
      </c>
      <c r="AV9" s="96" t="s">
        <v>60</v>
      </c>
      <c r="AW9" s="96" t="s">
        <v>60</v>
      </c>
      <c r="AX9" s="96" t="s">
        <v>60</v>
      </c>
      <c r="AY9" s="96" t="s">
        <v>60</v>
      </c>
      <c r="AZ9" s="96" t="s">
        <v>60</v>
      </c>
      <c r="BA9" s="96" t="s">
        <v>60</v>
      </c>
      <c r="BB9" s="96" t="s">
        <v>60</v>
      </c>
      <c r="BC9" s="96" t="s">
        <v>60</v>
      </c>
      <c r="BD9" s="96" t="s">
        <v>60</v>
      </c>
      <c r="BE9" s="96" t="s">
        <v>60</v>
      </c>
      <c r="BF9" s="96" t="s">
        <v>60</v>
      </c>
      <c r="BG9" s="96" t="s">
        <v>60</v>
      </c>
      <c r="BH9" s="96"/>
      <c r="BI9" s="96"/>
      <c r="BJ9" s="96"/>
      <c r="BK9" s="96"/>
      <c r="BL9" s="96"/>
      <c r="BM9" s="96" t="s">
        <v>60</v>
      </c>
    </row>
    <row r="10" spans="1:66" s="99" customFormat="1" ht="31.2" customHeight="1" x14ac:dyDescent="0.3">
      <c r="A10" s="96">
        <v>6</v>
      </c>
      <c r="B10" s="97" t="s">
        <v>1124</v>
      </c>
      <c r="C10" s="110" t="s">
        <v>1188</v>
      </c>
      <c r="D10" s="110" t="s">
        <v>1123</v>
      </c>
      <c r="E10" s="110" t="s">
        <v>66</v>
      </c>
      <c r="F10" s="110" t="s">
        <v>1082</v>
      </c>
      <c r="G10" s="108" t="s">
        <v>60</v>
      </c>
      <c r="H10" s="109" t="s">
        <v>60</v>
      </c>
      <c r="I10" s="109" t="s">
        <v>60</v>
      </c>
      <c r="J10" s="111" t="s">
        <v>60</v>
      </c>
      <c r="K10" s="111" t="s">
        <v>60</v>
      </c>
      <c r="L10" s="111" t="s">
        <v>60</v>
      </c>
      <c r="M10" s="111" t="s">
        <v>60</v>
      </c>
      <c r="N10" s="111" t="s">
        <v>60</v>
      </c>
      <c r="O10" s="111" t="s">
        <v>60</v>
      </c>
      <c r="P10" s="111" t="s">
        <v>60</v>
      </c>
      <c r="Q10" s="111" t="s">
        <v>60</v>
      </c>
      <c r="R10" s="111" t="s">
        <v>60</v>
      </c>
      <c r="S10" s="111" t="s">
        <v>60</v>
      </c>
      <c r="T10" s="111" t="s">
        <v>60</v>
      </c>
      <c r="U10" s="111" t="s">
        <v>60</v>
      </c>
      <c r="V10" s="111" t="s">
        <v>60</v>
      </c>
      <c r="W10" s="111" t="s">
        <v>60</v>
      </c>
      <c r="X10" s="111" t="s">
        <v>60</v>
      </c>
      <c r="Y10" s="111" t="s">
        <v>60</v>
      </c>
      <c r="Z10" s="111" t="s">
        <v>60</v>
      </c>
      <c r="AA10" s="111" t="s">
        <v>60</v>
      </c>
      <c r="AB10" s="111"/>
      <c r="AC10" s="110" t="s">
        <v>48</v>
      </c>
      <c r="AD10" s="110" t="s">
        <v>89</v>
      </c>
      <c r="AE10" s="111">
        <v>0</v>
      </c>
      <c r="AF10" s="111">
        <v>3</v>
      </c>
      <c r="AG10" s="111">
        <v>0</v>
      </c>
      <c r="AH10" t="s">
        <v>1203</v>
      </c>
      <c r="AI10" t="s">
        <v>162</v>
      </c>
      <c r="AJ10" s="96" t="s">
        <v>60</v>
      </c>
      <c r="AK10" s="96" t="s">
        <v>60</v>
      </c>
      <c r="AL10" s="96" t="s">
        <v>60</v>
      </c>
      <c r="AM10" s="96" t="s">
        <v>107</v>
      </c>
      <c r="AN10" s="96" t="s">
        <v>60</v>
      </c>
      <c r="AO10" s="96" t="s">
        <v>60</v>
      </c>
      <c r="AP10" s="96" t="s">
        <v>60</v>
      </c>
      <c r="AQ10" s="96" t="s">
        <v>60</v>
      </c>
      <c r="AR10" s="96" t="s">
        <v>60</v>
      </c>
      <c r="AS10" s="96" t="s">
        <v>60</v>
      </c>
      <c r="AT10" s="96" t="s">
        <v>60</v>
      </c>
      <c r="AU10" s="96" t="s">
        <v>60</v>
      </c>
      <c r="AV10" s="96" t="s">
        <v>60</v>
      </c>
      <c r="AW10" s="96" t="s">
        <v>60</v>
      </c>
      <c r="AX10" s="96" t="s">
        <v>60</v>
      </c>
      <c r="AY10" s="96" t="s">
        <v>60</v>
      </c>
      <c r="AZ10" s="96" t="s">
        <v>60</v>
      </c>
      <c r="BA10" s="96" t="s">
        <v>60</v>
      </c>
      <c r="BB10" s="96" t="s">
        <v>60</v>
      </c>
      <c r="BC10" s="96" t="s">
        <v>60</v>
      </c>
      <c r="BD10" s="96" t="s">
        <v>60</v>
      </c>
      <c r="BE10" s="96" t="s">
        <v>60</v>
      </c>
      <c r="BF10" s="96" t="s">
        <v>60</v>
      </c>
      <c r="BG10" s="96" t="s">
        <v>60</v>
      </c>
      <c r="BH10" s="96"/>
      <c r="BI10" s="96"/>
      <c r="BJ10" s="96"/>
      <c r="BK10" s="96"/>
      <c r="BL10" s="96"/>
      <c r="BM10" s="96" t="s">
        <v>60</v>
      </c>
    </row>
    <row r="11" spans="1:66" s="99" customFormat="1" ht="26.4" customHeight="1" x14ac:dyDescent="0.3">
      <c r="A11" s="96">
        <v>7</v>
      </c>
      <c r="B11" s="97" t="s">
        <v>1132</v>
      </c>
      <c r="C11" s="110" t="s">
        <v>1189</v>
      </c>
      <c r="D11" s="110" t="s">
        <v>445</v>
      </c>
      <c r="E11" s="110" t="s">
        <v>40</v>
      </c>
      <c r="F11" s="110" t="s">
        <v>40</v>
      </c>
      <c r="G11" s="108" t="s">
        <v>60</v>
      </c>
      <c r="H11" s="109" t="s">
        <v>60</v>
      </c>
      <c r="I11" s="109" t="s">
        <v>60</v>
      </c>
      <c r="J11" s="111" t="s">
        <v>60</v>
      </c>
      <c r="K11" s="111" t="s">
        <v>60</v>
      </c>
      <c r="L11" s="111" t="s">
        <v>60</v>
      </c>
      <c r="M11" s="111" t="s">
        <v>60</v>
      </c>
      <c r="N11" s="111" t="s">
        <v>60</v>
      </c>
      <c r="O11" s="111" t="s">
        <v>60</v>
      </c>
      <c r="P11" s="111" t="s">
        <v>60</v>
      </c>
      <c r="Q11" s="111" t="s">
        <v>60</v>
      </c>
      <c r="R11" s="111" t="s">
        <v>60</v>
      </c>
      <c r="S11" s="111" t="s">
        <v>60</v>
      </c>
      <c r="T11" s="111" t="s">
        <v>60</v>
      </c>
      <c r="U11" s="111" t="s">
        <v>60</v>
      </c>
      <c r="V11" s="111" t="s">
        <v>60</v>
      </c>
      <c r="W11" s="111" t="s">
        <v>60</v>
      </c>
      <c r="X11" s="111" t="s">
        <v>60</v>
      </c>
      <c r="Y11" s="111" t="s">
        <v>60</v>
      </c>
      <c r="Z11" s="111" t="s">
        <v>60</v>
      </c>
      <c r="AA11" s="111" t="s">
        <v>60</v>
      </c>
      <c r="AB11" s="111"/>
      <c r="AC11" s="110" t="s">
        <v>74</v>
      </c>
      <c r="AD11" s="110" t="s">
        <v>89</v>
      </c>
      <c r="AE11" s="111">
        <v>2</v>
      </c>
      <c r="AF11" s="111">
        <v>0</v>
      </c>
      <c r="AG11" s="111">
        <v>0</v>
      </c>
      <c r="AH11" t="s">
        <v>1192</v>
      </c>
      <c r="AI11" t="s">
        <v>1192</v>
      </c>
      <c r="AJ11" s="96" t="s">
        <v>60</v>
      </c>
      <c r="AK11" s="96" t="s">
        <v>60</v>
      </c>
      <c r="AL11" s="96" t="s">
        <v>60</v>
      </c>
      <c r="AM11" s="96" t="s">
        <v>60</v>
      </c>
      <c r="AN11" s="96" t="s">
        <v>60</v>
      </c>
      <c r="AO11" s="96" t="s">
        <v>60</v>
      </c>
      <c r="AP11" s="96" t="s">
        <v>60</v>
      </c>
      <c r="AQ11" s="96" t="s">
        <v>60</v>
      </c>
      <c r="AR11" s="96" t="s">
        <v>60</v>
      </c>
      <c r="AS11" s="96" t="s">
        <v>60</v>
      </c>
      <c r="AT11" s="96" t="s">
        <v>107</v>
      </c>
      <c r="AU11" s="96" t="s">
        <v>60</v>
      </c>
      <c r="AV11" s="96" t="s">
        <v>60</v>
      </c>
      <c r="AW11" s="96" t="s">
        <v>60</v>
      </c>
      <c r="AX11" s="96" t="s">
        <v>60</v>
      </c>
      <c r="AY11" s="96" t="s">
        <v>60</v>
      </c>
      <c r="AZ11" s="96" t="s">
        <v>60</v>
      </c>
      <c r="BA11" s="96" t="s">
        <v>60</v>
      </c>
      <c r="BB11" s="96" t="s">
        <v>60</v>
      </c>
      <c r="BC11" s="96" t="s">
        <v>60</v>
      </c>
      <c r="BD11" s="96" t="s">
        <v>60</v>
      </c>
      <c r="BE11" s="96" t="s">
        <v>60</v>
      </c>
      <c r="BF11" s="96" t="s">
        <v>60</v>
      </c>
      <c r="BG11" s="96" t="s">
        <v>60</v>
      </c>
      <c r="BH11" s="96"/>
      <c r="BI11" s="96"/>
      <c r="BJ11" s="96"/>
      <c r="BK11" s="96"/>
      <c r="BL11" s="96"/>
      <c r="BM11" s="96" t="s">
        <v>60</v>
      </c>
    </row>
    <row r="12" spans="1:66" s="99" customFormat="1" ht="25.8" customHeight="1" x14ac:dyDescent="0.3">
      <c r="A12" s="96">
        <v>8</v>
      </c>
      <c r="B12" s="97" t="s">
        <v>1143</v>
      </c>
      <c r="C12" s="110" t="s">
        <v>1190</v>
      </c>
      <c r="D12" s="110" t="s">
        <v>1142</v>
      </c>
      <c r="E12" s="110" t="s">
        <v>66</v>
      </c>
      <c r="F12" s="110" t="s">
        <v>1144</v>
      </c>
      <c r="G12" s="108" t="s">
        <v>107</v>
      </c>
      <c r="H12" s="109" t="s">
        <v>60</v>
      </c>
      <c r="I12" s="109" t="s">
        <v>60</v>
      </c>
      <c r="J12" s="111" t="s">
        <v>60</v>
      </c>
      <c r="K12" s="111" t="s">
        <v>60</v>
      </c>
      <c r="L12" s="111" t="s">
        <v>60</v>
      </c>
      <c r="M12" s="111" t="s">
        <v>60</v>
      </c>
      <c r="N12" s="111" t="s">
        <v>60</v>
      </c>
      <c r="O12" s="111" t="s">
        <v>60</v>
      </c>
      <c r="P12" s="111" t="s">
        <v>60</v>
      </c>
      <c r="Q12" s="111" t="s">
        <v>60</v>
      </c>
      <c r="R12" s="111" t="s">
        <v>60</v>
      </c>
      <c r="S12" s="111" t="s">
        <v>60</v>
      </c>
      <c r="T12" s="111" t="s">
        <v>60</v>
      </c>
      <c r="U12" s="111" t="s">
        <v>60</v>
      </c>
      <c r="V12" s="111" t="s">
        <v>60</v>
      </c>
      <c r="W12" s="111" t="s">
        <v>60</v>
      </c>
      <c r="X12" s="111" t="s">
        <v>60</v>
      </c>
      <c r="Y12" s="111" t="s">
        <v>60</v>
      </c>
      <c r="Z12" s="111" t="s">
        <v>60</v>
      </c>
      <c r="AA12" s="111" t="s">
        <v>107</v>
      </c>
      <c r="AB12" s="111"/>
      <c r="AC12" s="110" t="s">
        <v>48</v>
      </c>
      <c r="AD12" s="110" t="s">
        <v>39</v>
      </c>
      <c r="AE12" s="111">
        <v>0</v>
      </c>
      <c r="AF12" s="111">
        <v>16</v>
      </c>
      <c r="AG12" s="111">
        <v>0</v>
      </c>
      <c r="AH12" t="s">
        <v>1203</v>
      </c>
      <c r="AI12" t="s">
        <v>1203</v>
      </c>
      <c r="AJ12" s="96" t="s">
        <v>107</v>
      </c>
      <c r="AK12" s="96" t="s">
        <v>60</v>
      </c>
      <c r="AL12" s="96" t="s">
        <v>60</v>
      </c>
      <c r="AM12" s="96" t="s">
        <v>60</v>
      </c>
      <c r="AN12" s="96" t="s">
        <v>60</v>
      </c>
      <c r="AO12" s="96" t="s">
        <v>60</v>
      </c>
      <c r="AP12" s="96" t="s">
        <v>60</v>
      </c>
      <c r="AQ12" s="96" t="s">
        <v>60</v>
      </c>
      <c r="AR12" s="96" t="s">
        <v>60</v>
      </c>
      <c r="AS12" s="96" t="s">
        <v>60</v>
      </c>
      <c r="AT12" s="96" t="s">
        <v>60</v>
      </c>
      <c r="AU12" s="96" t="s">
        <v>60</v>
      </c>
      <c r="AV12" s="96" t="s">
        <v>60</v>
      </c>
      <c r="AW12" s="96" t="s">
        <v>60</v>
      </c>
      <c r="AX12" s="96" t="s">
        <v>60</v>
      </c>
      <c r="AY12" s="96" t="s">
        <v>60</v>
      </c>
      <c r="AZ12" s="96" t="s">
        <v>60</v>
      </c>
      <c r="BA12" s="96" t="s">
        <v>60</v>
      </c>
      <c r="BB12" s="96" t="s">
        <v>60</v>
      </c>
      <c r="BC12" s="96" t="s">
        <v>60</v>
      </c>
      <c r="BD12" s="96" t="s">
        <v>60</v>
      </c>
      <c r="BE12" s="96" t="s">
        <v>60</v>
      </c>
      <c r="BF12" s="96" t="s">
        <v>60</v>
      </c>
      <c r="BG12" s="96" t="s">
        <v>107</v>
      </c>
      <c r="BH12" s="96"/>
      <c r="BI12" s="96"/>
      <c r="BJ12" s="96"/>
      <c r="BK12" s="96" t="s">
        <v>107</v>
      </c>
      <c r="BL12" s="97" t="s">
        <v>1147</v>
      </c>
      <c r="BM12" s="96" t="s">
        <v>60</v>
      </c>
    </row>
    <row r="13" spans="1:66" s="99" customFormat="1" ht="24.6" customHeight="1" x14ac:dyDescent="0.3">
      <c r="A13" s="96">
        <v>9</v>
      </c>
      <c r="B13" s="97" t="s">
        <v>1143</v>
      </c>
      <c r="C13" s="110" t="s">
        <v>1190</v>
      </c>
      <c r="D13" s="110" t="s">
        <v>1142</v>
      </c>
      <c r="E13" s="110" t="s">
        <v>66</v>
      </c>
      <c r="F13" s="110" t="s">
        <v>1144</v>
      </c>
      <c r="G13" s="108" t="s">
        <v>107</v>
      </c>
      <c r="H13" s="109" t="s">
        <v>60</v>
      </c>
      <c r="I13" s="109" t="s">
        <v>60</v>
      </c>
      <c r="J13" s="111" t="s">
        <v>60</v>
      </c>
      <c r="K13" s="111" t="s">
        <v>60</v>
      </c>
      <c r="L13" s="111" t="s">
        <v>60</v>
      </c>
      <c r="M13" s="111" t="s">
        <v>60</v>
      </c>
      <c r="N13" s="111" t="s">
        <v>60</v>
      </c>
      <c r="O13" s="111" t="s">
        <v>60</v>
      </c>
      <c r="P13" s="111" t="s">
        <v>60</v>
      </c>
      <c r="Q13" s="111" t="s">
        <v>60</v>
      </c>
      <c r="R13" s="111" t="s">
        <v>60</v>
      </c>
      <c r="S13" s="111" t="s">
        <v>60</v>
      </c>
      <c r="T13" s="111" t="s">
        <v>60</v>
      </c>
      <c r="U13" s="111" t="s">
        <v>60</v>
      </c>
      <c r="V13" s="111" t="s">
        <v>60</v>
      </c>
      <c r="W13" s="111" t="s">
        <v>60</v>
      </c>
      <c r="X13" s="111" t="s">
        <v>60</v>
      </c>
      <c r="Y13" s="111" t="s">
        <v>60</v>
      </c>
      <c r="Z13" s="111" t="s">
        <v>60</v>
      </c>
      <c r="AA13" s="111" t="s">
        <v>107</v>
      </c>
      <c r="AB13" s="111"/>
      <c r="AC13" s="110" t="s">
        <v>48</v>
      </c>
      <c r="AD13" s="110" t="s">
        <v>39</v>
      </c>
      <c r="AE13" s="111">
        <v>0</v>
      </c>
      <c r="AF13" s="111">
        <v>16</v>
      </c>
      <c r="AG13" s="111">
        <v>0</v>
      </c>
      <c r="AH13" t="s">
        <v>1203</v>
      </c>
      <c r="AI13" t="s">
        <v>1203</v>
      </c>
      <c r="AJ13" s="96" t="s">
        <v>107</v>
      </c>
      <c r="AK13" s="96" t="s">
        <v>60</v>
      </c>
      <c r="AL13" s="96" t="s">
        <v>60</v>
      </c>
      <c r="AM13" s="96" t="s">
        <v>60</v>
      </c>
      <c r="AN13" s="96" t="s">
        <v>60</v>
      </c>
      <c r="AO13" s="96" t="s">
        <v>60</v>
      </c>
      <c r="AP13" s="96" t="s">
        <v>60</v>
      </c>
      <c r="AQ13" s="96" t="s">
        <v>60</v>
      </c>
      <c r="AR13" s="96" t="s">
        <v>60</v>
      </c>
      <c r="AS13" s="96" t="s">
        <v>60</v>
      </c>
      <c r="AT13" s="96" t="s">
        <v>60</v>
      </c>
      <c r="AU13" s="96" t="s">
        <v>60</v>
      </c>
      <c r="AV13" s="96" t="s">
        <v>60</v>
      </c>
      <c r="AW13" s="96" t="s">
        <v>60</v>
      </c>
      <c r="AX13" s="96" t="s">
        <v>60</v>
      </c>
      <c r="AY13" s="96" t="s">
        <v>60</v>
      </c>
      <c r="AZ13" s="96" t="s">
        <v>60</v>
      </c>
      <c r="BA13" s="96" t="s">
        <v>60</v>
      </c>
      <c r="BB13" s="96" t="s">
        <v>60</v>
      </c>
      <c r="BC13" s="96" t="s">
        <v>60</v>
      </c>
      <c r="BD13" s="96" t="s">
        <v>60</v>
      </c>
      <c r="BE13" s="96" t="s">
        <v>60</v>
      </c>
      <c r="BF13" s="96" t="s">
        <v>60</v>
      </c>
      <c r="BG13" s="96" t="s">
        <v>107</v>
      </c>
      <c r="BH13" s="96"/>
      <c r="BI13" s="96"/>
      <c r="BJ13" s="96"/>
      <c r="BK13" s="96" t="s">
        <v>107</v>
      </c>
      <c r="BL13" s="97" t="s">
        <v>1147</v>
      </c>
      <c r="BM13" s="96" t="s">
        <v>60</v>
      </c>
    </row>
    <row r="14" spans="1:66" s="99" customFormat="1" ht="27.6" customHeight="1" x14ac:dyDescent="0.3">
      <c r="A14" s="96">
        <v>10</v>
      </c>
      <c r="B14" s="97" t="s">
        <v>1157</v>
      </c>
      <c r="C14" s="110" t="s">
        <v>1190</v>
      </c>
      <c r="D14" s="110" t="s">
        <v>920</v>
      </c>
      <c r="E14" s="110" t="s">
        <v>66</v>
      </c>
      <c r="F14" s="110" t="s">
        <v>462</v>
      </c>
      <c r="G14" s="108" t="s">
        <v>60</v>
      </c>
      <c r="H14" s="109" t="s">
        <v>60</v>
      </c>
      <c r="I14" s="109" t="s">
        <v>60</v>
      </c>
      <c r="J14" s="111" t="s">
        <v>60</v>
      </c>
      <c r="K14" s="111" t="s">
        <v>60</v>
      </c>
      <c r="L14" s="111" t="s">
        <v>60</v>
      </c>
      <c r="M14" s="111" t="s">
        <v>60</v>
      </c>
      <c r="N14" s="111" t="s">
        <v>60</v>
      </c>
      <c r="O14" s="111" t="s">
        <v>60</v>
      </c>
      <c r="P14" s="111" t="s">
        <v>60</v>
      </c>
      <c r="Q14" s="111" t="s">
        <v>60</v>
      </c>
      <c r="R14" s="111" t="s">
        <v>60</v>
      </c>
      <c r="S14" s="111" t="s">
        <v>60</v>
      </c>
      <c r="T14" s="111" t="s">
        <v>60</v>
      </c>
      <c r="U14" s="111" t="s">
        <v>60</v>
      </c>
      <c r="V14" s="111" t="s">
        <v>60</v>
      </c>
      <c r="W14" s="111" t="s">
        <v>60</v>
      </c>
      <c r="X14" s="111" t="s">
        <v>60</v>
      </c>
      <c r="Y14" s="111" t="s">
        <v>60</v>
      </c>
      <c r="Z14" s="111" t="s">
        <v>60</v>
      </c>
      <c r="AA14" s="111" t="s">
        <v>60</v>
      </c>
      <c r="AB14" s="111"/>
      <c r="AC14" s="110" t="s">
        <v>48</v>
      </c>
      <c r="AD14" s="110" t="s">
        <v>89</v>
      </c>
      <c r="AE14" s="111">
        <v>1</v>
      </c>
      <c r="AF14" s="111">
        <v>15</v>
      </c>
      <c r="AG14" s="111">
        <v>0</v>
      </c>
      <c r="AH14" t="s">
        <v>1193</v>
      </c>
      <c r="AI14" t="s">
        <v>1203</v>
      </c>
      <c r="AJ14" s="96" t="s">
        <v>60</v>
      </c>
      <c r="AK14" s="96" t="s">
        <v>60</v>
      </c>
      <c r="AL14" s="96" t="s">
        <v>60</v>
      </c>
      <c r="AM14" s="96" t="s">
        <v>60</v>
      </c>
      <c r="AN14" s="96" t="s">
        <v>60</v>
      </c>
      <c r="AO14" s="96" t="s">
        <v>60</v>
      </c>
      <c r="AP14" s="96" t="s">
        <v>60</v>
      </c>
      <c r="AQ14" s="96" t="s">
        <v>60</v>
      </c>
      <c r="AR14" s="96" t="s">
        <v>60</v>
      </c>
      <c r="AS14" s="96" t="s">
        <v>60</v>
      </c>
      <c r="AT14" s="96" t="s">
        <v>60</v>
      </c>
      <c r="AU14" s="96" t="s">
        <v>60</v>
      </c>
      <c r="AV14" s="96" t="s">
        <v>60</v>
      </c>
      <c r="AW14" s="96" t="s">
        <v>60</v>
      </c>
      <c r="AX14" s="96" t="s">
        <v>60</v>
      </c>
      <c r="AY14" s="96" t="s">
        <v>60</v>
      </c>
      <c r="AZ14" s="96" t="s">
        <v>60</v>
      </c>
      <c r="BA14" s="96" t="s">
        <v>60</v>
      </c>
      <c r="BB14" s="96" t="s">
        <v>60</v>
      </c>
      <c r="BC14" s="96" t="s">
        <v>60</v>
      </c>
      <c r="BD14" s="96" t="s">
        <v>60</v>
      </c>
      <c r="BE14" s="96" t="s">
        <v>60</v>
      </c>
      <c r="BF14" s="96" t="s">
        <v>60</v>
      </c>
      <c r="BG14" s="96" t="s">
        <v>60</v>
      </c>
      <c r="BH14" s="96"/>
      <c r="BI14" s="96"/>
      <c r="BJ14" s="96"/>
      <c r="BK14" s="96" t="s">
        <v>107</v>
      </c>
      <c r="BL14" s="97" t="s">
        <v>1160</v>
      </c>
      <c r="BM14" s="96" t="s">
        <v>60</v>
      </c>
    </row>
    <row r="15" spans="1:66" s="99" customFormat="1" ht="26.4" customHeight="1" x14ac:dyDescent="0.3">
      <c r="A15" s="96">
        <v>11</v>
      </c>
      <c r="B15" s="100" t="s">
        <v>1272</v>
      </c>
      <c r="C15" s="110" t="s">
        <v>1189</v>
      </c>
      <c r="D15" s="110" t="s">
        <v>325</v>
      </c>
      <c r="E15" s="110" t="s">
        <v>66</v>
      </c>
      <c r="F15" s="110" t="s">
        <v>231</v>
      </c>
      <c r="G15" s="108" t="s">
        <v>60</v>
      </c>
      <c r="H15" s="111" t="s">
        <v>60</v>
      </c>
      <c r="I15" s="111" t="s">
        <v>60</v>
      </c>
      <c r="J15" s="111" t="s">
        <v>60</v>
      </c>
      <c r="K15" s="111" t="s">
        <v>60</v>
      </c>
      <c r="L15" s="111" t="s">
        <v>60</v>
      </c>
      <c r="M15" s="111" t="s">
        <v>60</v>
      </c>
      <c r="N15" s="111" t="s">
        <v>60</v>
      </c>
      <c r="O15" s="111" t="s">
        <v>60</v>
      </c>
      <c r="P15" s="111" t="s">
        <v>60</v>
      </c>
      <c r="Q15" s="111" t="s">
        <v>60</v>
      </c>
      <c r="R15" s="111" t="s">
        <v>60</v>
      </c>
      <c r="S15" s="111" t="s">
        <v>60</v>
      </c>
      <c r="T15" s="111" t="s">
        <v>60</v>
      </c>
      <c r="U15" s="111" t="s">
        <v>60</v>
      </c>
      <c r="V15" s="111" t="s">
        <v>60</v>
      </c>
      <c r="W15" s="111" t="s">
        <v>60</v>
      </c>
      <c r="X15" s="111" t="s">
        <v>60</v>
      </c>
      <c r="Y15" s="111" t="s">
        <v>60</v>
      </c>
      <c r="Z15" s="111" t="s">
        <v>60</v>
      </c>
      <c r="AA15" s="111" t="s">
        <v>60</v>
      </c>
      <c r="AB15" s="111"/>
      <c r="AC15" s="110" t="s">
        <v>74</v>
      </c>
      <c r="AD15" s="110" t="s">
        <v>89</v>
      </c>
      <c r="AE15" s="111">
        <v>0</v>
      </c>
      <c r="AF15" s="111">
        <v>2</v>
      </c>
      <c r="AG15" s="111">
        <v>0</v>
      </c>
      <c r="AH15" t="s">
        <v>1192</v>
      </c>
      <c r="AI15" t="s">
        <v>1192</v>
      </c>
      <c r="AJ15" s="96" t="s">
        <v>60</v>
      </c>
      <c r="AK15" s="96" t="s">
        <v>60</v>
      </c>
      <c r="AL15" s="96" t="s">
        <v>60</v>
      </c>
      <c r="AM15" s="96" t="s">
        <v>60</v>
      </c>
      <c r="AN15" s="96" t="s">
        <v>60</v>
      </c>
      <c r="AO15" s="96" t="s">
        <v>60</v>
      </c>
      <c r="AP15" s="96" t="s">
        <v>60</v>
      </c>
      <c r="AQ15" s="96" t="s">
        <v>60</v>
      </c>
      <c r="AR15" s="96" t="s">
        <v>60</v>
      </c>
      <c r="AS15" s="96" t="s">
        <v>60</v>
      </c>
      <c r="AT15" s="96" t="s">
        <v>60</v>
      </c>
      <c r="AU15" s="96" t="s">
        <v>107</v>
      </c>
      <c r="AV15" s="96" t="s">
        <v>60</v>
      </c>
      <c r="AW15" s="96" t="s">
        <v>60</v>
      </c>
      <c r="AX15" s="96" t="s">
        <v>60</v>
      </c>
      <c r="AY15" s="96" t="s">
        <v>60</v>
      </c>
      <c r="AZ15" s="96" t="s">
        <v>60</v>
      </c>
      <c r="BA15" s="96" t="s">
        <v>60</v>
      </c>
      <c r="BB15" s="96" t="s">
        <v>60</v>
      </c>
      <c r="BC15" s="96" t="s">
        <v>60</v>
      </c>
      <c r="BD15" s="96" t="s">
        <v>60</v>
      </c>
      <c r="BE15" s="96" t="s">
        <v>60</v>
      </c>
      <c r="BF15" s="96" t="s">
        <v>60</v>
      </c>
      <c r="BG15" s="96" t="s">
        <v>60</v>
      </c>
      <c r="BH15" s="96"/>
      <c r="BI15" s="96"/>
      <c r="BJ15" s="96"/>
      <c r="BK15" s="96"/>
      <c r="BL15" s="97" t="s">
        <v>1329</v>
      </c>
      <c r="BM15" s="96" t="s">
        <v>107</v>
      </c>
    </row>
    <row r="16" spans="1:66" s="99" customFormat="1" ht="24" customHeight="1" x14ac:dyDescent="0.3">
      <c r="A16" s="96">
        <v>12</v>
      </c>
      <c r="B16" s="97" t="s">
        <v>1273</v>
      </c>
      <c r="C16" s="110" t="s">
        <v>1189</v>
      </c>
      <c r="D16" s="110" t="s">
        <v>325</v>
      </c>
      <c r="E16" s="110" t="s">
        <v>66</v>
      </c>
      <c r="F16" s="110" t="s">
        <v>231</v>
      </c>
      <c r="G16" s="108" t="s">
        <v>60</v>
      </c>
      <c r="H16" s="111" t="s">
        <v>60</v>
      </c>
      <c r="I16" s="111" t="s">
        <v>60</v>
      </c>
      <c r="J16" s="111" t="s">
        <v>60</v>
      </c>
      <c r="K16" s="111" t="s">
        <v>60</v>
      </c>
      <c r="L16" s="111" t="s">
        <v>60</v>
      </c>
      <c r="M16" s="111" t="s">
        <v>60</v>
      </c>
      <c r="N16" s="111" t="s">
        <v>60</v>
      </c>
      <c r="O16" s="111" t="s">
        <v>60</v>
      </c>
      <c r="P16" s="111" t="s">
        <v>60</v>
      </c>
      <c r="Q16" s="111" t="s">
        <v>60</v>
      </c>
      <c r="R16" s="111" t="s">
        <v>60</v>
      </c>
      <c r="S16" s="111" t="s">
        <v>60</v>
      </c>
      <c r="T16" s="111" t="s">
        <v>60</v>
      </c>
      <c r="U16" s="111" t="s">
        <v>60</v>
      </c>
      <c r="V16" s="111" t="s">
        <v>60</v>
      </c>
      <c r="W16" s="111" t="s">
        <v>60</v>
      </c>
      <c r="X16" s="111" t="s">
        <v>60</v>
      </c>
      <c r="Y16" s="111" t="s">
        <v>60</v>
      </c>
      <c r="Z16" s="111" t="s">
        <v>60</v>
      </c>
      <c r="AA16" s="111" t="s">
        <v>60</v>
      </c>
      <c r="AB16" s="111"/>
      <c r="AC16" s="110" t="s">
        <v>74</v>
      </c>
      <c r="AD16" s="110" t="s">
        <v>39</v>
      </c>
      <c r="AE16" s="111">
        <v>0</v>
      </c>
      <c r="AF16" s="111">
        <v>4</v>
      </c>
      <c r="AG16" s="111">
        <v>0</v>
      </c>
      <c r="AH16" t="s">
        <v>1203</v>
      </c>
      <c r="AI16" t="s">
        <v>1203</v>
      </c>
      <c r="AJ16" s="96" t="s">
        <v>107</v>
      </c>
      <c r="AK16" s="96" t="s">
        <v>107</v>
      </c>
      <c r="AL16" s="96" t="s">
        <v>60</v>
      </c>
      <c r="AM16" s="96" t="s">
        <v>60</v>
      </c>
      <c r="AN16" s="96" t="s">
        <v>60</v>
      </c>
      <c r="AO16" s="96" t="s">
        <v>60</v>
      </c>
      <c r="AP16" s="96" t="s">
        <v>60</v>
      </c>
      <c r="AQ16" s="96" t="s">
        <v>60</v>
      </c>
      <c r="AR16" s="96" t="s">
        <v>60</v>
      </c>
      <c r="AS16" s="96" t="s">
        <v>60</v>
      </c>
      <c r="AT16" s="96" t="s">
        <v>60</v>
      </c>
      <c r="AU16" s="96" t="s">
        <v>60</v>
      </c>
      <c r="AV16" s="96" t="s">
        <v>107</v>
      </c>
      <c r="AW16" s="96" t="s">
        <v>60</v>
      </c>
      <c r="AX16" s="96" t="s">
        <v>60</v>
      </c>
      <c r="AY16" s="96" t="s">
        <v>60</v>
      </c>
      <c r="AZ16" s="96" t="s">
        <v>60</v>
      </c>
      <c r="BA16" s="96" t="s">
        <v>60</v>
      </c>
      <c r="BB16" s="96" t="s">
        <v>60</v>
      </c>
      <c r="BC16" s="96" t="s">
        <v>60</v>
      </c>
      <c r="BD16" s="96" t="s">
        <v>60</v>
      </c>
      <c r="BE16" s="96" t="s">
        <v>60</v>
      </c>
      <c r="BF16" s="96" t="s">
        <v>60</v>
      </c>
      <c r="BG16" s="96" t="s">
        <v>60</v>
      </c>
      <c r="BH16" s="96"/>
      <c r="BI16" s="96"/>
      <c r="BJ16" s="96"/>
      <c r="BK16" s="96"/>
      <c r="BL16" s="96" t="s">
        <v>1330</v>
      </c>
      <c r="BM16" s="96" t="s">
        <v>60</v>
      </c>
    </row>
    <row r="17" spans="1:65" s="99" customFormat="1" ht="27" customHeight="1" x14ac:dyDescent="0.3">
      <c r="A17" s="96">
        <v>13</v>
      </c>
      <c r="B17" s="97" t="s">
        <v>1274</v>
      </c>
      <c r="C17" s="110" t="s">
        <v>1189</v>
      </c>
      <c r="D17" s="110" t="s">
        <v>445</v>
      </c>
      <c r="E17" s="110" t="s">
        <v>66</v>
      </c>
      <c r="F17" s="110" t="s">
        <v>462</v>
      </c>
      <c r="G17" s="108" t="s">
        <v>107</v>
      </c>
      <c r="H17" s="111" t="s">
        <v>107</v>
      </c>
      <c r="I17" s="111" t="s">
        <v>60</v>
      </c>
      <c r="J17" s="111" t="s">
        <v>60</v>
      </c>
      <c r="K17" s="111" t="s">
        <v>60</v>
      </c>
      <c r="L17" s="111" t="s">
        <v>60</v>
      </c>
      <c r="M17" s="111" t="s">
        <v>60</v>
      </c>
      <c r="N17" s="111" t="s">
        <v>60</v>
      </c>
      <c r="O17" s="111" t="s">
        <v>60</v>
      </c>
      <c r="P17" s="111" t="s">
        <v>60</v>
      </c>
      <c r="Q17" s="111" t="s">
        <v>60</v>
      </c>
      <c r="R17" s="111" t="s">
        <v>60</v>
      </c>
      <c r="S17" s="111" t="s">
        <v>60</v>
      </c>
      <c r="T17" s="111" t="s">
        <v>60</v>
      </c>
      <c r="U17" s="111" t="s">
        <v>60</v>
      </c>
      <c r="V17" s="111" t="s">
        <v>60</v>
      </c>
      <c r="W17" s="111" t="s">
        <v>60</v>
      </c>
      <c r="X17" s="111" t="s">
        <v>60</v>
      </c>
      <c r="Y17" s="111" t="s">
        <v>60</v>
      </c>
      <c r="Z17" s="111" t="s">
        <v>60</v>
      </c>
      <c r="AA17" s="111" t="s">
        <v>60</v>
      </c>
      <c r="AB17" s="111"/>
      <c r="AC17" s="110" t="s">
        <v>48</v>
      </c>
      <c r="AD17" s="110" t="s">
        <v>39</v>
      </c>
      <c r="AE17" s="111">
        <v>0</v>
      </c>
      <c r="AF17" s="111">
        <v>0</v>
      </c>
      <c r="AG17" s="111">
        <v>4</v>
      </c>
      <c r="AH17" t="s">
        <v>1192</v>
      </c>
      <c r="AI17" t="s">
        <v>1203</v>
      </c>
      <c r="AJ17" s="96" t="s">
        <v>60</v>
      </c>
      <c r="AK17" s="96" t="s">
        <v>60</v>
      </c>
      <c r="AL17" s="96" t="s">
        <v>60</v>
      </c>
      <c r="AM17" s="96" t="s">
        <v>60</v>
      </c>
      <c r="AN17" s="96" t="s">
        <v>60</v>
      </c>
      <c r="AO17" s="96" t="s">
        <v>60</v>
      </c>
      <c r="AP17" s="96" t="s">
        <v>60</v>
      </c>
      <c r="AQ17" s="96" t="s">
        <v>60</v>
      </c>
      <c r="AR17" s="96" t="s">
        <v>60</v>
      </c>
      <c r="AS17" s="96" t="s">
        <v>60</v>
      </c>
      <c r="AT17" s="96" t="s">
        <v>60</v>
      </c>
      <c r="AU17" s="96" t="s">
        <v>60</v>
      </c>
      <c r="AV17" s="96" t="s">
        <v>60</v>
      </c>
      <c r="AW17" s="96" t="s">
        <v>60</v>
      </c>
      <c r="AX17" s="96" t="s">
        <v>107</v>
      </c>
      <c r="AY17" s="96" t="s">
        <v>107</v>
      </c>
      <c r="AZ17" s="96" t="s">
        <v>60</v>
      </c>
      <c r="BA17" s="96" t="s">
        <v>60</v>
      </c>
      <c r="BB17" s="96" t="s">
        <v>60</v>
      </c>
      <c r="BC17" s="96" t="s">
        <v>60</v>
      </c>
      <c r="BD17" s="96" t="s">
        <v>60</v>
      </c>
      <c r="BE17" s="96" t="s">
        <v>60</v>
      </c>
      <c r="BF17" s="96" t="s">
        <v>60</v>
      </c>
      <c r="BG17" s="96" t="s">
        <v>60</v>
      </c>
      <c r="BH17" s="96"/>
      <c r="BI17" s="96"/>
      <c r="BJ17" s="96"/>
      <c r="BK17" s="96"/>
      <c r="BL17" s="96" t="s">
        <v>1331</v>
      </c>
      <c r="BM17" s="96" t="s">
        <v>107</v>
      </c>
    </row>
    <row r="18" spans="1:65" s="99" customFormat="1" ht="27" customHeight="1" x14ac:dyDescent="0.3">
      <c r="A18" s="96">
        <v>14</v>
      </c>
      <c r="B18" s="100" t="s">
        <v>1275</v>
      </c>
      <c r="C18" s="110" t="s">
        <v>1188</v>
      </c>
      <c r="D18" s="110" t="s">
        <v>371</v>
      </c>
      <c r="E18" s="110" t="s">
        <v>66</v>
      </c>
      <c r="F18" s="110" t="s">
        <v>1322</v>
      </c>
      <c r="G18" s="108" t="s">
        <v>107</v>
      </c>
      <c r="H18" s="111" t="s">
        <v>60</v>
      </c>
      <c r="I18" s="111" t="s">
        <v>60</v>
      </c>
      <c r="J18" s="111" t="s">
        <v>60</v>
      </c>
      <c r="K18" s="111" t="s">
        <v>60</v>
      </c>
      <c r="L18" s="111" t="s">
        <v>60</v>
      </c>
      <c r="M18" s="111" t="s">
        <v>107</v>
      </c>
      <c r="N18" s="111" t="s">
        <v>60</v>
      </c>
      <c r="O18" s="111" t="s">
        <v>60</v>
      </c>
      <c r="P18" s="111" t="s">
        <v>107</v>
      </c>
      <c r="Q18" s="111" t="s">
        <v>60</v>
      </c>
      <c r="R18" s="111" t="s">
        <v>60</v>
      </c>
      <c r="S18" s="111" t="s">
        <v>60</v>
      </c>
      <c r="T18" s="111" t="s">
        <v>60</v>
      </c>
      <c r="U18" s="111" t="s">
        <v>60</v>
      </c>
      <c r="V18" s="111" t="s">
        <v>60</v>
      </c>
      <c r="W18" s="111" t="s">
        <v>60</v>
      </c>
      <c r="X18" s="111" t="s">
        <v>60</v>
      </c>
      <c r="Y18" s="111" t="s">
        <v>60</v>
      </c>
      <c r="Z18" s="111" t="s">
        <v>60</v>
      </c>
      <c r="AA18" s="111" t="s">
        <v>60</v>
      </c>
      <c r="AB18" s="111"/>
      <c r="AC18" s="110" t="s">
        <v>48</v>
      </c>
      <c r="AD18" s="110" t="s">
        <v>89</v>
      </c>
      <c r="AE18" s="111">
        <v>0</v>
      </c>
      <c r="AF18" s="111">
        <v>9</v>
      </c>
      <c r="AG18" s="111">
        <v>0</v>
      </c>
      <c r="AH18" t="s">
        <v>1203</v>
      </c>
      <c r="AI18" t="s">
        <v>1203</v>
      </c>
      <c r="AJ18" s="96" t="s">
        <v>107</v>
      </c>
      <c r="AK18" s="96" t="s">
        <v>107</v>
      </c>
      <c r="AL18" s="96" t="s">
        <v>60</v>
      </c>
      <c r="AM18" s="96" t="s">
        <v>60</v>
      </c>
      <c r="AN18" s="96" t="s">
        <v>60</v>
      </c>
      <c r="AO18" s="96" t="s">
        <v>60</v>
      </c>
      <c r="AP18" s="96" t="s">
        <v>60</v>
      </c>
      <c r="AQ18" s="96" t="s">
        <v>60</v>
      </c>
      <c r="AR18" s="96" t="s">
        <v>60</v>
      </c>
      <c r="AS18" s="96" t="s">
        <v>60</v>
      </c>
      <c r="AT18" s="96" t="s">
        <v>60</v>
      </c>
      <c r="AU18" s="96" t="s">
        <v>60</v>
      </c>
      <c r="AV18" s="96" t="s">
        <v>107</v>
      </c>
      <c r="AW18" s="96" t="s">
        <v>60</v>
      </c>
      <c r="AX18" s="96" t="s">
        <v>60</v>
      </c>
      <c r="AY18" s="96" t="s">
        <v>60</v>
      </c>
      <c r="AZ18" s="96" t="s">
        <v>60</v>
      </c>
      <c r="BA18" s="96" t="s">
        <v>60</v>
      </c>
      <c r="BB18" s="96" t="s">
        <v>60</v>
      </c>
      <c r="BC18" s="96" t="s">
        <v>60</v>
      </c>
      <c r="BD18" s="96" t="s">
        <v>60</v>
      </c>
      <c r="BE18" s="96" t="s">
        <v>60</v>
      </c>
      <c r="BF18" s="96" t="s">
        <v>60</v>
      </c>
      <c r="BG18" s="96" t="s">
        <v>60</v>
      </c>
      <c r="BH18" s="96"/>
      <c r="BI18" s="96"/>
      <c r="BJ18" s="96"/>
      <c r="BK18" s="96"/>
      <c r="BL18" s="96"/>
      <c r="BM18" s="96" t="s">
        <v>60</v>
      </c>
    </row>
    <row r="19" spans="1:65" s="99" customFormat="1" ht="27" customHeight="1" x14ac:dyDescent="0.3">
      <c r="A19" s="96">
        <v>15</v>
      </c>
      <c r="B19" s="100" t="s">
        <v>1276</v>
      </c>
      <c r="C19" s="110" t="s">
        <v>1188</v>
      </c>
      <c r="D19" s="110" t="s">
        <v>280</v>
      </c>
      <c r="E19" s="110" t="s">
        <v>66</v>
      </c>
      <c r="F19" s="110" t="s">
        <v>1323</v>
      </c>
      <c r="G19" s="108" t="s">
        <v>107</v>
      </c>
      <c r="H19" s="111" t="s">
        <v>60</v>
      </c>
      <c r="I19" s="111" t="s">
        <v>60</v>
      </c>
      <c r="J19" s="111" t="s">
        <v>107</v>
      </c>
      <c r="K19" s="111" t="s">
        <v>60</v>
      </c>
      <c r="L19" s="111" t="s">
        <v>60</v>
      </c>
      <c r="M19" s="111" t="s">
        <v>60</v>
      </c>
      <c r="N19" s="111" t="s">
        <v>60</v>
      </c>
      <c r="O19" s="111" t="s">
        <v>60</v>
      </c>
      <c r="P19" s="111" t="s">
        <v>60</v>
      </c>
      <c r="Q19" s="111" t="s">
        <v>60</v>
      </c>
      <c r="R19" s="111" t="s">
        <v>60</v>
      </c>
      <c r="S19" s="111" t="s">
        <v>60</v>
      </c>
      <c r="T19" s="111" t="s">
        <v>60</v>
      </c>
      <c r="U19" s="111" t="s">
        <v>60</v>
      </c>
      <c r="V19" s="111" t="s">
        <v>60</v>
      </c>
      <c r="W19" s="111" t="s">
        <v>60</v>
      </c>
      <c r="X19" s="111" t="s">
        <v>60</v>
      </c>
      <c r="Y19" s="111" t="s">
        <v>60</v>
      </c>
      <c r="Z19" s="111" t="s">
        <v>60</v>
      </c>
      <c r="AA19" s="111" t="s">
        <v>60</v>
      </c>
      <c r="AB19" s="111"/>
      <c r="AC19" s="110" t="s">
        <v>48</v>
      </c>
      <c r="AD19" s="110" t="s">
        <v>39</v>
      </c>
      <c r="AE19" s="111">
        <v>1</v>
      </c>
      <c r="AF19" s="111">
        <v>14</v>
      </c>
      <c r="AG19" s="111">
        <v>0</v>
      </c>
      <c r="AH19" t="s">
        <v>1192</v>
      </c>
      <c r="AI19" t="s">
        <v>162</v>
      </c>
      <c r="AJ19" s="96" t="s">
        <v>60</v>
      </c>
      <c r="AK19" s="96" t="s">
        <v>60</v>
      </c>
      <c r="AL19" s="96" t="s">
        <v>60</v>
      </c>
      <c r="AM19" s="96" t="s">
        <v>60</v>
      </c>
      <c r="AN19" s="96" t="s">
        <v>60</v>
      </c>
      <c r="AO19" s="96" t="s">
        <v>60</v>
      </c>
      <c r="AP19" s="96" t="s">
        <v>60</v>
      </c>
      <c r="AQ19" s="96" t="s">
        <v>60</v>
      </c>
      <c r="AR19" s="96" t="s">
        <v>60</v>
      </c>
      <c r="AS19" s="96" t="s">
        <v>60</v>
      </c>
      <c r="AT19" s="96" t="s">
        <v>60</v>
      </c>
      <c r="AU19" s="96" t="s">
        <v>60</v>
      </c>
      <c r="AV19" s="96" t="s">
        <v>60</v>
      </c>
      <c r="AW19" s="96" t="s">
        <v>60</v>
      </c>
      <c r="AX19" s="96" t="s">
        <v>60</v>
      </c>
      <c r="AY19" s="96" t="s">
        <v>60</v>
      </c>
      <c r="AZ19" s="96" t="s">
        <v>60</v>
      </c>
      <c r="BA19" s="96" t="s">
        <v>60</v>
      </c>
      <c r="BB19" s="96" t="s">
        <v>60</v>
      </c>
      <c r="BC19" s="96" t="s">
        <v>60</v>
      </c>
      <c r="BD19" s="96" t="s">
        <v>107</v>
      </c>
      <c r="BE19" s="96" t="s">
        <v>107</v>
      </c>
      <c r="BF19" s="96" t="s">
        <v>60</v>
      </c>
      <c r="BG19" s="96" t="s">
        <v>60</v>
      </c>
      <c r="BH19" s="96"/>
      <c r="BI19" s="96"/>
      <c r="BJ19" s="96"/>
      <c r="BK19" s="96"/>
      <c r="BL19" s="96" t="s">
        <v>1333</v>
      </c>
      <c r="BM19" s="96" t="s">
        <v>107</v>
      </c>
    </row>
    <row r="20" spans="1:65" s="96" customFormat="1" ht="29.4" customHeight="1" x14ac:dyDescent="0.3">
      <c r="A20" s="96">
        <v>16</v>
      </c>
      <c r="B20" s="100" t="s">
        <v>1277</v>
      </c>
      <c r="C20" s="110" t="s">
        <v>1189</v>
      </c>
      <c r="D20" s="110" t="s">
        <v>446</v>
      </c>
      <c r="E20" s="110" t="s">
        <v>66</v>
      </c>
      <c r="F20" s="110" t="s">
        <v>299</v>
      </c>
      <c r="G20" s="108" t="s">
        <v>60</v>
      </c>
      <c r="H20" s="111" t="s">
        <v>60</v>
      </c>
      <c r="I20" s="111" t="s">
        <v>60</v>
      </c>
      <c r="J20" s="111" t="s">
        <v>60</v>
      </c>
      <c r="K20" s="111" t="s">
        <v>60</v>
      </c>
      <c r="L20" s="111" t="s">
        <v>60</v>
      </c>
      <c r="M20" s="111" t="s">
        <v>60</v>
      </c>
      <c r="N20" s="111" t="s">
        <v>60</v>
      </c>
      <c r="O20" s="111" t="s">
        <v>60</v>
      </c>
      <c r="P20" s="111" t="s">
        <v>60</v>
      </c>
      <c r="Q20" s="111" t="s">
        <v>60</v>
      </c>
      <c r="R20" s="111" t="s">
        <v>60</v>
      </c>
      <c r="S20" s="111" t="s">
        <v>60</v>
      </c>
      <c r="T20" s="111" t="s">
        <v>60</v>
      </c>
      <c r="U20" s="111" t="s">
        <v>60</v>
      </c>
      <c r="V20" s="111" t="s">
        <v>60</v>
      </c>
      <c r="W20" s="111" t="s">
        <v>60</v>
      </c>
      <c r="X20" s="111" t="s">
        <v>60</v>
      </c>
      <c r="Y20" s="111" t="s">
        <v>60</v>
      </c>
      <c r="Z20" s="111" t="s">
        <v>60</v>
      </c>
      <c r="AA20" s="111" t="s">
        <v>60</v>
      </c>
      <c r="AB20" s="111"/>
      <c r="AC20" s="110" t="s">
        <v>74</v>
      </c>
      <c r="AD20" s="110" t="s">
        <v>39</v>
      </c>
      <c r="AE20" s="111">
        <v>0</v>
      </c>
      <c r="AF20" s="111">
        <v>14</v>
      </c>
      <c r="AG20" s="111">
        <v>0</v>
      </c>
      <c r="AH20" t="s">
        <v>1193</v>
      </c>
      <c r="AI20" t="s">
        <v>1203</v>
      </c>
      <c r="AJ20" s="96" t="s">
        <v>60</v>
      </c>
      <c r="AK20" s="96" t="s">
        <v>60</v>
      </c>
      <c r="AL20" s="96" t="s">
        <v>60</v>
      </c>
      <c r="AM20" s="96" t="s">
        <v>60</v>
      </c>
      <c r="AN20" s="96" t="s">
        <v>60</v>
      </c>
      <c r="AO20" s="96" t="s">
        <v>60</v>
      </c>
      <c r="AP20" s="96" t="s">
        <v>60</v>
      </c>
      <c r="AQ20" s="96" t="s">
        <v>60</v>
      </c>
      <c r="AR20" s="96" t="s">
        <v>60</v>
      </c>
      <c r="AS20" s="96" t="s">
        <v>60</v>
      </c>
      <c r="AT20" s="96" t="s">
        <v>60</v>
      </c>
      <c r="AU20" s="96" t="s">
        <v>60</v>
      </c>
      <c r="AV20" s="96" t="s">
        <v>60</v>
      </c>
      <c r="AW20" s="96" t="s">
        <v>107</v>
      </c>
      <c r="AX20" s="96" t="s">
        <v>60</v>
      </c>
      <c r="AY20" s="96" t="s">
        <v>60</v>
      </c>
      <c r="AZ20" s="96" t="s">
        <v>60</v>
      </c>
      <c r="BA20" s="96" t="s">
        <v>60</v>
      </c>
      <c r="BB20" s="96" t="s">
        <v>60</v>
      </c>
      <c r="BC20" s="96" t="s">
        <v>60</v>
      </c>
      <c r="BD20" s="96" t="s">
        <v>60</v>
      </c>
      <c r="BE20" s="96" t="s">
        <v>60</v>
      </c>
      <c r="BF20" s="96" t="s">
        <v>60</v>
      </c>
      <c r="BG20" s="96" t="s">
        <v>60</v>
      </c>
      <c r="BK20" s="96" t="s">
        <v>107</v>
      </c>
      <c r="BL20" s="96" t="s">
        <v>1335</v>
      </c>
      <c r="BM20" s="96" t="s">
        <v>60</v>
      </c>
    </row>
    <row r="21" spans="1:65" s="99" customFormat="1" ht="29.4" customHeight="1" x14ac:dyDescent="0.3">
      <c r="A21" s="96">
        <v>17</v>
      </c>
      <c r="B21" s="100" t="s">
        <v>1278</v>
      </c>
      <c r="C21" s="110" t="s">
        <v>1190</v>
      </c>
      <c r="D21" s="110" t="s">
        <v>160</v>
      </c>
      <c r="E21" s="110" t="s">
        <v>40</v>
      </c>
      <c r="F21" s="110" t="s">
        <v>40</v>
      </c>
      <c r="G21" s="108" t="s">
        <v>107</v>
      </c>
      <c r="H21" s="111" t="s">
        <v>60</v>
      </c>
      <c r="I21" s="111" t="s">
        <v>60</v>
      </c>
      <c r="J21" s="111" t="s">
        <v>60</v>
      </c>
      <c r="K21" s="111" t="s">
        <v>60</v>
      </c>
      <c r="L21" s="111" t="s">
        <v>60</v>
      </c>
      <c r="M21" s="111" t="s">
        <v>60</v>
      </c>
      <c r="N21" s="111" t="s">
        <v>60</v>
      </c>
      <c r="O21" s="111" t="s">
        <v>60</v>
      </c>
      <c r="P21" s="111" t="s">
        <v>60</v>
      </c>
      <c r="Q21" s="111" t="s">
        <v>60</v>
      </c>
      <c r="R21" s="111" t="s">
        <v>60</v>
      </c>
      <c r="S21" s="111" t="s">
        <v>60</v>
      </c>
      <c r="T21" s="111" t="s">
        <v>60</v>
      </c>
      <c r="U21" s="111" t="s">
        <v>1338</v>
      </c>
      <c r="V21" s="111" t="s">
        <v>107</v>
      </c>
      <c r="W21" s="111" t="s">
        <v>60</v>
      </c>
      <c r="X21" s="111" t="s">
        <v>60</v>
      </c>
      <c r="Y21" s="111" t="s">
        <v>60</v>
      </c>
      <c r="Z21" s="111" t="s">
        <v>60</v>
      </c>
      <c r="AA21" s="111" t="s">
        <v>60</v>
      </c>
      <c r="AB21" s="111"/>
      <c r="AC21" s="110" t="s">
        <v>74</v>
      </c>
      <c r="AD21" s="110" t="s">
        <v>39</v>
      </c>
      <c r="AE21" s="111">
        <v>0</v>
      </c>
      <c r="AF21" s="111">
        <v>5</v>
      </c>
      <c r="AG21" s="111">
        <v>15</v>
      </c>
      <c r="AH21" t="s">
        <v>1332</v>
      </c>
      <c r="AI21" t="s">
        <v>162</v>
      </c>
      <c r="AJ21" s="96" t="s">
        <v>60</v>
      </c>
      <c r="AK21" s="96" t="s">
        <v>60</v>
      </c>
      <c r="AL21" s="96" t="s">
        <v>60</v>
      </c>
      <c r="AM21" s="96" t="s">
        <v>60</v>
      </c>
      <c r="AN21" s="96" t="s">
        <v>60</v>
      </c>
      <c r="AO21" s="96" t="s">
        <v>60</v>
      </c>
      <c r="AP21" s="96" t="s">
        <v>60</v>
      </c>
      <c r="AQ21" s="96" t="s">
        <v>60</v>
      </c>
      <c r="AR21" s="96" t="s">
        <v>60</v>
      </c>
      <c r="AS21" s="96" t="s">
        <v>60</v>
      </c>
      <c r="AT21" s="96" t="s">
        <v>60</v>
      </c>
      <c r="AU21" s="96" t="s">
        <v>60</v>
      </c>
      <c r="AV21" s="96" t="s">
        <v>60</v>
      </c>
      <c r="AW21" s="96" t="s">
        <v>60</v>
      </c>
      <c r="AX21" s="96" t="s">
        <v>60</v>
      </c>
      <c r="AY21" s="96" t="s">
        <v>60</v>
      </c>
      <c r="AZ21" s="96" t="s">
        <v>60</v>
      </c>
      <c r="BA21" s="96" t="s">
        <v>60</v>
      </c>
      <c r="BB21" s="96" t="s">
        <v>60</v>
      </c>
      <c r="BC21" s="96" t="s">
        <v>60</v>
      </c>
      <c r="BD21" s="96" t="s">
        <v>60</v>
      </c>
      <c r="BE21" s="96" t="s">
        <v>60</v>
      </c>
      <c r="BF21" s="96" t="s">
        <v>60</v>
      </c>
      <c r="BG21" s="96" t="s">
        <v>60</v>
      </c>
      <c r="BH21" s="96"/>
      <c r="BI21" s="96"/>
      <c r="BJ21" s="96"/>
      <c r="BK21" s="96" t="s">
        <v>107</v>
      </c>
      <c r="BL21" s="97" t="s">
        <v>1339</v>
      </c>
      <c r="BM21" s="96" t="s">
        <v>60</v>
      </c>
    </row>
    <row r="22" spans="1:65" s="99" customFormat="1" ht="27" customHeight="1" x14ac:dyDescent="0.3">
      <c r="A22" s="96">
        <v>18</v>
      </c>
      <c r="B22" s="100" t="s">
        <v>1279</v>
      </c>
      <c r="C22" s="110" t="s">
        <v>1190</v>
      </c>
      <c r="D22" s="110" t="s">
        <v>513</v>
      </c>
      <c r="E22" s="110" t="s">
        <v>66</v>
      </c>
      <c r="F22" s="110" t="s">
        <v>462</v>
      </c>
      <c r="G22" s="108" t="s">
        <v>107</v>
      </c>
      <c r="H22" s="111" t="s">
        <v>60</v>
      </c>
      <c r="I22" s="111" t="s">
        <v>60</v>
      </c>
      <c r="J22" s="111" t="s">
        <v>60</v>
      </c>
      <c r="K22" s="111" t="s">
        <v>60</v>
      </c>
      <c r="L22" s="111" t="s">
        <v>60</v>
      </c>
      <c r="M22" s="111" t="s">
        <v>60</v>
      </c>
      <c r="N22" s="111" t="s">
        <v>60</v>
      </c>
      <c r="O22" s="111" t="s">
        <v>60</v>
      </c>
      <c r="P22" s="111" t="s">
        <v>60</v>
      </c>
      <c r="Q22" s="111" t="s">
        <v>60</v>
      </c>
      <c r="R22" s="111" t="s">
        <v>60</v>
      </c>
      <c r="S22" s="111" t="s">
        <v>60</v>
      </c>
      <c r="T22" s="111" t="s">
        <v>60</v>
      </c>
      <c r="U22" s="111" t="s">
        <v>60</v>
      </c>
      <c r="V22" s="111" t="s">
        <v>60</v>
      </c>
      <c r="W22" s="111" t="s">
        <v>60</v>
      </c>
      <c r="X22" s="111" t="s">
        <v>60</v>
      </c>
      <c r="Y22" s="111" t="s">
        <v>60</v>
      </c>
      <c r="Z22" s="111" t="s">
        <v>60</v>
      </c>
      <c r="AA22" s="111" t="s">
        <v>107</v>
      </c>
      <c r="AB22" s="111"/>
      <c r="AC22" s="110" t="s">
        <v>74</v>
      </c>
      <c r="AD22" s="110" t="s">
        <v>39</v>
      </c>
      <c r="AE22" s="111">
        <v>0</v>
      </c>
      <c r="AF22" s="111">
        <v>7</v>
      </c>
      <c r="AG22" s="111">
        <v>0</v>
      </c>
      <c r="AH22" t="s">
        <v>1193</v>
      </c>
      <c r="AI22" t="s">
        <v>1193</v>
      </c>
      <c r="AJ22" s="96" t="s">
        <v>107</v>
      </c>
      <c r="AK22" s="96" t="s">
        <v>60</v>
      </c>
      <c r="AL22" s="96" t="s">
        <v>60</v>
      </c>
      <c r="AM22" s="96" t="s">
        <v>107</v>
      </c>
      <c r="AN22" s="96" t="s">
        <v>60</v>
      </c>
      <c r="AO22" s="96" t="s">
        <v>60</v>
      </c>
      <c r="AP22" s="96" t="s">
        <v>60</v>
      </c>
      <c r="AQ22" s="96" t="s">
        <v>60</v>
      </c>
      <c r="AR22" s="96" t="s">
        <v>60</v>
      </c>
      <c r="AS22" s="96" t="s">
        <v>60</v>
      </c>
      <c r="AT22" s="96" t="s">
        <v>60</v>
      </c>
      <c r="AU22" s="96" t="s">
        <v>60</v>
      </c>
      <c r="AV22" s="96" t="s">
        <v>60</v>
      </c>
      <c r="AW22" s="96" t="s">
        <v>60</v>
      </c>
      <c r="AX22" s="96" t="s">
        <v>60</v>
      </c>
      <c r="AY22" s="96" t="s">
        <v>60</v>
      </c>
      <c r="AZ22" s="96" t="s">
        <v>60</v>
      </c>
      <c r="BA22" s="96" t="s">
        <v>60</v>
      </c>
      <c r="BB22" s="96" t="s">
        <v>60</v>
      </c>
      <c r="BC22" s="96" t="s">
        <v>60</v>
      </c>
      <c r="BD22" s="96" t="s">
        <v>60</v>
      </c>
      <c r="BE22" s="96" t="s">
        <v>60</v>
      </c>
      <c r="BF22" s="96" t="s">
        <v>60</v>
      </c>
      <c r="BG22" s="96" t="s">
        <v>60</v>
      </c>
      <c r="BH22" s="96"/>
      <c r="BI22" s="96"/>
      <c r="BJ22" s="96"/>
      <c r="BK22" s="96"/>
      <c r="BL22" s="96"/>
      <c r="BM22" s="96" t="s">
        <v>107</v>
      </c>
    </row>
    <row r="23" spans="1:65" s="99" customFormat="1" ht="24.6" customHeight="1" x14ac:dyDescent="0.3">
      <c r="A23" s="96">
        <v>19</v>
      </c>
      <c r="B23" s="100" t="s">
        <v>1280</v>
      </c>
      <c r="C23" s="110" t="s">
        <v>1190</v>
      </c>
      <c r="D23" s="110" t="s">
        <v>157</v>
      </c>
      <c r="E23" s="110" t="s">
        <v>66</v>
      </c>
      <c r="F23" s="110" t="s">
        <v>1093</v>
      </c>
      <c r="G23" s="108" t="s">
        <v>107</v>
      </c>
      <c r="H23" s="111" t="s">
        <v>60</v>
      </c>
      <c r="I23" s="111" t="s">
        <v>60</v>
      </c>
      <c r="J23" s="111" t="s">
        <v>60</v>
      </c>
      <c r="K23" s="111" t="s">
        <v>60</v>
      </c>
      <c r="L23" s="111" t="s">
        <v>60</v>
      </c>
      <c r="M23" s="111" t="s">
        <v>107</v>
      </c>
      <c r="N23" s="111" t="s">
        <v>60</v>
      </c>
      <c r="O23" s="111" t="s">
        <v>60</v>
      </c>
      <c r="P23" s="111" t="s">
        <v>60</v>
      </c>
      <c r="Q23" s="111" t="s">
        <v>60</v>
      </c>
      <c r="R23" s="111" t="s">
        <v>60</v>
      </c>
      <c r="S23" s="111" t="s">
        <v>60</v>
      </c>
      <c r="T23" s="111" t="s">
        <v>60</v>
      </c>
      <c r="U23" s="111" t="s">
        <v>107</v>
      </c>
      <c r="V23" s="111" t="s">
        <v>107</v>
      </c>
      <c r="W23" s="111" t="s">
        <v>60</v>
      </c>
      <c r="X23" s="111" t="s">
        <v>60</v>
      </c>
      <c r="Y23" s="111" t="s">
        <v>107</v>
      </c>
      <c r="Z23" s="111" t="s">
        <v>60</v>
      </c>
      <c r="AA23" s="111" t="s">
        <v>60</v>
      </c>
      <c r="AB23" s="111"/>
      <c r="AC23" s="110" t="s">
        <v>48</v>
      </c>
      <c r="AD23" s="110" t="s">
        <v>39</v>
      </c>
      <c r="AE23" s="111">
        <v>0</v>
      </c>
      <c r="AF23" s="111">
        <v>1</v>
      </c>
      <c r="AG23" s="111">
        <v>0</v>
      </c>
      <c r="AH23" t="s">
        <v>1193</v>
      </c>
      <c r="AI23" t="s">
        <v>1193</v>
      </c>
      <c r="AJ23" s="96" t="s">
        <v>107</v>
      </c>
      <c r="AK23" s="96" t="s">
        <v>60</v>
      </c>
      <c r="AL23" s="96" t="s">
        <v>107</v>
      </c>
      <c r="AM23" s="96" t="s">
        <v>60</v>
      </c>
      <c r="AN23" s="96" t="s">
        <v>60</v>
      </c>
      <c r="AO23" s="96" t="s">
        <v>60</v>
      </c>
      <c r="AP23" s="96" t="s">
        <v>60</v>
      </c>
      <c r="AQ23" s="96" t="s">
        <v>60</v>
      </c>
      <c r="AR23" s="96" t="s">
        <v>60</v>
      </c>
      <c r="AS23" s="96" t="s">
        <v>60</v>
      </c>
      <c r="AT23" s="96" t="s">
        <v>60</v>
      </c>
      <c r="AU23" s="96" t="s">
        <v>60</v>
      </c>
      <c r="AV23" s="96" t="s">
        <v>107</v>
      </c>
      <c r="AW23" s="96" t="s">
        <v>60</v>
      </c>
      <c r="AX23" s="96" t="s">
        <v>60</v>
      </c>
      <c r="AY23" s="96" t="s">
        <v>60</v>
      </c>
      <c r="AZ23" s="96" t="s">
        <v>60</v>
      </c>
      <c r="BA23" s="96" t="s">
        <v>60</v>
      </c>
      <c r="BB23" s="96" t="s">
        <v>60</v>
      </c>
      <c r="BC23" s="96" t="s">
        <v>60</v>
      </c>
      <c r="BD23" s="96" t="s">
        <v>60</v>
      </c>
      <c r="BE23" s="96" t="s">
        <v>60</v>
      </c>
      <c r="BF23" s="96" t="s">
        <v>60</v>
      </c>
      <c r="BG23" s="96" t="s">
        <v>60</v>
      </c>
      <c r="BH23" s="96"/>
      <c r="BI23" s="96"/>
      <c r="BJ23" s="96"/>
      <c r="BK23" s="96" t="s">
        <v>107</v>
      </c>
      <c r="BL23" s="96" t="s">
        <v>1341</v>
      </c>
      <c r="BM23" s="96" t="s">
        <v>60</v>
      </c>
    </row>
    <row r="24" spans="1:65" s="99" customFormat="1" ht="33.6" customHeight="1" x14ac:dyDescent="0.3">
      <c r="A24" s="96">
        <v>20</v>
      </c>
      <c r="B24" s="100" t="s">
        <v>1281</v>
      </c>
      <c r="C24" s="110" t="s">
        <v>1190</v>
      </c>
      <c r="D24" s="110" t="s">
        <v>1142</v>
      </c>
      <c r="E24" s="110" t="s">
        <v>66</v>
      </c>
      <c r="F24" s="110" t="s">
        <v>231</v>
      </c>
      <c r="G24" s="108" t="s">
        <v>107</v>
      </c>
      <c r="H24" s="111" t="s">
        <v>60</v>
      </c>
      <c r="I24" s="111" t="s">
        <v>60</v>
      </c>
      <c r="J24" s="111" t="s">
        <v>60</v>
      </c>
      <c r="K24" s="111" t="s">
        <v>60</v>
      </c>
      <c r="L24" s="111" t="s">
        <v>60</v>
      </c>
      <c r="M24" s="111" t="s">
        <v>60</v>
      </c>
      <c r="N24" s="111" t="s">
        <v>60</v>
      </c>
      <c r="O24" s="111" t="s">
        <v>60</v>
      </c>
      <c r="P24" s="111" t="s">
        <v>60</v>
      </c>
      <c r="Q24" s="111" t="s">
        <v>60</v>
      </c>
      <c r="R24" s="111" t="s">
        <v>60</v>
      </c>
      <c r="S24" s="111" t="s">
        <v>60</v>
      </c>
      <c r="T24" s="111" t="s">
        <v>60</v>
      </c>
      <c r="U24" s="111" t="s">
        <v>60</v>
      </c>
      <c r="V24" s="111" t="s">
        <v>60</v>
      </c>
      <c r="W24" s="111" t="s">
        <v>60</v>
      </c>
      <c r="X24" s="111" t="s">
        <v>60</v>
      </c>
      <c r="Y24" s="111" t="s">
        <v>60</v>
      </c>
      <c r="Z24" s="111" t="s">
        <v>60</v>
      </c>
      <c r="AA24" s="111" t="s">
        <v>107</v>
      </c>
      <c r="AB24" s="111"/>
      <c r="AC24" s="110" t="s">
        <v>48</v>
      </c>
      <c r="AD24" s="110" t="s">
        <v>39</v>
      </c>
      <c r="AE24" s="111">
        <v>0</v>
      </c>
      <c r="AF24" s="111">
        <v>1</v>
      </c>
      <c r="AG24" s="111">
        <v>0</v>
      </c>
      <c r="AH24" t="s">
        <v>1203</v>
      </c>
      <c r="AI24" t="s">
        <v>1203</v>
      </c>
      <c r="AJ24" s="96" t="s">
        <v>107</v>
      </c>
      <c r="AK24" s="96" t="s">
        <v>107</v>
      </c>
      <c r="AL24" s="96" t="s">
        <v>60</v>
      </c>
      <c r="AM24" s="96" t="s">
        <v>60</v>
      </c>
      <c r="AN24" s="96" t="s">
        <v>60</v>
      </c>
      <c r="AO24" s="96" t="s">
        <v>60</v>
      </c>
      <c r="AP24" s="96" t="s">
        <v>60</v>
      </c>
      <c r="AQ24" s="96" t="s">
        <v>60</v>
      </c>
      <c r="AR24" s="96" t="s">
        <v>60</v>
      </c>
      <c r="AS24" s="96" t="s">
        <v>60</v>
      </c>
      <c r="AT24" s="96" t="s">
        <v>60</v>
      </c>
      <c r="AU24" s="96" t="s">
        <v>60</v>
      </c>
      <c r="AV24" s="96" t="s">
        <v>107</v>
      </c>
      <c r="AW24" s="96" t="s">
        <v>60</v>
      </c>
      <c r="AX24" s="96" t="s">
        <v>60</v>
      </c>
      <c r="AY24" s="96" t="s">
        <v>60</v>
      </c>
      <c r="AZ24" s="96" t="s">
        <v>60</v>
      </c>
      <c r="BA24" s="96" t="s">
        <v>60</v>
      </c>
      <c r="BB24" s="96" t="s">
        <v>60</v>
      </c>
      <c r="BC24" s="96" t="s">
        <v>60</v>
      </c>
      <c r="BD24" s="96" t="s">
        <v>60</v>
      </c>
      <c r="BE24" s="96" t="s">
        <v>60</v>
      </c>
      <c r="BF24" s="96" t="s">
        <v>60</v>
      </c>
      <c r="BG24" s="96" t="s">
        <v>60</v>
      </c>
      <c r="BH24" s="96"/>
      <c r="BI24" s="96"/>
      <c r="BJ24" s="96"/>
      <c r="BK24" s="96"/>
      <c r="BL24" s="96"/>
      <c r="BM24" s="96" t="s">
        <v>60</v>
      </c>
    </row>
    <row r="25" spans="1:65" s="99" customFormat="1" ht="27" customHeight="1" x14ac:dyDescent="0.3">
      <c r="A25" s="96">
        <v>21</v>
      </c>
      <c r="B25" s="100" t="s">
        <v>1282</v>
      </c>
      <c r="C25" s="110" t="s">
        <v>1189</v>
      </c>
      <c r="D25" s="110" t="s">
        <v>1316</v>
      </c>
      <c r="E25" s="110" t="s">
        <v>40</v>
      </c>
      <c r="F25" s="110" t="s">
        <v>40</v>
      </c>
      <c r="G25" s="108" t="s">
        <v>107</v>
      </c>
      <c r="H25" s="111" t="s">
        <v>60</v>
      </c>
      <c r="I25" s="111" t="s">
        <v>60</v>
      </c>
      <c r="J25" s="111" t="s">
        <v>60</v>
      </c>
      <c r="K25" s="111" t="s">
        <v>60</v>
      </c>
      <c r="L25" s="111" t="s">
        <v>60</v>
      </c>
      <c r="M25" s="111" t="s">
        <v>60</v>
      </c>
      <c r="N25" s="111" t="s">
        <v>60</v>
      </c>
      <c r="O25" s="111" t="s">
        <v>60</v>
      </c>
      <c r="P25" s="111" t="s">
        <v>107</v>
      </c>
      <c r="Q25" s="111" t="s">
        <v>60</v>
      </c>
      <c r="R25" s="111" t="s">
        <v>60</v>
      </c>
      <c r="S25" s="111" t="s">
        <v>60</v>
      </c>
      <c r="T25" s="111" t="s">
        <v>60</v>
      </c>
      <c r="U25" s="111" t="s">
        <v>107</v>
      </c>
      <c r="V25" s="111" t="s">
        <v>60</v>
      </c>
      <c r="W25" s="111" t="s">
        <v>60</v>
      </c>
      <c r="X25" s="111" t="s">
        <v>60</v>
      </c>
      <c r="Y25" s="111" t="s">
        <v>60</v>
      </c>
      <c r="Z25" s="111" t="s">
        <v>60</v>
      </c>
      <c r="AA25" s="111" t="s">
        <v>60</v>
      </c>
      <c r="AB25" s="111"/>
      <c r="AC25" s="110" t="s">
        <v>74</v>
      </c>
      <c r="AD25" s="110" t="s">
        <v>39</v>
      </c>
      <c r="AE25" s="111">
        <v>0</v>
      </c>
      <c r="AF25" s="111">
        <v>9</v>
      </c>
      <c r="AG25" s="111">
        <v>0</v>
      </c>
      <c r="AH25" t="s">
        <v>1192</v>
      </c>
      <c r="AI25" t="s">
        <v>1193</v>
      </c>
      <c r="AJ25" s="96" t="s">
        <v>107</v>
      </c>
      <c r="AK25" s="96" t="s">
        <v>107</v>
      </c>
      <c r="AL25" s="96" t="s">
        <v>60</v>
      </c>
      <c r="AM25" s="96" t="s">
        <v>60</v>
      </c>
      <c r="AN25" s="96" t="s">
        <v>60</v>
      </c>
      <c r="AO25" s="96" t="s">
        <v>60</v>
      </c>
      <c r="AP25" s="96" t="s">
        <v>60</v>
      </c>
      <c r="AQ25" s="96" t="s">
        <v>60</v>
      </c>
      <c r="AR25" s="96" t="s">
        <v>60</v>
      </c>
      <c r="AS25" s="96" t="s">
        <v>60</v>
      </c>
      <c r="AT25" s="96" t="s">
        <v>60</v>
      </c>
      <c r="AU25" s="96" t="s">
        <v>60</v>
      </c>
      <c r="AV25" s="96" t="s">
        <v>60</v>
      </c>
      <c r="AW25" s="96" t="s">
        <v>60</v>
      </c>
      <c r="AX25" s="96" t="s">
        <v>60</v>
      </c>
      <c r="AY25" s="96" t="s">
        <v>60</v>
      </c>
      <c r="AZ25" s="96" t="s">
        <v>60</v>
      </c>
      <c r="BA25" s="96" t="s">
        <v>60</v>
      </c>
      <c r="BB25" s="96" t="s">
        <v>60</v>
      </c>
      <c r="BC25" s="96" t="s">
        <v>60</v>
      </c>
      <c r="BD25" s="96" t="s">
        <v>60</v>
      </c>
      <c r="BE25" s="96" t="s">
        <v>60</v>
      </c>
      <c r="BF25" s="96" t="s">
        <v>60</v>
      </c>
      <c r="BG25" s="96" t="s">
        <v>60</v>
      </c>
      <c r="BH25" s="96"/>
      <c r="BI25" s="96"/>
      <c r="BJ25" s="96"/>
      <c r="BK25" s="96"/>
      <c r="BL25" s="96"/>
      <c r="BM25" s="96" t="s">
        <v>60</v>
      </c>
    </row>
    <row r="26" spans="1:65" s="99" customFormat="1" ht="34.799999999999997" customHeight="1" x14ac:dyDescent="0.3">
      <c r="A26" s="96">
        <v>22</v>
      </c>
      <c r="B26" s="100" t="s">
        <v>1283</v>
      </c>
      <c r="C26" s="110" t="s">
        <v>1189</v>
      </c>
      <c r="D26" s="110" t="s">
        <v>732</v>
      </c>
      <c r="E26" s="110" t="s">
        <v>66</v>
      </c>
      <c r="F26" s="110" t="s">
        <v>65</v>
      </c>
      <c r="G26" s="108" t="s">
        <v>107</v>
      </c>
      <c r="H26" s="111" t="s">
        <v>60</v>
      </c>
      <c r="I26" s="111" t="s">
        <v>60</v>
      </c>
      <c r="J26" s="111" t="s">
        <v>107</v>
      </c>
      <c r="K26" s="111" t="s">
        <v>60</v>
      </c>
      <c r="L26" s="111" t="s">
        <v>60</v>
      </c>
      <c r="M26" s="111" t="s">
        <v>60</v>
      </c>
      <c r="N26" s="111" t="s">
        <v>60</v>
      </c>
      <c r="O26" s="111" t="s">
        <v>60</v>
      </c>
      <c r="P26" s="111" t="s">
        <v>60</v>
      </c>
      <c r="Q26" s="111" t="s">
        <v>60</v>
      </c>
      <c r="R26" s="111" t="s">
        <v>60</v>
      </c>
      <c r="S26" s="111" t="s">
        <v>60</v>
      </c>
      <c r="T26" s="111" t="s">
        <v>60</v>
      </c>
      <c r="U26" s="111" t="s">
        <v>60</v>
      </c>
      <c r="V26" s="111" t="s">
        <v>60</v>
      </c>
      <c r="W26" s="111" t="s">
        <v>60</v>
      </c>
      <c r="X26" s="111" t="s">
        <v>60</v>
      </c>
      <c r="Y26" s="111" t="s">
        <v>60</v>
      </c>
      <c r="Z26" s="111" t="s">
        <v>60</v>
      </c>
      <c r="AA26" s="111" t="s">
        <v>60</v>
      </c>
      <c r="AB26" s="111"/>
      <c r="AC26" s="110" t="s">
        <v>74</v>
      </c>
      <c r="AD26" s="110" t="s">
        <v>89</v>
      </c>
      <c r="AE26" s="111">
        <v>0</v>
      </c>
      <c r="AF26" s="111">
        <v>3</v>
      </c>
      <c r="AG26" s="111">
        <v>0</v>
      </c>
      <c r="AH26" t="s">
        <v>1193</v>
      </c>
      <c r="AI26" t="s">
        <v>1193</v>
      </c>
      <c r="AJ26" s="96" t="s">
        <v>107</v>
      </c>
      <c r="AK26" s="96" t="s">
        <v>60</v>
      </c>
      <c r="AL26" s="96" t="s">
        <v>107</v>
      </c>
      <c r="AM26" s="96" t="s">
        <v>60</v>
      </c>
      <c r="AN26" s="96" t="s">
        <v>60</v>
      </c>
      <c r="AO26" s="96" t="s">
        <v>60</v>
      </c>
      <c r="AP26" s="96" t="s">
        <v>60</v>
      </c>
      <c r="AQ26" s="96" t="s">
        <v>60</v>
      </c>
      <c r="AR26" s="96" t="s">
        <v>60</v>
      </c>
      <c r="AS26" s="96" t="s">
        <v>60</v>
      </c>
      <c r="AT26" s="96" t="s">
        <v>60</v>
      </c>
      <c r="AU26" s="96" t="s">
        <v>107</v>
      </c>
      <c r="AV26" s="96" t="s">
        <v>60</v>
      </c>
      <c r="AW26" s="96" t="s">
        <v>60</v>
      </c>
      <c r="AX26" s="96" t="s">
        <v>60</v>
      </c>
      <c r="AY26" s="96" t="s">
        <v>60</v>
      </c>
      <c r="AZ26" s="96" t="s">
        <v>60</v>
      </c>
      <c r="BA26" s="96" t="s">
        <v>60</v>
      </c>
      <c r="BB26" s="96" t="s">
        <v>60</v>
      </c>
      <c r="BC26" s="96" t="s">
        <v>60</v>
      </c>
      <c r="BD26" s="96" t="s">
        <v>60</v>
      </c>
      <c r="BE26" s="96" t="s">
        <v>60</v>
      </c>
      <c r="BF26" s="96" t="s">
        <v>60</v>
      </c>
      <c r="BG26" s="96" t="s">
        <v>60</v>
      </c>
      <c r="BH26" s="96"/>
      <c r="BI26" s="96"/>
      <c r="BJ26" s="96"/>
      <c r="BK26" s="96"/>
      <c r="BL26" s="96"/>
      <c r="BM26" s="96" t="s">
        <v>107</v>
      </c>
    </row>
    <row r="27" spans="1:65" s="99" customFormat="1" ht="30.6" customHeight="1" x14ac:dyDescent="0.3">
      <c r="A27" s="96">
        <v>23</v>
      </c>
      <c r="B27" s="100" t="s">
        <v>1284</v>
      </c>
      <c r="C27" s="110" t="s">
        <v>1190</v>
      </c>
      <c r="D27" s="110" t="s">
        <v>1317</v>
      </c>
      <c r="E27" s="110" t="s">
        <v>66</v>
      </c>
      <c r="F27" s="110" t="s">
        <v>1239</v>
      </c>
      <c r="G27" s="108" t="s">
        <v>107</v>
      </c>
      <c r="H27" s="111" t="s">
        <v>60</v>
      </c>
      <c r="I27" s="111" t="s">
        <v>60</v>
      </c>
      <c r="J27" s="111" t="s">
        <v>60</v>
      </c>
      <c r="K27" s="111" t="s">
        <v>60</v>
      </c>
      <c r="L27" s="111" t="s">
        <v>60</v>
      </c>
      <c r="M27" s="111" t="s">
        <v>60</v>
      </c>
      <c r="N27" s="111" t="s">
        <v>60</v>
      </c>
      <c r="O27" s="111" t="s">
        <v>60</v>
      </c>
      <c r="P27" s="111" t="s">
        <v>60</v>
      </c>
      <c r="Q27" s="111" t="s">
        <v>60</v>
      </c>
      <c r="R27" s="111" t="s">
        <v>60</v>
      </c>
      <c r="S27" s="111" t="s">
        <v>60</v>
      </c>
      <c r="T27" s="111" t="s">
        <v>60</v>
      </c>
      <c r="U27" s="111" t="s">
        <v>60</v>
      </c>
      <c r="V27" s="111" t="s">
        <v>60</v>
      </c>
      <c r="W27" s="111" t="s">
        <v>60</v>
      </c>
      <c r="X27" s="111" t="s">
        <v>60</v>
      </c>
      <c r="Y27" s="111" t="s">
        <v>60</v>
      </c>
      <c r="Z27" s="111" t="s">
        <v>60</v>
      </c>
      <c r="AA27" s="111" t="s">
        <v>107</v>
      </c>
      <c r="AB27" s="111"/>
      <c r="AC27" s="110" t="s">
        <v>74</v>
      </c>
      <c r="AD27" s="110" t="s">
        <v>89</v>
      </c>
      <c r="AE27" s="111">
        <v>0</v>
      </c>
      <c r="AF27" s="111">
        <v>4</v>
      </c>
      <c r="AG27" s="111">
        <v>0</v>
      </c>
      <c r="AH27" t="s">
        <v>1193</v>
      </c>
      <c r="AI27" t="s">
        <v>1193</v>
      </c>
      <c r="AJ27" s="96" t="s">
        <v>107</v>
      </c>
      <c r="AK27" s="96" t="s">
        <v>107</v>
      </c>
      <c r="AL27" s="96" t="s">
        <v>60</v>
      </c>
      <c r="AM27" s="96" t="s">
        <v>60</v>
      </c>
      <c r="AN27" s="96" t="s">
        <v>60</v>
      </c>
      <c r="AO27" s="96" t="s">
        <v>60</v>
      </c>
      <c r="AP27" s="96" t="s">
        <v>60</v>
      </c>
      <c r="AQ27" s="96" t="s">
        <v>60</v>
      </c>
      <c r="AR27" s="96" t="s">
        <v>60</v>
      </c>
      <c r="AS27" s="96" t="s">
        <v>60</v>
      </c>
      <c r="AT27" s="96" t="s">
        <v>60</v>
      </c>
      <c r="AU27" s="96" t="s">
        <v>60</v>
      </c>
      <c r="AV27" s="96" t="s">
        <v>60</v>
      </c>
      <c r="AW27" s="96" t="s">
        <v>60</v>
      </c>
      <c r="AX27" s="96" t="s">
        <v>60</v>
      </c>
      <c r="AY27" s="96" t="s">
        <v>60</v>
      </c>
      <c r="AZ27" s="96" t="s">
        <v>60</v>
      </c>
      <c r="BA27" s="96" t="s">
        <v>60</v>
      </c>
      <c r="BB27" s="96" t="s">
        <v>60</v>
      </c>
      <c r="BC27" s="96" t="s">
        <v>60</v>
      </c>
      <c r="BD27" s="96" t="s">
        <v>60</v>
      </c>
      <c r="BE27" s="96" t="s">
        <v>60</v>
      </c>
      <c r="BF27" s="96" t="s">
        <v>60</v>
      </c>
      <c r="BG27" s="96" t="s">
        <v>60</v>
      </c>
      <c r="BH27" s="96"/>
      <c r="BI27" s="96"/>
      <c r="BJ27" s="96"/>
      <c r="BK27" s="96"/>
      <c r="BL27" s="96"/>
      <c r="BM27" s="96" t="s">
        <v>60</v>
      </c>
    </row>
    <row r="28" spans="1:65" s="99" customFormat="1" ht="30.6" customHeight="1" x14ac:dyDescent="0.3">
      <c r="A28" s="96">
        <v>24</v>
      </c>
      <c r="B28" s="100" t="s">
        <v>1285</v>
      </c>
      <c r="C28" s="110" t="s">
        <v>1190</v>
      </c>
      <c r="D28" s="110" t="s">
        <v>1318</v>
      </c>
      <c r="E28" s="110" t="s">
        <v>66</v>
      </c>
      <c r="F28" s="110" t="s">
        <v>462</v>
      </c>
      <c r="G28" s="108" t="s">
        <v>107</v>
      </c>
      <c r="H28" s="111" t="s">
        <v>60</v>
      </c>
      <c r="I28" s="111" t="s">
        <v>60</v>
      </c>
      <c r="J28" s="111" t="s">
        <v>60</v>
      </c>
      <c r="K28" s="111" t="s">
        <v>60</v>
      </c>
      <c r="L28" s="111" t="s">
        <v>60</v>
      </c>
      <c r="M28" s="111" t="s">
        <v>60</v>
      </c>
      <c r="N28" s="111" t="s">
        <v>60</v>
      </c>
      <c r="O28" s="111" t="s">
        <v>107</v>
      </c>
      <c r="P28" s="111" t="s">
        <v>60</v>
      </c>
      <c r="Q28" s="111" t="s">
        <v>60</v>
      </c>
      <c r="R28" s="111" t="s">
        <v>60</v>
      </c>
      <c r="S28" s="111" t="s">
        <v>60</v>
      </c>
      <c r="T28" s="111" t="s">
        <v>60</v>
      </c>
      <c r="U28" s="111" t="s">
        <v>60</v>
      </c>
      <c r="V28" s="111" t="s">
        <v>60</v>
      </c>
      <c r="W28" s="111" t="s">
        <v>60</v>
      </c>
      <c r="X28" s="111" t="s">
        <v>60</v>
      </c>
      <c r="Y28" s="111" t="s">
        <v>60</v>
      </c>
      <c r="Z28" s="111" t="s">
        <v>60</v>
      </c>
      <c r="AA28" s="111" t="s">
        <v>60</v>
      </c>
      <c r="AB28" s="111"/>
      <c r="AC28" s="110" t="s">
        <v>74</v>
      </c>
      <c r="AD28" s="110" t="s">
        <v>39</v>
      </c>
      <c r="AE28" s="111">
        <v>2</v>
      </c>
      <c r="AF28" s="111">
        <v>10</v>
      </c>
      <c r="AG28" s="111">
        <v>0</v>
      </c>
      <c r="AH28" t="s">
        <v>1193</v>
      </c>
      <c r="AI28" t="s">
        <v>1194</v>
      </c>
      <c r="AJ28" s="96" t="s">
        <v>60</v>
      </c>
      <c r="AK28" s="96" t="s">
        <v>60</v>
      </c>
      <c r="AL28" s="96" t="s">
        <v>60</v>
      </c>
      <c r="AM28" s="96" t="s">
        <v>60</v>
      </c>
      <c r="AN28" s="96" t="s">
        <v>60</v>
      </c>
      <c r="AO28" s="96" t="s">
        <v>60</v>
      </c>
      <c r="AP28" s="96" t="s">
        <v>60</v>
      </c>
      <c r="AQ28" s="96" t="s">
        <v>60</v>
      </c>
      <c r="AR28" s="96" t="s">
        <v>60</v>
      </c>
      <c r="AS28" s="96" t="s">
        <v>60</v>
      </c>
      <c r="AT28" s="96" t="s">
        <v>60</v>
      </c>
      <c r="AU28" s="96" t="s">
        <v>60</v>
      </c>
      <c r="AV28" s="96" t="s">
        <v>60</v>
      </c>
      <c r="AW28" s="96" t="s">
        <v>60</v>
      </c>
      <c r="AX28" s="96" t="s">
        <v>60</v>
      </c>
      <c r="AY28" s="96" t="s">
        <v>60</v>
      </c>
      <c r="AZ28" s="96" t="s">
        <v>60</v>
      </c>
      <c r="BA28" s="96" t="s">
        <v>60</v>
      </c>
      <c r="BB28" s="96" t="s">
        <v>60</v>
      </c>
      <c r="BC28" s="96" t="s">
        <v>60</v>
      </c>
      <c r="BD28" s="96" t="s">
        <v>60</v>
      </c>
      <c r="BE28" s="96" t="s">
        <v>60</v>
      </c>
      <c r="BF28" s="96" t="s">
        <v>60</v>
      </c>
      <c r="BG28" s="96" t="s">
        <v>60</v>
      </c>
      <c r="BH28" s="96"/>
      <c r="BI28" s="96"/>
      <c r="BJ28" s="96"/>
      <c r="BK28" s="96" t="s">
        <v>107</v>
      </c>
      <c r="BL28" s="97" t="s">
        <v>1343</v>
      </c>
      <c r="BM28" s="96" t="s">
        <v>60</v>
      </c>
    </row>
    <row r="29" spans="1:65" s="99" customFormat="1" ht="31.2" customHeight="1" x14ac:dyDescent="0.3">
      <c r="A29" s="96">
        <v>25</v>
      </c>
      <c r="B29" s="100" t="s">
        <v>1286</v>
      </c>
      <c r="C29" s="110" t="s">
        <v>1190</v>
      </c>
      <c r="D29" s="110" t="s">
        <v>1319</v>
      </c>
      <c r="E29" s="110" t="s">
        <v>66</v>
      </c>
      <c r="F29" s="110" t="s">
        <v>1240</v>
      </c>
      <c r="G29" s="108" t="s">
        <v>60</v>
      </c>
      <c r="H29" s="111" t="s">
        <v>60</v>
      </c>
      <c r="I29" s="111" t="s">
        <v>60</v>
      </c>
      <c r="J29" s="111" t="s">
        <v>60</v>
      </c>
      <c r="K29" s="111" t="s">
        <v>60</v>
      </c>
      <c r="L29" s="111" t="s">
        <v>60</v>
      </c>
      <c r="M29" s="111" t="s">
        <v>60</v>
      </c>
      <c r="N29" s="111" t="s">
        <v>60</v>
      </c>
      <c r="O29" s="111" t="s">
        <v>60</v>
      </c>
      <c r="P29" s="111" t="s">
        <v>60</v>
      </c>
      <c r="Q29" s="111" t="s">
        <v>60</v>
      </c>
      <c r="R29" s="111" t="s">
        <v>60</v>
      </c>
      <c r="S29" s="111" t="s">
        <v>60</v>
      </c>
      <c r="T29" s="111" t="s">
        <v>60</v>
      </c>
      <c r="U29" s="111" t="s">
        <v>60</v>
      </c>
      <c r="V29" s="111" t="s">
        <v>60</v>
      </c>
      <c r="W29" s="111" t="s">
        <v>60</v>
      </c>
      <c r="X29" s="111" t="s">
        <v>60</v>
      </c>
      <c r="Y29" s="111" t="s">
        <v>60</v>
      </c>
      <c r="Z29" s="111" t="s">
        <v>60</v>
      </c>
      <c r="AA29" s="111" t="s">
        <v>60</v>
      </c>
      <c r="AB29" s="111"/>
      <c r="AC29" s="110" t="s">
        <v>74</v>
      </c>
      <c r="AD29" s="110" t="s">
        <v>89</v>
      </c>
      <c r="AE29" s="111">
        <v>1</v>
      </c>
      <c r="AF29" s="111">
        <v>12</v>
      </c>
      <c r="AG29" s="111">
        <v>0</v>
      </c>
      <c r="AH29" t="s">
        <v>1203</v>
      </c>
      <c r="AI29" t="s">
        <v>1203</v>
      </c>
      <c r="AJ29" s="96" t="s">
        <v>60</v>
      </c>
      <c r="AK29" s="96" t="s">
        <v>60</v>
      </c>
      <c r="AL29" s="96" t="s">
        <v>60</v>
      </c>
      <c r="AM29" s="96" t="s">
        <v>60</v>
      </c>
      <c r="AN29" s="96" t="s">
        <v>60</v>
      </c>
      <c r="AO29" s="96" t="s">
        <v>60</v>
      </c>
      <c r="AP29" s="96" t="s">
        <v>60</v>
      </c>
      <c r="AQ29" s="96" t="s">
        <v>60</v>
      </c>
      <c r="AR29" s="96" t="s">
        <v>60</v>
      </c>
      <c r="AS29" s="96" t="s">
        <v>60</v>
      </c>
      <c r="AT29" s="96" t="s">
        <v>60</v>
      </c>
      <c r="AU29" s="96" t="s">
        <v>107</v>
      </c>
      <c r="AV29" s="96" t="s">
        <v>107</v>
      </c>
      <c r="AW29" s="96" t="s">
        <v>60</v>
      </c>
      <c r="AX29" s="96" t="s">
        <v>60</v>
      </c>
      <c r="AY29" s="96" t="s">
        <v>60</v>
      </c>
      <c r="AZ29" s="96" t="s">
        <v>60</v>
      </c>
      <c r="BA29" s="96" t="s">
        <v>60</v>
      </c>
      <c r="BB29" s="96" t="s">
        <v>60</v>
      </c>
      <c r="BC29" s="96" t="s">
        <v>60</v>
      </c>
      <c r="BD29" s="96" t="s">
        <v>60</v>
      </c>
      <c r="BE29" s="96" t="s">
        <v>60</v>
      </c>
      <c r="BF29" s="96" t="s">
        <v>60</v>
      </c>
      <c r="BG29" s="96" t="s">
        <v>60</v>
      </c>
      <c r="BH29" s="96"/>
      <c r="BI29" s="96"/>
      <c r="BJ29" s="96"/>
      <c r="BK29" s="96" t="s">
        <v>107</v>
      </c>
      <c r="BL29" s="98" t="s">
        <v>1344</v>
      </c>
      <c r="BM29" s="96" t="s">
        <v>60</v>
      </c>
    </row>
    <row r="30" spans="1:65" s="99" customFormat="1" ht="33" customHeight="1" x14ac:dyDescent="0.3">
      <c r="A30" s="96">
        <v>26</v>
      </c>
      <c r="B30" s="100" t="s">
        <v>1287</v>
      </c>
      <c r="C30" s="110" t="s">
        <v>1188</v>
      </c>
      <c r="D30" s="110" t="s">
        <v>1055</v>
      </c>
      <c r="E30" s="110" t="s">
        <v>66</v>
      </c>
      <c r="F30" s="110" t="s">
        <v>231</v>
      </c>
      <c r="G30" s="108" t="s">
        <v>60</v>
      </c>
      <c r="H30" s="111" t="s">
        <v>60</v>
      </c>
      <c r="I30" s="111" t="s">
        <v>60</v>
      </c>
      <c r="J30" s="111" t="s">
        <v>60</v>
      </c>
      <c r="K30" s="111" t="s">
        <v>60</v>
      </c>
      <c r="L30" s="111" t="s">
        <v>60</v>
      </c>
      <c r="M30" s="111" t="s">
        <v>60</v>
      </c>
      <c r="N30" s="111" t="s">
        <v>60</v>
      </c>
      <c r="O30" s="111" t="s">
        <v>60</v>
      </c>
      <c r="P30" s="111" t="s">
        <v>60</v>
      </c>
      <c r="Q30" s="111" t="s">
        <v>60</v>
      </c>
      <c r="R30" s="111" t="s">
        <v>60</v>
      </c>
      <c r="S30" s="111" t="s">
        <v>60</v>
      </c>
      <c r="T30" s="111" t="s">
        <v>60</v>
      </c>
      <c r="U30" s="111" t="s">
        <v>60</v>
      </c>
      <c r="V30" s="111" t="s">
        <v>60</v>
      </c>
      <c r="W30" s="111" t="s">
        <v>60</v>
      </c>
      <c r="X30" s="111" t="s">
        <v>60</v>
      </c>
      <c r="Y30" s="111" t="s">
        <v>60</v>
      </c>
      <c r="Z30" s="111" t="s">
        <v>60</v>
      </c>
      <c r="AA30" s="111" t="s">
        <v>60</v>
      </c>
      <c r="AB30" s="111"/>
      <c r="AC30" s="110" t="s">
        <v>74</v>
      </c>
      <c r="AD30" s="110" t="s">
        <v>39</v>
      </c>
      <c r="AE30" s="111">
        <v>0</v>
      </c>
      <c r="AF30" s="111">
        <v>2</v>
      </c>
      <c r="AG30" s="111">
        <v>0</v>
      </c>
      <c r="AH30" t="s">
        <v>1193</v>
      </c>
      <c r="AI30" t="s">
        <v>1193</v>
      </c>
      <c r="AJ30" s="96" t="s">
        <v>107</v>
      </c>
      <c r="AK30" s="96" t="s">
        <v>107</v>
      </c>
      <c r="AL30" s="96" t="s">
        <v>60</v>
      </c>
      <c r="AM30" s="96" t="s">
        <v>60</v>
      </c>
      <c r="AN30" s="96" t="s">
        <v>60</v>
      </c>
      <c r="AO30" s="96" t="s">
        <v>60</v>
      </c>
      <c r="AP30" s="96" t="s">
        <v>60</v>
      </c>
      <c r="AQ30" s="96" t="s">
        <v>60</v>
      </c>
      <c r="AR30" s="96" t="s">
        <v>60</v>
      </c>
      <c r="AS30" s="96" t="s">
        <v>60</v>
      </c>
      <c r="AT30" s="96" t="s">
        <v>60</v>
      </c>
      <c r="AU30" s="96" t="s">
        <v>60</v>
      </c>
      <c r="AV30" s="96" t="s">
        <v>60</v>
      </c>
      <c r="AW30" s="96" t="s">
        <v>60</v>
      </c>
      <c r="AX30" s="96" t="s">
        <v>60</v>
      </c>
      <c r="AY30" s="96" t="s">
        <v>60</v>
      </c>
      <c r="AZ30" s="96" t="s">
        <v>60</v>
      </c>
      <c r="BA30" s="96" t="s">
        <v>60</v>
      </c>
      <c r="BB30" s="96" t="s">
        <v>60</v>
      </c>
      <c r="BC30" s="96" t="s">
        <v>60</v>
      </c>
      <c r="BD30" s="96" t="s">
        <v>60</v>
      </c>
      <c r="BE30" s="96" t="s">
        <v>60</v>
      </c>
      <c r="BF30" s="96" t="s">
        <v>60</v>
      </c>
      <c r="BG30" s="96" t="s">
        <v>60</v>
      </c>
      <c r="BH30" s="96"/>
      <c r="BI30" s="96"/>
      <c r="BJ30" s="96"/>
      <c r="BK30" s="96"/>
      <c r="BL30" s="96"/>
      <c r="BM30" s="96" t="s">
        <v>60</v>
      </c>
    </row>
    <row r="31" spans="1:65" s="99" customFormat="1" ht="29.4" customHeight="1" x14ac:dyDescent="0.3">
      <c r="A31" s="96">
        <v>27</v>
      </c>
      <c r="B31" s="100" t="s">
        <v>1288</v>
      </c>
      <c r="C31" s="110" t="s">
        <v>1188</v>
      </c>
      <c r="D31" s="110" t="s">
        <v>142</v>
      </c>
      <c r="E31" s="110" t="s">
        <v>66</v>
      </c>
      <c r="F31" s="110" t="s">
        <v>65</v>
      </c>
      <c r="G31" s="108" t="s">
        <v>60</v>
      </c>
      <c r="H31" s="111" t="s">
        <v>60</v>
      </c>
      <c r="I31" s="111" t="s">
        <v>60</v>
      </c>
      <c r="J31" s="111" t="s">
        <v>60</v>
      </c>
      <c r="K31" s="111" t="s">
        <v>60</v>
      </c>
      <c r="L31" s="111" t="s">
        <v>60</v>
      </c>
      <c r="M31" s="111" t="s">
        <v>60</v>
      </c>
      <c r="N31" s="111" t="s">
        <v>60</v>
      </c>
      <c r="O31" s="111" t="s">
        <v>60</v>
      </c>
      <c r="P31" s="111" t="s">
        <v>60</v>
      </c>
      <c r="Q31" s="111" t="s">
        <v>60</v>
      </c>
      <c r="R31" s="111" t="s">
        <v>60</v>
      </c>
      <c r="S31" s="111" t="s">
        <v>60</v>
      </c>
      <c r="T31" s="111" t="s">
        <v>60</v>
      </c>
      <c r="U31" s="111" t="s">
        <v>60</v>
      </c>
      <c r="V31" s="111" t="s">
        <v>60</v>
      </c>
      <c r="W31" s="111" t="s">
        <v>60</v>
      </c>
      <c r="X31" s="111" t="s">
        <v>60</v>
      </c>
      <c r="Y31" s="111" t="s">
        <v>60</v>
      </c>
      <c r="Z31" s="111" t="s">
        <v>60</v>
      </c>
      <c r="AA31" s="111" t="s">
        <v>60</v>
      </c>
      <c r="AB31" s="111"/>
      <c r="AC31" s="110" t="s">
        <v>48</v>
      </c>
      <c r="AD31" s="110" t="s">
        <v>39</v>
      </c>
      <c r="AE31" s="111">
        <v>6</v>
      </c>
      <c r="AF31" s="111">
        <v>0</v>
      </c>
      <c r="AG31" s="111">
        <v>0</v>
      </c>
      <c r="AH31" t="s">
        <v>1192</v>
      </c>
      <c r="AI31" t="s">
        <v>162</v>
      </c>
      <c r="AJ31" s="96" t="s">
        <v>60</v>
      </c>
      <c r="AK31" s="96" t="s">
        <v>60</v>
      </c>
      <c r="AL31" s="96" t="s">
        <v>60</v>
      </c>
      <c r="AM31" s="96" t="s">
        <v>60</v>
      </c>
      <c r="AN31" s="96" t="s">
        <v>60</v>
      </c>
      <c r="AO31" s="96" t="s">
        <v>60</v>
      </c>
      <c r="AP31" s="96" t="s">
        <v>60</v>
      </c>
      <c r="AQ31" s="96" t="s">
        <v>60</v>
      </c>
      <c r="AR31" s="96" t="s">
        <v>60</v>
      </c>
      <c r="AS31" s="96" t="s">
        <v>60</v>
      </c>
      <c r="AT31" s="96" t="s">
        <v>60</v>
      </c>
      <c r="AU31" s="96" t="s">
        <v>60</v>
      </c>
      <c r="AV31" s="96" t="s">
        <v>60</v>
      </c>
      <c r="AW31" s="96" t="s">
        <v>60</v>
      </c>
      <c r="AX31" s="96" t="s">
        <v>60</v>
      </c>
      <c r="AY31" s="96" t="s">
        <v>60</v>
      </c>
      <c r="AZ31" s="96" t="s">
        <v>60</v>
      </c>
      <c r="BA31" s="96" t="s">
        <v>60</v>
      </c>
      <c r="BB31" s="96" t="s">
        <v>60</v>
      </c>
      <c r="BC31" s="96" t="s">
        <v>60</v>
      </c>
      <c r="BD31" s="96" t="s">
        <v>60</v>
      </c>
      <c r="BE31" s="96" t="s">
        <v>60</v>
      </c>
      <c r="BF31" s="96" t="s">
        <v>60</v>
      </c>
      <c r="BG31" s="96" t="s">
        <v>60</v>
      </c>
      <c r="BH31" s="96"/>
      <c r="BI31" s="96"/>
      <c r="BJ31" s="96"/>
      <c r="BK31" s="96" t="s">
        <v>107</v>
      </c>
      <c r="BL31" s="96" t="s">
        <v>1345</v>
      </c>
      <c r="BM31" s="96" t="s">
        <v>60</v>
      </c>
    </row>
    <row r="32" spans="1:65" s="99" customFormat="1" ht="27.6" customHeight="1" x14ac:dyDescent="0.3">
      <c r="A32" s="96">
        <v>28</v>
      </c>
      <c r="B32" s="100" t="s">
        <v>1289</v>
      </c>
      <c r="C32" s="110" t="s">
        <v>1188</v>
      </c>
      <c r="D32" s="110" t="s">
        <v>280</v>
      </c>
      <c r="E32" s="110" t="s">
        <v>40</v>
      </c>
      <c r="F32" s="110" t="s">
        <v>40</v>
      </c>
      <c r="G32" s="108" t="s">
        <v>107</v>
      </c>
      <c r="H32" s="111" t="s">
        <v>60</v>
      </c>
      <c r="I32" s="111" t="s">
        <v>60</v>
      </c>
      <c r="J32" s="111" t="s">
        <v>60</v>
      </c>
      <c r="K32" s="111" t="s">
        <v>60</v>
      </c>
      <c r="L32" s="111" t="s">
        <v>60</v>
      </c>
      <c r="M32" s="111" t="s">
        <v>60</v>
      </c>
      <c r="N32" s="111" t="s">
        <v>60</v>
      </c>
      <c r="O32" s="111" t="s">
        <v>60</v>
      </c>
      <c r="P32" s="111" t="s">
        <v>107</v>
      </c>
      <c r="Q32" s="111" t="s">
        <v>60</v>
      </c>
      <c r="R32" s="111" t="s">
        <v>60</v>
      </c>
      <c r="S32" s="111" t="s">
        <v>60</v>
      </c>
      <c r="T32" s="111" t="s">
        <v>60</v>
      </c>
      <c r="U32" s="111" t="s">
        <v>60</v>
      </c>
      <c r="V32" s="111" t="s">
        <v>60</v>
      </c>
      <c r="W32" s="111" t="s">
        <v>60</v>
      </c>
      <c r="X32" s="111" t="s">
        <v>60</v>
      </c>
      <c r="Y32" s="111" t="s">
        <v>60</v>
      </c>
      <c r="Z32" s="111" t="s">
        <v>60</v>
      </c>
      <c r="AA32" s="111" t="s">
        <v>60</v>
      </c>
      <c r="AB32" s="111"/>
      <c r="AC32" s="110" t="s">
        <v>48</v>
      </c>
      <c r="AD32" s="110" t="s">
        <v>39</v>
      </c>
      <c r="AE32" s="111">
        <v>0</v>
      </c>
      <c r="AF32" s="111">
        <v>25</v>
      </c>
      <c r="AG32" s="111">
        <v>0</v>
      </c>
      <c r="AH32" t="s">
        <v>1203</v>
      </c>
      <c r="AI32" t="s">
        <v>1203</v>
      </c>
      <c r="AJ32" s="96" t="s">
        <v>107</v>
      </c>
      <c r="AK32" s="96" t="s">
        <v>107</v>
      </c>
      <c r="AL32" s="96" t="s">
        <v>60</v>
      </c>
      <c r="AM32" s="96" t="s">
        <v>60</v>
      </c>
      <c r="AN32" s="96" t="s">
        <v>60</v>
      </c>
      <c r="AO32" s="96" t="s">
        <v>60</v>
      </c>
      <c r="AP32" s="96" t="s">
        <v>60</v>
      </c>
      <c r="AQ32" s="96" t="s">
        <v>60</v>
      </c>
      <c r="AR32" s="96" t="s">
        <v>60</v>
      </c>
      <c r="AS32" s="96" t="s">
        <v>60</v>
      </c>
      <c r="AT32" s="96" t="s">
        <v>60</v>
      </c>
      <c r="AU32" s="96" t="s">
        <v>60</v>
      </c>
      <c r="AV32" s="96" t="s">
        <v>60</v>
      </c>
      <c r="AW32" s="96" t="s">
        <v>60</v>
      </c>
      <c r="AX32" s="96" t="s">
        <v>60</v>
      </c>
      <c r="AY32" s="96" t="s">
        <v>60</v>
      </c>
      <c r="AZ32" s="96" t="s">
        <v>60</v>
      </c>
      <c r="BA32" s="96" t="s">
        <v>60</v>
      </c>
      <c r="BB32" s="96" t="s">
        <v>60</v>
      </c>
      <c r="BC32" s="96" t="s">
        <v>60</v>
      </c>
      <c r="BD32" s="96" t="s">
        <v>60</v>
      </c>
      <c r="BE32" s="96" t="s">
        <v>60</v>
      </c>
      <c r="BF32" s="96" t="s">
        <v>60</v>
      </c>
      <c r="BG32" s="96" t="s">
        <v>60</v>
      </c>
      <c r="BH32" s="96"/>
      <c r="BI32" s="96"/>
      <c r="BJ32" s="96"/>
      <c r="BK32" s="96"/>
      <c r="BL32" s="96"/>
      <c r="BM32" s="96" t="s">
        <v>60</v>
      </c>
    </row>
    <row r="33" spans="1:65" s="99" customFormat="1" ht="25.8" customHeight="1" x14ac:dyDescent="0.3">
      <c r="A33" s="96">
        <v>29</v>
      </c>
      <c r="B33" s="100" t="s">
        <v>1290</v>
      </c>
      <c r="C33" s="110" t="s">
        <v>1188</v>
      </c>
      <c r="D33" s="110" t="s">
        <v>143</v>
      </c>
      <c r="E33" s="110" t="s">
        <v>66</v>
      </c>
      <c r="F33" s="110" t="s">
        <v>1324</v>
      </c>
      <c r="G33" s="108" t="s">
        <v>107</v>
      </c>
      <c r="H33" s="111" t="s">
        <v>60</v>
      </c>
      <c r="I33" s="111" t="s">
        <v>60</v>
      </c>
      <c r="J33" s="111" t="s">
        <v>60</v>
      </c>
      <c r="K33" s="111" t="s">
        <v>60</v>
      </c>
      <c r="L33" s="111" t="s">
        <v>60</v>
      </c>
      <c r="M33" s="111" t="s">
        <v>60</v>
      </c>
      <c r="N33" s="111" t="s">
        <v>60</v>
      </c>
      <c r="O33" s="111" t="s">
        <v>60</v>
      </c>
      <c r="P33" s="111" t="s">
        <v>107</v>
      </c>
      <c r="Q33" s="111" t="s">
        <v>60</v>
      </c>
      <c r="R33" s="111" t="s">
        <v>60</v>
      </c>
      <c r="S33" s="111" t="s">
        <v>60</v>
      </c>
      <c r="T33" s="111" t="s">
        <v>60</v>
      </c>
      <c r="U33" s="111" t="s">
        <v>60</v>
      </c>
      <c r="V33" s="111" t="s">
        <v>60</v>
      </c>
      <c r="W33" s="111" t="s">
        <v>60</v>
      </c>
      <c r="X33" s="111" t="s">
        <v>107</v>
      </c>
      <c r="Y33" s="111" t="s">
        <v>60</v>
      </c>
      <c r="Z33" s="111" t="s">
        <v>60</v>
      </c>
      <c r="AA33" s="111" t="s">
        <v>60</v>
      </c>
      <c r="AB33" s="111"/>
      <c r="AC33" s="110" t="s">
        <v>48</v>
      </c>
      <c r="AD33" s="110" t="s">
        <v>39</v>
      </c>
      <c r="AE33" s="111">
        <v>0</v>
      </c>
      <c r="AF33" s="111">
        <v>12</v>
      </c>
      <c r="AG33" s="111">
        <v>0</v>
      </c>
      <c r="AH33" t="s">
        <v>1193</v>
      </c>
      <c r="AI33" t="s">
        <v>162</v>
      </c>
      <c r="AJ33" s="96" t="s">
        <v>60</v>
      </c>
      <c r="AK33" s="96" t="s">
        <v>60</v>
      </c>
      <c r="AL33" s="96" t="s">
        <v>60</v>
      </c>
      <c r="AM33" s="96" t="s">
        <v>60</v>
      </c>
      <c r="AN33" s="96" t="s">
        <v>60</v>
      </c>
      <c r="AO33" s="96" t="s">
        <v>60</v>
      </c>
      <c r="AP33" s="96" t="s">
        <v>60</v>
      </c>
      <c r="AQ33" s="96" t="s">
        <v>60</v>
      </c>
      <c r="AR33" s="96" t="s">
        <v>60</v>
      </c>
      <c r="AS33" s="96" t="s">
        <v>60</v>
      </c>
      <c r="AT33" s="96" t="s">
        <v>107</v>
      </c>
      <c r="AU33" s="96" t="s">
        <v>60</v>
      </c>
      <c r="AV33" s="96" t="s">
        <v>60</v>
      </c>
      <c r="AW33" s="96" t="s">
        <v>60</v>
      </c>
      <c r="AX33" s="96" t="s">
        <v>60</v>
      </c>
      <c r="AY33" s="96" t="s">
        <v>60</v>
      </c>
      <c r="AZ33" s="96" t="s">
        <v>60</v>
      </c>
      <c r="BA33" s="96" t="s">
        <v>60</v>
      </c>
      <c r="BB33" s="96" t="s">
        <v>60</v>
      </c>
      <c r="BC33" s="96" t="s">
        <v>60</v>
      </c>
      <c r="BD33" s="96" t="s">
        <v>60</v>
      </c>
      <c r="BE33" s="96" t="s">
        <v>60</v>
      </c>
      <c r="BF33" s="96" t="s">
        <v>60</v>
      </c>
      <c r="BG33" s="96" t="s">
        <v>60</v>
      </c>
      <c r="BH33" s="96"/>
      <c r="BI33" s="96"/>
      <c r="BJ33" s="96"/>
      <c r="BK33" s="96"/>
      <c r="BL33" s="96"/>
      <c r="BM33" s="96" t="s">
        <v>60</v>
      </c>
    </row>
    <row r="34" spans="1:65" s="99" customFormat="1" ht="25.2" customHeight="1" x14ac:dyDescent="0.3">
      <c r="A34" s="96">
        <v>30</v>
      </c>
      <c r="B34" s="100" t="s">
        <v>1291</v>
      </c>
      <c r="C34" s="110" t="s">
        <v>1188</v>
      </c>
      <c r="D34" s="110" t="s">
        <v>143</v>
      </c>
      <c r="E34" s="110" t="s">
        <v>66</v>
      </c>
      <c r="F34" s="110" t="s">
        <v>1325</v>
      </c>
      <c r="G34" s="108" t="s">
        <v>60</v>
      </c>
      <c r="H34" s="111" t="s">
        <v>60</v>
      </c>
      <c r="I34" s="111" t="s">
        <v>60</v>
      </c>
      <c r="J34" s="111" t="s">
        <v>60</v>
      </c>
      <c r="K34" s="111" t="s">
        <v>60</v>
      </c>
      <c r="L34" s="111" t="s">
        <v>60</v>
      </c>
      <c r="M34" s="111" t="s">
        <v>60</v>
      </c>
      <c r="N34" s="111" t="s">
        <v>60</v>
      </c>
      <c r="O34" s="111" t="s">
        <v>60</v>
      </c>
      <c r="P34" s="111" t="s">
        <v>60</v>
      </c>
      <c r="Q34" s="111" t="s">
        <v>60</v>
      </c>
      <c r="R34" s="111" t="s">
        <v>60</v>
      </c>
      <c r="S34" s="111" t="s">
        <v>60</v>
      </c>
      <c r="T34" s="111" t="s">
        <v>60</v>
      </c>
      <c r="U34" s="111" t="s">
        <v>60</v>
      </c>
      <c r="V34" s="111" t="s">
        <v>60</v>
      </c>
      <c r="W34" s="111" t="s">
        <v>60</v>
      </c>
      <c r="X34" s="111" t="s">
        <v>60</v>
      </c>
      <c r="Y34" s="111" t="s">
        <v>60</v>
      </c>
      <c r="Z34" s="111" t="s">
        <v>60</v>
      </c>
      <c r="AA34" s="111" t="s">
        <v>60</v>
      </c>
      <c r="AB34" s="111"/>
      <c r="AC34" s="110" t="s">
        <v>74</v>
      </c>
      <c r="AD34" s="110" t="s">
        <v>39</v>
      </c>
      <c r="AE34" s="111">
        <v>5</v>
      </c>
      <c r="AF34" s="111">
        <v>7</v>
      </c>
      <c r="AG34" s="111">
        <v>0</v>
      </c>
      <c r="AH34" t="s">
        <v>1192</v>
      </c>
      <c r="AI34" t="s">
        <v>162</v>
      </c>
      <c r="AJ34" s="96" t="s">
        <v>60</v>
      </c>
      <c r="AK34" s="96" t="s">
        <v>60</v>
      </c>
      <c r="AL34" s="96" t="s">
        <v>60</v>
      </c>
      <c r="AM34" s="96" t="s">
        <v>60</v>
      </c>
      <c r="AN34" s="96" t="s">
        <v>60</v>
      </c>
      <c r="AO34" s="96" t="s">
        <v>60</v>
      </c>
      <c r="AP34" s="96" t="s">
        <v>60</v>
      </c>
      <c r="AQ34" s="96" t="s">
        <v>60</v>
      </c>
      <c r="AR34" s="96" t="s">
        <v>60</v>
      </c>
      <c r="AS34" s="96" t="s">
        <v>60</v>
      </c>
      <c r="AT34" s="96" t="s">
        <v>60</v>
      </c>
      <c r="AU34" s="96" t="s">
        <v>60</v>
      </c>
      <c r="AV34" s="96" t="s">
        <v>60</v>
      </c>
      <c r="AW34" s="96" t="s">
        <v>60</v>
      </c>
      <c r="AX34" s="96" t="s">
        <v>60</v>
      </c>
      <c r="AY34" s="96" t="s">
        <v>60</v>
      </c>
      <c r="AZ34" s="96" t="s">
        <v>60</v>
      </c>
      <c r="BA34" s="96" t="s">
        <v>60</v>
      </c>
      <c r="BB34" s="96" t="s">
        <v>60</v>
      </c>
      <c r="BC34" s="96" t="s">
        <v>60</v>
      </c>
      <c r="BD34" s="96" t="s">
        <v>60</v>
      </c>
      <c r="BE34" s="96" t="s">
        <v>60</v>
      </c>
      <c r="BF34" s="96" t="s">
        <v>60</v>
      </c>
      <c r="BG34" s="96" t="s">
        <v>60</v>
      </c>
      <c r="BH34" s="96"/>
      <c r="BI34" s="96"/>
      <c r="BJ34" s="96"/>
      <c r="BK34" s="96" t="s">
        <v>107</v>
      </c>
      <c r="BL34" s="97" t="s">
        <v>1346</v>
      </c>
      <c r="BM34" s="96" t="s">
        <v>60</v>
      </c>
    </row>
    <row r="35" spans="1:65" s="99" customFormat="1" ht="30" customHeight="1" x14ac:dyDescent="0.3">
      <c r="A35" s="96">
        <v>31</v>
      </c>
      <c r="B35" s="100" t="s">
        <v>1292</v>
      </c>
      <c r="C35" s="110" t="s">
        <v>1188</v>
      </c>
      <c r="D35" s="110" t="s">
        <v>1123</v>
      </c>
      <c r="E35" s="110" t="s">
        <v>40</v>
      </c>
      <c r="F35" s="110" t="s">
        <v>40</v>
      </c>
      <c r="G35" s="108" t="s">
        <v>107</v>
      </c>
      <c r="H35" s="111" t="s">
        <v>60</v>
      </c>
      <c r="I35" s="111" t="s">
        <v>60</v>
      </c>
      <c r="J35" s="111" t="s">
        <v>60</v>
      </c>
      <c r="K35" s="111" t="s">
        <v>60</v>
      </c>
      <c r="L35" s="111" t="s">
        <v>60</v>
      </c>
      <c r="M35" s="111" t="s">
        <v>60</v>
      </c>
      <c r="N35" s="111" t="s">
        <v>60</v>
      </c>
      <c r="O35" s="111" t="s">
        <v>60</v>
      </c>
      <c r="P35" s="111" t="s">
        <v>60</v>
      </c>
      <c r="Q35" s="111" t="s">
        <v>60</v>
      </c>
      <c r="R35" s="111" t="s">
        <v>60</v>
      </c>
      <c r="S35" s="111" t="s">
        <v>60</v>
      </c>
      <c r="T35" s="111" t="s">
        <v>60</v>
      </c>
      <c r="U35" s="111" t="s">
        <v>107</v>
      </c>
      <c r="V35" s="111" t="s">
        <v>60</v>
      </c>
      <c r="W35" s="111" t="s">
        <v>60</v>
      </c>
      <c r="X35" s="111" t="s">
        <v>60</v>
      </c>
      <c r="Y35" s="111" t="s">
        <v>60</v>
      </c>
      <c r="Z35" s="111" t="s">
        <v>60</v>
      </c>
      <c r="AA35" s="111" t="s">
        <v>60</v>
      </c>
      <c r="AB35" s="111"/>
      <c r="AC35" s="110" t="s">
        <v>48</v>
      </c>
      <c r="AD35" s="110" t="s">
        <v>89</v>
      </c>
      <c r="AE35" s="111">
        <v>0</v>
      </c>
      <c r="AF35" s="111">
        <v>18</v>
      </c>
      <c r="AG35" s="111">
        <v>0</v>
      </c>
      <c r="AH35" t="s">
        <v>1203</v>
      </c>
      <c r="AI35" t="s">
        <v>1203</v>
      </c>
      <c r="AJ35" s="96" t="s">
        <v>107</v>
      </c>
      <c r="AK35" s="96" t="s">
        <v>107</v>
      </c>
      <c r="AL35" s="96" t="s">
        <v>60</v>
      </c>
      <c r="AM35" s="96" t="s">
        <v>60</v>
      </c>
      <c r="AN35" s="96" t="s">
        <v>60</v>
      </c>
      <c r="AO35" s="96" t="s">
        <v>60</v>
      </c>
      <c r="AP35" s="96" t="s">
        <v>60</v>
      </c>
      <c r="AQ35" s="96" t="s">
        <v>60</v>
      </c>
      <c r="AR35" s="96" t="s">
        <v>60</v>
      </c>
      <c r="AS35" s="96" t="s">
        <v>60</v>
      </c>
      <c r="AT35" s="96" t="s">
        <v>60</v>
      </c>
      <c r="AU35" s="96" t="s">
        <v>60</v>
      </c>
      <c r="AV35" s="96" t="s">
        <v>107</v>
      </c>
      <c r="AW35" s="96" t="s">
        <v>60</v>
      </c>
      <c r="AX35" s="96" t="s">
        <v>60</v>
      </c>
      <c r="AY35" s="96" t="s">
        <v>60</v>
      </c>
      <c r="AZ35" s="96" t="s">
        <v>60</v>
      </c>
      <c r="BA35" s="96" t="s">
        <v>60</v>
      </c>
      <c r="BB35" s="96" t="s">
        <v>60</v>
      </c>
      <c r="BC35" s="96" t="s">
        <v>60</v>
      </c>
      <c r="BD35" s="96" t="s">
        <v>60</v>
      </c>
      <c r="BE35" s="96" t="s">
        <v>60</v>
      </c>
      <c r="BF35" s="96" t="s">
        <v>60</v>
      </c>
      <c r="BG35" s="96" t="s">
        <v>60</v>
      </c>
      <c r="BH35" s="96"/>
      <c r="BI35" s="96"/>
      <c r="BJ35" s="96"/>
      <c r="BK35" s="96"/>
      <c r="BL35" s="96"/>
      <c r="BM35" s="96" t="s">
        <v>60</v>
      </c>
    </row>
    <row r="36" spans="1:65" s="99" customFormat="1" ht="27" customHeight="1" x14ac:dyDescent="0.3">
      <c r="A36" s="96">
        <v>32</v>
      </c>
      <c r="B36" s="100" t="s">
        <v>1293</v>
      </c>
      <c r="C36" s="110" t="s">
        <v>1190</v>
      </c>
      <c r="D36" s="110" t="s">
        <v>1317</v>
      </c>
      <c r="E36" s="110" t="s">
        <v>66</v>
      </c>
      <c r="F36" s="110" t="s">
        <v>1239</v>
      </c>
      <c r="G36" s="108" t="s">
        <v>107</v>
      </c>
      <c r="H36" s="111" t="s">
        <v>60</v>
      </c>
      <c r="I36" s="111" t="s">
        <v>60</v>
      </c>
      <c r="J36" s="111" t="s">
        <v>60</v>
      </c>
      <c r="K36" s="111" t="s">
        <v>60</v>
      </c>
      <c r="L36" s="111" t="s">
        <v>60</v>
      </c>
      <c r="M36" s="111" t="s">
        <v>107</v>
      </c>
      <c r="N36" s="111" t="s">
        <v>60</v>
      </c>
      <c r="O36" s="111" t="s">
        <v>60</v>
      </c>
      <c r="P36" s="111" t="s">
        <v>60</v>
      </c>
      <c r="Q36" s="111" t="s">
        <v>60</v>
      </c>
      <c r="R36" s="111" t="s">
        <v>60</v>
      </c>
      <c r="S36" s="111" t="s">
        <v>60</v>
      </c>
      <c r="T36" s="111" t="s">
        <v>60</v>
      </c>
      <c r="U36" s="111" t="s">
        <v>60</v>
      </c>
      <c r="V36" s="111" t="s">
        <v>60</v>
      </c>
      <c r="W36" s="111" t="s">
        <v>60</v>
      </c>
      <c r="X36" s="111" t="s">
        <v>60</v>
      </c>
      <c r="Y36" s="111" t="s">
        <v>60</v>
      </c>
      <c r="Z36" s="111" t="s">
        <v>60</v>
      </c>
      <c r="AA36" s="111" t="s">
        <v>107</v>
      </c>
      <c r="AB36" s="111"/>
      <c r="AC36" s="110" t="s">
        <v>74</v>
      </c>
      <c r="AD36" s="110" t="s">
        <v>89</v>
      </c>
      <c r="AE36" s="111">
        <v>0</v>
      </c>
      <c r="AF36" s="111">
        <v>11</v>
      </c>
      <c r="AG36" s="111">
        <v>0</v>
      </c>
      <c r="AH36" t="s">
        <v>1193</v>
      </c>
      <c r="AI36" t="s">
        <v>1193</v>
      </c>
      <c r="AJ36" s="96" t="s">
        <v>107</v>
      </c>
      <c r="AK36" s="96" t="s">
        <v>107</v>
      </c>
      <c r="AL36" s="96" t="s">
        <v>60</v>
      </c>
      <c r="AM36" s="96" t="s">
        <v>60</v>
      </c>
      <c r="AN36" s="96" t="s">
        <v>60</v>
      </c>
      <c r="AO36" s="96" t="s">
        <v>60</v>
      </c>
      <c r="AP36" s="96" t="s">
        <v>60</v>
      </c>
      <c r="AQ36" s="96" t="s">
        <v>60</v>
      </c>
      <c r="AR36" s="96" t="s">
        <v>60</v>
      </c>
      <c r="AS36" s="96" t="s">
        <v>60</v>
      </c>
      <c r="AT36" s="96" t="s">
        <v>60</v>
      </c>
      <c r="AU36" s="96" t="s">
        <v>60</v>
      </c>
      <c r="AV36" s="96" t="s">
        <v>60</v>
      </c>
      <c r="AW36" s="96" t="s">
        <v>60</v>
      </c>
      <c r="AX36" s="96" t="s">
        <v>60</v>
      </c>
      <c r="AY36" s="96" t="s">
        <v>60</v>
      </c>
      <c r="AZ36" s="96" t="s">
        <v>60</v>
      </c>
      <c r="BA36" s="96" t="s">
        <v>60</v>
      </c>
      <c r="BB36" s="96" t="s">
        <v>60</v>
      </c>
      <c r="BC36" s="96" t="s">
        <v>60</v>
      </c>
      <c r="BD36" s="96" t="s">
        <v>60</v>
      </c>
      <c r="BE36" s="96" t="s">
        <v>60</v>
      </c>
      <c r="BF36" s="96" t="s">
        <v>60</v>
      </c>
      <c r="BG36" s="96" t="s">
        <v>60</v>
      </c>
      <c r="BH36" s="96"/>
      <c r="BI36" s="96"/>
      <c r="BJ36" s="96"/>
      <c r="BK36" s="96"/>
      <c r="BL36" s="96"/>
      <c r="BM36" s="96" t="s">
        <v>60</v>
      </c>
    </row>
    <row r="37" spans="1:65" s="99" customFormat="1" ht="30" customHeight="1" x14ac:dyDescent="0.3">
      <c r="A37" s="96">
        <v>33</v>
      </c>
      <c r="B37" s="100" t="s">
        <v>1294</v>
      </c>
      <c r="C37" s="110" t="s">
        <v>1190</v>
      </c>
      <c r="D37" s="110" t="s">
        <v>1317</v>
      </c>
      <c r="E37" s="110" t="s">
        <v>66</v>
      </c>
      <c r="F37" s="110" t="s">
        <v>462</v>
      </c>
      <c r="G37" s="108" t="s">
        <v>60</v>
      </c>
      <c r="H37" s="111" t="s">
        <v>60</v>
      </c>
      <c r="I37" s="111" t="s">
        <v>60</v>
      </c>
      <c r="J37" s="111" t="s">
        <v>60</v>
      </c>
      <c r="K37" s="111" t="s">
        <v>60</v>
      </c>
      <c r="L37" s="111" t="s">
        <v>60</v>
      </c>
      <c r="M37" s="111" t="s">
        <v>60</v>
      </c>
      <c r="N37" s="111" t="s">
        <v>60</v>
      </c>
      <c r="O37" s="111" t="s">
        <v>60</v>
      </c>
      <c r="P37" s="111" t="s">
        <v>60</v>
      </c>
      <c r="Q37" s="111" t="s">
        <v>60</v>
      </c>
      <c r="R37" s="111" t="s">
        <v>60</v>
      </c>
      <c r="S37" s="111" t="s">
        <v>60</v>
      </c>
      <c r="T37" s="111" t="s">
        <v>60</v>
      </c>
      <c r="U37" s="111" t="s">
        <v>60</v>
      </c>
      <c r="V37" s="111" t="s">
        <v>60</v>
      </c>
      <c r="W37" s="111" t="s">
        <v>60</v>
      </c>
      <c r="X37" s="111" t="s">
        <v>60</v>
      </c>
      <c r="Y37" s="111" t="s">
        <v>60</v>
      </c>
      <c r="Z37" s="111" t="s">
        <v>60</v>
      </c>
      <c r="AA37" s="111" t="s">
        <v>60</v>
      </c>
      <c r="AB37" s="111"/>
      <c r="AC37" s="110" t="s">
        <v>48</v>
      </c>
      <c r="AD37" s="110" t="s">
        <v>89</v>
      </c>
      <c r="AE37" s="111">
        <v>0</v>
      </c>
      <c r="AF37" s="111">
        <v>10</v>
      </c>
      <c r="AG37" s="111">
        <v>0</v>
      </c>
      <c r="AH37" t="s">
        <v>1193</v>
      </c>
      <c r="AI37" t="s">
        <v>1193</v>
      </c>
      <c r="AJ37" s="96" t="s">
        <v>107</v>
      </c>
      <c r="AK37" s="96" t="s">
        <v>60</v>
      </c>
      <c r="AL37" s="96" t="s">
        <v>60</v>
      </c>
      <c r="AM37" s="96" t="s">
        <v>60</v>
      </c>
      <c r="AN37" s="96" t="s">
        <v>60</v>
      </c>
      <c r="AO37" s="96" t="s">
        <v>60</v>
      </c>
      <c r="AP37" s="96" t="s">
        <v>60</v>
      </c>
      <c r="AQ37" s="96" t="s">
        <v>60</v>
      </c>
      <c r="AR37" s="96" t="s">
        <v>60</v>
      </c>
      <c r="AS37" s="96" t="s">
        <v>60</v>
      </c>
      <c r="AT37" s="96" t="s">
        <v>60</v>
      </c>
      <c r="AU37" s="96" t="s">
        <v>107</v>
      </c>
      <c r="AV37" s="96" t="s">
        <v>60</v>
      </c>
      <c r="AW37" s="96" t="s">
        <v>107</v>
      </c>
      <c r="AX37" s="96" t="s">
        <v>60</v>
      </c>
      <c r="AY37" s="96" t="s">
        <v>60</v>
      </c>
      <c r="AZ37" s="96" t="s">
        <v>60</v>
      </c>
      <c r="BA37" s="96" t="s">
        <v>60</v>
      </c>
      <c r="BB37" s="96" t="s">
        <v>60</v>
      </c>
      <c r="BC37" s="96" t="s">
        <v>60</v>
      </c>
      <c r="BD37" s="96" t="s">
        <v>60</v>
      </c>
      <c r="BE37" s="96" t="s">
        <v>60</v>
      </c>
      <c r="BF37" s="96" t="s">
        <v>60</v>
      </c>
      <c r="BG37" s="96" t="s">
        <v>60</v>
      </c>
      <c r="BH37" s="96"/>
      <c r="BI37" s="96"/>
      <c r="BJ37" s="96"/>
      <c r="BK37" s="96"/>
      <c r="BL37" s="96"/>
      <c r="BM37" s="96" t="s">
        <v>107</v>
      </c>
    </row>
    <row r="38" spans="1:65" s="99" customFormat="1" ht="32.4" customHeight="1" x14ac:dyDescent="0.3">
      <c r="A38" s="96">
        <v>34</v>
      </c>
      <c r="B38" s="100" t="s">
        <v>1295</v>
      </c>
      <c r="C38" s="110" t="s">
        <v>1188</v>
      </c>
      <c r="D38" s="110" t="s">
        <v>216</v>
      </c>
      <c r="E38" s="110" t="s">
        <v>66</v>
      </c>
      <c r="F38" s="110" t="s">
        <v>65</v>
      </c>
      <c r="G38" s="108" t="s">
        <v>107</v>
      </c>
      <c r="H38" s="111" t="s">
        <v>60</v>
      </c>
      <c r="I38" s="111" t="s">
        <v>60</v>
      </c>
      <c r="J38" s="111" t="s">
        <v>60</v>
      </c>
      <c r="K38" s="111" t="s">
        <v>60</v>
      </c>
      <c r="L38" s="111" t="s">
        <v>60</v>
      </c>
      <c r="M38" s="111" t="s">
        <v>60</v>
      </c>
      <c r="N38" s="111" t="s">
        <v>60</v>
      </c>
      <c r="O38" s="111" t="s">
        <v>107</v>
      </c>
      <c r="P38" s="111" t="s">
        <v>60</v>
      </c>
      <c r="Q38" s="111" t="s">
        <v>60</v>
      </c>
      <c r="R38" s="111" t="s">
        <v>60</v>
      </c>
      <c r="S38" s="111" t="s">
        <v>60</v>
      </c>
      <c r="T38" s="111" t="s">
        <v>60</v>
      </c>
      <c r="U38" s="111" t="s">
        <v>60</v>
      </c>
      <c r="V38" s="111" t="s">
        <v>60</v>
      </c>
      <c r="W38" s="111" t="s">
        <v>60</v>
      </c>
      <c r="X38" s="111" t="s">
        <v>60</v>
      </c>
      <c r="Y38" s="111" t="s">
        <v>60</v>
      </c>
      <c r="Z38" s="111" t="s">
        <v>60</v>
      </c>
      <c r="AA38" s="111" t="s">
        <v>60</v>
      </c>
      <c r="AB38" s="111"/>
      <c r="AC38" s="110" t="s">
        <v>74</v>
      </c>
      <c r="AD38" s="110" t="s">
        <v>89</v>
      </c>
      <c r="AE38" s="111">
        <v>0</v>
      </c>
      <c r="AF38" s="111">
        <v>3</v>
      </c>
      <c r="AG38" s="111">
        <v>0</v>
      </c>
      <c r="AH38" t="s">
        <v>1193</v>
      </c>
      <c r="AI38" t="s">
        <v>1193</v>
      </c>
      <c r="AJ38" s="96" t="s">
        <v>107</v>
      </c>
      <c r="AK38" s="96" t="s">
        <v>107</v>
      </c>
      <c r="AL38" s="96" t="s">
        <v>60</v>
      </c>
      <c r="AM38" s="96" t="s">
        <v>60</v>
      </c>
      <c r="AN38" s="96" t="s">
        <v>60</v>
      </c>
      <c r="AO38" s="96" t="s">
        <v>60</v>
      </c>
      <c r="AP38" s="96" t="s">
        <v>60</v>
      </c>
      <c r="AQ38" s="96" t="s">
        <v>60</v>
      </c>
      <c r="AR38" s="96" t="s">
        <v>60</v>
      </c>
      <c r="AS38" s="96" t="s">
        <v>60</v>
      </c>
      <c r="AT38" s="96" t="s">
        <v>60</v>
      </c>
      <c r="AU38" s="96" t="s">
        <v>107</v>
      </c>
      <c r="AV38" s="96" t="s">
        <v>60</v>
      </c>
      <c r="AW38" s="96" t="s">
        <v>60</v>
      </c>
      <c r="AX38" s="96" t="s">
        <v>60</v>
      </c>
      <c r="AY38" s="96" t="s">
        <v>60</v>
      </c>
      <c r="AZ38" s="96" t="s">
        <v>60</v>
      </c>
      <c r="BA38" s="96" t="s">
        <v>60</v>
      </c>
      <c r="BB38" s="96" t="s">
        <v>60</v>
      </c>
      <c r="BC38" s="96" t="s">
        <v>60</v>
      </c>
      <c r="BD38" s="96" t="s">
        <v>60</v>
      </c>
      <c r="BE38" s="96" t="s">
        <v>60</v>
      </c>
      <c r="BF38" s="96" t="s">
        <v>60</v>
      </c>
      <c r="BG38" s="96" t="s">
        <v>60</v>
      </c>
      <c r="BH38" s="96"/>
      <c r="BI38" s="96"/>
      <c r="BJ38" s="96"/>
      <c r="BK38" s="96"/>
      <c r="BL38" s="96"/>
      <c r="BM38" s="96" t="s">
        <v>60</v>
      </c>
    </row>
    <row r="39" spans="1:65" s="99" customFormat="1" ht="29.4" customHeight="1" x14ac:dyDescent="0.3">
      <c r="A39" s="96">
        <v>35</v>
      </c>
      <c r="B39" s="100" t="s">
        <v>1296</v>
      </c>
      <c r="C39" s="110" t="s">
        <v>1188</v>
      </c>
      <c r="D39" s="110" t="s">
        <v>371</v>
      </c>
      <c r="E39" s="110" t="s">
        <v>66</v>
      </c>
      <c r="F39" s="110" t="s">
        <v>1239</v>
      </c>
      <c r="G39" s="108" t="s">
        <v>60</v>
      </c>
      <c r="H39" s="111" t="s">
        <v>60</v>
      </c>
      <c r="I39" s="111" t="s">
        <v>60</v>
      </c>
      <c r="J39" s="111" t="s">
        <v>60</v>
      </c>
      <c r="K39" s="111" t="s">
        <v>60</v>
      </c>
      <c r="L39" s="111" t="s">
        <v>60</v>
      </c>
      <c r="M39" s="111" t="s">
        <v>60</v>
      </c>
      <c r="N39" s="111" t="s">
        <v>60</v>
      </c>
      <c r="O39" s="111" t="s">
        <v>60</v>
      </c>
      <c r="P39" s="111" t="s">
        <v>60</v>
      </c>
      <c r="Q39" s="111" t="s">
        <v>60</v>
      </c>
      <c r="R39" s="111" t="s">
        <v>60</v>
      </c>
      <c r="S39" s="111" t="s">
        <v>60</v>
      </c>
      <c r="T39" s="111" t="s">
        <v>60</v>
      </c>
      <c r="U39" s="111" t="s">
        <v>60</v>
      </c>
      <c r="V39" s="111" t="s">
        <v>60</v>
      </c>
      <c r="W39" s="111" t="s">
        <v>60</v>
      </c>
      <c r="X39" s="111" t="s">
        <v>60</v>
      </c>
      <c r="Y39" s="111" t="s">
        <v>60</v>
      </c>
      <c r="Z39" s="111" t="s">
        <v>60</v>
      </c>
      <c r="AA39" s="111" t="s">
        <v>60</v>
      </c>
      <c r="AB39" s="111"/>
      <c r="AC39" s="110" t="s">
        <v>48</v>
      </c>
      <c r="AD39" s="110" t="s">
        <v>89</v>
      </c>
      <c r="AE39" s="111">
        <v>0</v>
      </c>
      <c r="AF39" s="111">
        <v>25</v>
      </c>
      <c r="AG39" s="111">
        <v>0</v>
      </c>
      <c r="AH39" t="s">
        <v>1203</v>
      </c>
      <c r="AI39" t="s">
        <v>162</v>
      </c>
      <c r="AJ39" s="96" t="s">
        <v>60</v>
      </c>
      <c r="AK39" s="96" t="s">
        <v>60</v>
      </c>
      <c r="AL39" s="96" t="s">
        <v>60</v>
      </c>
      <c r="AM39" s="96" t="s">
        <v>60</v>
      </c>
      <c r="AN39" s="96" t="s">
        <v>60</v>
      </c>
      <c r="AO39" s="96" t="s">
        <v>60</v>
      </c>
      <c r="AP39" s="96" t="s">
        <v>60</v>
      </c>
      <c r="AQ39" s="96" t="s">
        <v>60</v>
      </c>
      <c r="AR39" s="96" t="s">
        <v>60</v>
      </c>
      <c r="AS39" s="96" t="s">
        <v>60</v>
      </c>
      <c r="AT39" s="96" t="s">
        <v>60</v>
      </c>
      <c r="AU39" s="96" t="s">
        <v>60</v>
      </c>
      <c r="AV39" s="96" t="s">
        <v>60</v>
      </c>
      <c r="AW39" s="96" t="s">
        <v>60</v>
      </c>
      <c r="AX39" s="96" t="s">
        <v>60</v>
      </c>
      <c r="AY39" s="96" t="s">
        <v>60</v>
      </c>
      <c r="AZ39" s="96" t="s">
        <v>60</v>
      </c>
      <c r="BA39" s="96" t="s">
        <v>60</v>
      </c>
      <c r="BB39" s="96" t="s">
        <v>60</v>
      </c>
      <c r="BC39" s="96" t="s">
        <v>60</v>
      </c>
      <c r="BD39" s="96" t="s">
        <v>60</v>
      </c>
      <c r="BE39" s="96" t="s">
        <v>60</v>
      </c>
      <c r="BF39" s="96" t="s">
        <v>60</v>
      </c>
      <c r="BG39" s="96" t="s">
        <v>60</v>
      </c>
      <c r="BH39" s="96"/>
      <c r="BI39" s="96"/>
      <c r="BJ39" s="96"/>
      <c r="BK39" s="96" t="s">
        <v>107</v>
      </c>
      <c r="BL39" s="97" t="s">
        <v>1347</v>
      </c>
      <c r="BM39" s="96" t="s">
        <v>60</v>
      </c>
    </row>
    <row r="40" spans="1:65" s="99" customFormat="1" ht="28.8" customHeight="1" x14ac:dyDescent="0.3">
      <c r="A40" s="96">
        <v>36</v>
      </c>
      <c r="B40" s="100" t="s">
        <v>1297</v>
      </c>
      <c r="C40" s="110" t="s">
        <v>1189</v>
      </c>
      <c r="D40" s="110" t="s">
        <v>759</v>
      </c>
      <c r="E40" s="110" t="s">
        <v>66</v>
      </c>
      <c r="F40" s="110" t="s">
        <v>1239</v>
      </c>
      <c r="G40" s="108" t="s">
        <v>60</v>
      </c>
      <c r="H40" s="111" t="s">
        <v>60</v>
      </c>
      <c r="I40" s="111" t="s">
        <v>60</v>
      </c>
      <c r="J40" s="111" t="s">
        <v>60</v>
      </c>
      <c r="K40" s="111" t="s">
        <v>60</v>
      </c>
      <c r="L40" s="111" t="s">
        <v>60</v>
      </c>
      <c r="M40" s="111" t="s">
        <v>60</v>
      </c>
      <c r="N40" s="111" t="s">
        <v>60</v>
      </c>
      <c r="O40" s="111" t="s">
        <v>60</v>
      </c>
      <c r="P40" s="111" t="s">
        <v>60</v>
      </c>
      <c r="Q40" s="111" t="s">
        <v>60</v>
      </c>
      <c r="R40" s="111" t="s">
        <v>60</v>
      </c>
      <c r="S40" s="111" t="s">
        <v>60</v>
      </c>
      <c r="T40" s="111" t="s">
        <v>60</v>
      </c>
      <c r="U40" s="111" t="s">
        <v>60</v>
      </c>
      <c r="V40" s="111" t="s">
        <v>60</v>
      </c>
      <c r="W40" s="111" t="s">
        <v>60</v>
      </c>
      <c r="X40" s="111" t="s">
        <v>60</v>
      </c>
      <c r="Y40" s="111" t="s">
        <v>60</v>
      </c>
      <c r="Z40" s="111" t="s">
        <v>60</v>
      </c>
      <c r="AA40" s="111" t="s">
        <v>60</v>
      </c>
      <c r="AB40" s="111"/>
      <c r="AC40" s="110" t="s">
        <v>74</v>
      </c>
      <c r="AD40" s="110" t="s">
        <v>39</v>
      </c>
      <c r="AE40" s="111">
        <v>2</v>
      </c>
      <c r="AF40" s="111">
        <v>8</v>
      </c>
      <c r="AG40" s="111">
        <v>0</v>
      </c>
      <c r="AH40" t="s">
        <v>1193</v>
      </c>
      <c r="AI40" t="s">
        <v>1192</v>
      </c>
      <c r="AJ40" s="96" t="s">
        <v>60</v>
      </c>
      <c r="AK40" s="96" t="s">
        <v>60</v>
      </c>
      <c r="AL40" s="96" t="s">
        <v>60</v>
      </c>
      <c r="AM40" s="96" t="s">
        <v>60</v>
      </c>
      <c r="AN40" s="96" t="s">
        <v>60</v>
      </c>
      <c r="AO40" s="96" t="s">
        <v>107</v>
      </c>
      <c r="AP40" s="96" t="s">
        <v>60</v>
      </c>
      <c r="AQ40" s="96" t="s">
        <v>60</v>
      </c>
      <c r="AR40" s="96" t="s">
        <v>60</v>
      </c>
      <c r="AS40" s="96" t="s">
        <v>60</v>
      </c>
      <c r="AT40" s="96" t="s">
        <v>60</v>
      </c>
      <c r="AU40" s="96" t="s">
        <v>60</v>
      </c>
      <c r="AV40" s="96" t="s">
        <v>60</v>
      </c>
      <c r="AW40" s="96" t="s">
        <v>60</v>
      </c>
      <c r="AX40" s="96" t="s">
        <v>60</v>
      </c>
      <c r="AY40" s="96" t="s">
        <v>60</v>
      </c>
      <c r="AZ40" s="96" t="s">
        <v>60</v>
      </c>
      <c r="BA40" s="96" t="s">
        <v>60</v>
      </c>
      <c r="BB40" s="96" t="s">
        <v>60</v>
      </c>
      <c r="BC40" s="96" t="s">
        <v>60</v>
      </c>
      <c r="BD40" s="96" t="s">
        <v>60</v>
      </c>
      <c r="BE40" s="96" t="s">
        <v>60</v>
      </c>
      <c r="BF40" s="96" t="s">
        <v>60</v>
      </c>
      <c r="BG40" s="96" t="s">
        <v>60</v>
      </c>
      <c r="BH40" s="96"/>
      <c r="BI40" s="96"/>
      <c r="BJ40" s="96"/>
      <c r="BK40" s="96"/>
      <c r="BL40" s="96"/>
      <c r="BM40" s="96" t="s">
        <v>107</v>
      </c>
    </row>
    <row r="41" spans="1:65" s="99" customFormat="1" ht="28.2" customHeight="1" x14ac:dyDescent="0.3">
      <c r="A41" s="96">
        <v>37</v>
      </c>
      <c r="B41" s="100" t="s">
        <v>1298</v>
      </c>
      <c r="C41" s="110" t="s">
        <v>1189</v>
      </c>
      <c r="D41" s="110" t="s">
        <v>325</v>
      </c>
      <c r="E41" s="110"/>
      <c r="F41" s="110" t="s">
        <v>1326</v>
      </c>
      <c r="G41" s="108" t="s">
        <v>60</v>
      </c>
      <c r="H41" s="111" t="s">
        <v>60</v>
      </c>
      <c r="I41" s="111" t="s">
        <v>60</v>
      </c>
      <c r="J41" s="111" t="s">
        <v>60</v>
      </c>
      <c r="K41" s="111" t="s">
        <v>60</v>
      </c>
      <c r="L41" s="111" t="s">
        <v>60</v>
      </c>
      <c r="M41" s="111" t="s">
        <v>60</v>
      </c>
      <c r="N41" s="111" t="s">
        <v>60</v>
      </c>
      <c r="O41" s="111" t="s">
        <v>60</v>
      </c>
      <c r="P41" s="111" t="s">
        <v>60</v>
      </c>
      <c r="Q41" s="111" t="s">
        <v>60</v>
      </c>
      <c r="R41" s="111" t="s">
        <v>60</v>
      </c>
      <c r="S41" s="111" t="s">
        <v>60</v>
      </c>
      <c r="T41" s="111" t="s">
        <v>60</v>
      </c>
      <c r="U41" s="111" t="s">
        <v>60</v>
      </c>
      <c r="V41" s="111" t="s">
        <v>60</v>
      </c>
      <c r="W41" s="111" t="s">
        <v>60</v>
      </c>
      <c r="X41" s="111" t="s">
        <v>60</v>
      </c>
      <c r="Y41" s="111" t="s">
        <v>60</v>
      </c>
      <c r="Z41" s="111" t="s">
        <v>60</v>
      </c>
      <c r="AA41" s="111" t="s">
        <v>60</v>
      </c>
      <c r="AB41" s="111"/>
      <c r="AC41" s="110" t="s">
        <v>48</v>
      </c>
      <c r="AD41" s="110" t="s">
        <v>89</v>
      </c>
      <c r="AE41" s="111">
        <v>0</v>
      </c>
      <c r="AF41" s="111">
        <v>2</v>
      </c>
      <c r="AG41" s="111">
        <v>0</v>
      </c>
      <c r="AH41" t="s">
        <v>1192</v>
      </c>
      <c r="AI41" t="s">
        <v>1192</v>
      </c>
      <c r="AJ41" s="96" t="s">
        <v>60</v>
      </c>
      <c r="AK41" s="96" t="s">
        <v>60</v>
      </c>
      <c r="AL41" s="96" t="s">
        <v>60</v>
      </c>
      <c r="AM41" s="96" t="s">
        <v>60</v>
      </c>
      <c r="AN41" s="96" t="s">
        <v>60</v>
      </c>
      <c r="AO41" s="96" t="s">
        <v>60</v>
      </c>
      <c r="AP41" s="96" t="s">
        <v>60</v>
      </c>
      <c r="AQ41" s="96" t="s">
        <v>107</v>
      </c>
      <c r="AR41" s="96" t="s">
        <v>60</v>
      </c>
      <c r="AS41" s="96" t="s">
        <v>60</v>
      </c>
      <c r="AT41" s="96" t="s">
        <v>60</v>
      </c>
      <c r="AU41" s="96" t="s">
        <v>60</v>
      </c>
      <c r="AV41" s="96" t="s">
        <v>60</v>
      </c>
      <c r="AW41" s="96" t="s">
        <v>60</v>
      </c>
      <c r="AX41" s="96" t="s">
        <v>60</v>
      </c>
      <c r="AY41" s="96" t="s">
        <v>60</v>
      </c>
      <c r="AZ41" s="96" t="s">
        <v>60</v>
      </c>
      <c r="BA41" s="96" t="s">
        <v>60</v>
      </c>
      <c r="BB41" s="96" t="s">
        <v>60</v>
      </c>
      <c r="BC41" s="96" t="s">
        <v>60</v>
      </c>
      <c r="BD41" s="96" t="s">
        <v>60</v>
      </c>
      <c r="BE41" s="96" t="s">
        <v>60</v>
      </c>
      <c r="BF41" s="96" t="s">
        <v>60</v>
      </c>
      <c r="BG41" s="96" t="s">
        <v>60</v>
      </c>
      <c r="BH41" s="96"/>
      <c r="BI41" s="96"/>
      <c r="BJ41" s="96"/>
      <c r="BK41" s="96"/>
      <c r="BL41" s="96"/>
      <c r="BM41" s="96" t="s">
        <v>107</v>
      </c>
    </row>
    <row r="42" spans="1:65" s="99" customFormat="1" ht="34.799999999999997" customHeight="1" x14ac:dyDescent="0.3">
      <c r="A42" s="96">
        <v>38</v>
      </c>
      <c r="B42" s="100" t="s">
        <v>1299</v>
      </c>
      <c r="C42" s="110" t="s">
        <v>1188</v>
      </c>
      <c r="D42" s="110" t="s">
        <v>37</v>
      </c>
      <c r="E42" s="110" t="s">
        <v>66</v>
      </c>
      <c r="F42" s="110" t="s">
        <v>462</v>
      </c>
      <c r="G42" s="108" t="s">
        <v>107</v>
      </c>
      <c r="H42" s="111" t="s">
        <v>60</v>
      </c>
      <c r="I42" s="111" t="s">
        <v>60</v>
      </c>
      <c r="J42" s="111" t="s">
        <v>60</v>
      </c>
      <c r="K42" s="111" t="s">
        <v>60</v>
      </c>
      <c r="L42" s="111" t="s">
        <v>60</v>
      </c>
      <c r="M42" s="111" t="s">
        <v>60</v>
      </c>
      <c r="N42" s="111" t="s">
        <v>60</v>
      </c>
      <c r="O42" s="111" t="s">
        <v>60</v>
      </c>
      <c r="P42" s="111" t="s">
        <v>107</v>
      </c>
      <c r="Q42" s="111" t="s">
        <v>60</v>
      </c>
      <c r="R42" s="111" t="s">
        <v>60</v>
      </c>
      <c r="S42" s="111" t="s">
        <v>60</v>
      </c>
      <c r="T42" s="111" t="s">
        <v>60</v>
      </c>
      <c r="U42" s="111" t="s">
        <v>60</v>
      </c>
      <c r="V42" s="111" t="s">
        <v>60</v>
      </c>
      <c r="W42" s="111" t="s">
        <v>60</v>
      </c>
      <c r="X42" s="111" t="s">
        <v>60</v>
      </c>
      <c r="Y42" s="111" t="s">
        <v>60</v>
      </c>
      <c r="Z42" s="111" t="s">
        <v>60</v>
      </c>
      <c r="AA42" s="111" t="s">
        <v>60</v>
      </c>
      <c r="AB42" s="111"/>
      <c r="AC42" s="110" t="s">
        <v>48</v>
      </c>
      <c r="AD42" s="110" t="s">
        <v>39</v>
      </c>
      <c r="AE42" s="111">
        <v>0</v>
      </c>
      <c r="AF42" s="111">
        <v>14</v>
      </c>
      <c r="AG42" s="111">
        <v>0</v>
      </c>
      <c r="AH42" t="s">
        <v>1193</v>
      </c>
      <c r="AI42" t="s">
        <v>1193</v>
      </c>
      <c r="AJ42" s="96" t="s">
        <v>107</v>
      </c>
      <c r="AK42" s="96" t="s">
        <v>107</v>
      </c>
      <c r="AL42" s="96" t="s">
        <v>60</v>
      </c>
      <c r="AM42" s="96" t="s">
        <v>60</v>
      </c>
      <c r="AN42" s="96" t="s">
        <v>60</v>
      </c>
      <c r="AO42" s="96" t="s">
        <v>60</v>
      </c>
      <c r="AP42" s="96" t="s">
        <v>60</v>
      </c>
      <c r="AQ42" s="96" t="s">
        <v>60</v>
      </c>
      <c r="AR42" s="96" t="s">
        <v>60</v>
      </c>
      <c r="AS42" s="96" t="s">
        <v>60</v>
      </c>
      <c r="AT42" s="96" t="s">
        <v>60</v>
      </c>
      <c r="AU42" s="96" t="s">
        <v>60</v>
      </c>
      <c r="AV42" s="96" t="s">
        <v>60</v>
      </c>
      <c r="AW42" s="96" t="s">
        <v>60</v>
      </c>
      <c r="AX42" s="96" t="s">
        <v>60</v>
      </c>
      <c r="AY42" s="96" t="s">
        <v>60</v>
      </c>
      <c r="AZ42" s="96" t="s">
        <v>60</v>
      </c>
      <c r="BA42" s="96" t="s">
        <v>60</v>
      </c>
      <c r="BB42" s="96" t="s">
        <v>60</v>
      </c>
      <c r="BC42" s="96" t="s">
        <v>60</v>
      </c>
      <c r="BD42" s="96" t="s">
        <v>60</v>
      </c>
      <c r="BE42" s="96" t="s">
        <v>60</v>
      </c>
      <c r="BF42" s="96" t="s">
        <v>60</v>
      </c>
      <c r="BG42" s="96" t="s">
        <v>60</v>
      </c>
      <c r="BH42" s="96"/>
      <c r="BI42" s="96"/>
      <c r="BJ42" s="96"/>
      <c r="BK42" s="96"/>
      <c r="BL42" s="96"/>
      <c r="BM42" s="96" t="s">
        <v>60</v>
      </c>
    </row>
    <row r="43" spans="1:65" s="99" customFormat="1" ht="30.6" customHeight="1" x14ac:dyDescent="0.3">
      <c r="A43" s="96">
        <v>39</v>
      </c>
      <c r="B43" s="100" t="s">
        <v>1300</v>
      </c>
      <c r="C43" s="110" t="s">
        <v>1188</v>
      </c>
      <c r="D43" s="110" t="s">
        <v>216</v>
      </c>
      <c r="E43" s="110" t="s">
        <v>66</v>
      </c>
      <c r="F43" s="110" t="s">
        <v>594</v>
      </c>
      <c r="G43" s="108" t="s">
        <v>107</v>
      </c>
      <c r="H43" s="111" t="s">
        <v>60</v>
      </c>
      <c r="I43" s="111" t="s">
        <v>107</v>
      </c>
      <c r="J43" s="111" t="s">
        <v>60</v>
      </c>
      <c r="K43" s="111" t="s">
        <v>60</v>
      </c>
      <c r="L43" s="111" t="s">
        <v>60</v>
      </c>
      <c r="M43" s="111" t="s">
        <v>60</v>
      </c>
      <c r="N43" s="111" t="s">
        <v>60</v>
      </c>
      <c r="O43" s="111" t="s">
        <v>60</v>
      </c>
      <c r="P43" s="111" t="s">
        <v>107</v>
      </c>
      <c r="Q43" s="111" t="s">
        <v>60</v>
      </c>
      <c r="R43" s="111" t="s">
        <v>60</v>
      </c>
      <c r="S43" s="111" t="s">
        <v>60</v>
      </c>
      <c r="T43" s="111" t="s">
        <v>60</v>
      </c>
      <c r="U43" s="111" t="s">
        <v>60</v>
      </c>
      <c r="V43" s="111" t="s">
        <v>60</v>
      </c>
      <c r="W43" s="111" t="s">
        <v>60</v>
      </c>
      <c r="X43" s="111" t="s">
        <v>60</v>
      </c>
      <c r="Y43" s="111" t="s">
        <v>60</v>
      </c>
      <c r="Z43" s="111" t="s">
        <v>60</v>
      </c>
      <c r="AA43" s="111" t="s">
        <v>60</v>
      </c>
      <c r="AB43" s="111"/>
      <c r="AC43" s="110" t="s">
        <v>48</v>
      </c>
      <c r="AD43" s="110" t="s">
        <v>89</v>
      </c>
      <c r="AE43" s="111">
        <v>0</v>
      </c>
      <c r="AF43" s="111">
        <v>1</v>
      </c>
      <c r="AG43" s="111">
        <v>0</v>
      </c>
      <c r="AH43" t="s">
        <v>1350</v>
      </c>
      <c r="AI43" t="s">
        <v>1350</v>
      </c>
      <c r="AJ43" s="96" t="s">
        <v>60</v>
      </c>
      <c r="AK43" s="96" t="s">
        <v>60</v>
      </c>
      <c r="AL43" s="96" t="s">
        <v>60</v>
      </c>
      <c r="AM43" s="96" t="s">
        <v>60</v>
      </c>
      <c r="AN43" s="96" t="s">
        <v>60</v>
      </c>
      <c r="AO43" s="96" t="s">
        <v>60</v>
      </c>
      <c r="AP43" s="96" t="s">
        <v>60</v>
      </c>
      <c r="AQ43" s="96" t="s">
        <v>60</v>
      </c>
      <c r="AR43" s="96" t="s">
        <v>60</v>
      </c>
      <c r="AS43" s="96" t="s">
        <v>60</v>
      </c>
      <c r="AT43" s="96" t="s">
        <v>60</v>
      </c>
      <c r="AU43" s="96" t="s">
        <v>107</v>
      </c>
      <c r="AV43" s="96" t="s">
        <v>60</v>
      </c>
      <c r="AW43" s="96" t="s">
        <v>60</v>
      </c>
      <c r="AX43" s="96" t="s">
        <v>60</v>
      </c>
      <c r="AY43" s="96" t="s">
        <v>60</v>
      </c>
      <c r="AZ43" s="96" t="s">
        <v>60</v>
      </c>
      <c r="BA43" s="96" t="s">
        <v>60</v>
      </c>
      <c r="BB43" s="96" t="s">
        <v>60</v>
      </c>
      <c r="BC43" s="96" t="s">
        <v>60</v>
      </c>
      <c r="BD43" s="96" t="s">
        <v>60</v>
      </c>
      <c r="BE43" s="96" t="s">
        <v>60</v>
      </c>
      <c r="BF43" s="96" t="s">
        <v>60</v>
      </c>
      <c r="BG43" s="96" t="s">
        <v>60</v>
      </c>
      <c r="BH43" s="96"/>
      <c r="BI43" s="96"/>
      <c r="BJ43" s="96"/>
      <c r="BK43" s="96"/>
      <c r="BL43" s="96"/>
      <c r="BM43" s="96" t="s">
        <v>107</v>
      </c>
    </row>
    <row r="44" spans="1:65" s="99" customFormat="1" ht="29.4" customHeight="1" x14ac:dyDescent="0.3">
      <c r="A44" s="96">
        <v>40</v>
      </c>
      <c r="B44" s="100" t="s">
        <v>1301</v>
      </c>
      <c r="C44" s="110" t="s">
        <v>1188</v>
      </c>
      <c r="D44" s="110" t="s">
        <v>1055</v>
      </c>
      <c r="E44" s="110" t="s">
        <v>66</v>
      </c>
      <c r="F44" s="110" t="s">
        <v>1323</v>
      </c>
      <c r="G44" s="108" t="s">
        <v>107</v>
      </c>
      <c r="H44" s="111" t="s">
        <v>60</v>
      </c>
      <c r="I44" s="111" t="s">
        <v>60</v>
      </c>
      <c r="J44" s="111" t="s">
        <v>60</v>
      </c>
      <c r="K44" s="111" t="s">
        <v>60</v>
      </c>
      <c r="L44" s="111" t="s">
        <v>60</v>
      </c>
      <c r="M44" s="111" t="s">
        <v>60</v>
      </c>
      <c r="N44" s="111" t="s">
        <v>60</v>
      </c>
      <c r="O44" s="111" t="s">
        <v>60</v>
      </c>
      <c r="P44" s="111" t="s">
        <v>107</v>
      </c>
      <c r="Q44" s="111" t="s">
        <v>60</v>
      </c>
      <c r="R44" s="111" t="s">
        <v>60</v>
      </c>
      <c r="S44" s="111" t="s">
        <v>60</v>
      </c>
      <c r="T44" s="111" t="s">
        <v>60</v>
      </c>
      <c r="U44" s="111" t="s">
        <v>60</v>
      </c>
      <c r="V44" s="111" t="s">
        <v>60</v>
      </c>
      <c r="W44" s="111" t="s">
        <v>60</v>
      </c>
      <c r="X44" s="111" t="s">
        <v>60</v>
      </c>
      <c r="Y44" s="111" t="s">
        <v>60</v>
      </c>
      <c r="Z44" s="111" t="s">
        <v>60</v>
      </c>
      <c r="AA44" s="111" t="s">
        <v>60</v>
      </c>
      <c r="AB44" s="111"/>
      <c r="AC44" s="110" t="s">
        <v>48</v>
      </c>
      <c r="AD44" s="110" t="s">
        <v>39</v>
      </c>
      <c r="AE44" s="111">
        <v>1</v>
      </c>
      <c r="AF44" s="111">
        <v>19</v>
      </c>
      <c r="AG44" s="111">
        <v>0</v>
      </c>
      <c r="AH44" t="s">
        <v>1193</v>
      </c>
      <c r="AI44" t="s">
        <v>1203</v>
      </c>
      <c r="AJ44" s="96" t="s">
        <v>60</v>
      </c>
      <c r="AK44" s="96" t="s">
        <v>60</v>
      </c>
      <c r="AL44" s="96" t="s">
        <v>60</v>
      </c>
      <c r="AM44" s="96" t="s">
        <v>60</v>
      </c>
      <c r="AN44" s="96" t="s">
        <v>60</v>
      </c>
      <c r="AO44" s="96" t="s">
        <v>60</v>
      </c>
      <c r="AP44" s="96" t="s">
        <v>107</v>
      </c>
      <c r="AQ44" s="96" t="s">
        <v>60</v>
      </c>
      <c r="AR44" s="96" t="s">
        <v>60</v>
      </c>
      <c r="AS44" s="96" t="s">
        <v>60</v>
      </c>
      <c r="AT44" s="96" t="s">
        <v>60</v>
      </c>
      <c r="AU44" s="96" t="s">
        <v>60</v>
      </c>
      <c r="AV44" s="96" t="s">
        <v>60</v>
      </c>
      <c r="AW44" s="96" t="s">
        <v>107</v>
      </c>
      <c r="AX44" s="96" t="s">
        <v>60</v>
      </c>
      <c r="AY44" s="96" t="s">
        <v>60</v>
      </c>
      <c r="AZ44" s="96" t="s">
        <v>60</v>
      </c>
      <c r="BA44" s="96" t="s">
        <v>60</v>
      </c>
      <c r="BB44" s="96" t="s">
        <v>60</v>
      </c>
      <c r="BC44" s="96" t="s">
        <v>60</v>
      </c>
      <c r="BD44" s="96" t="s">
        <v>60</v>
      </c>
      <c r="BE44" s="96" t="s">
        <v>60</v>
      </c>
      <c r="BF44" s="96" t="s">
        <v>60</v>
      </c>
      <c r="BG44" s="96" t="s">
        <v>60</v>
      </c>
      <c r="BH44" s="96"/>
      <c r="BI44" s="96"/>
      <c r="BJ44" s="96"/>
      <c r="BK44" s="96"/>
      <c r="BL44" s="96"/>
      <c r="BM44" s="96" t="s">
        <v>107</v>
      </c>
    </row>
    <row r="45" spans="1:65" s="96" customFormat="1" ht="28.2" customHeight="1" x14ac:dyDescent="0.3">
      <c r="A45" s="96">
        <v>41</v>
      </c>
      <c r="B45" s="100" t="s">
        <v>1302</v>
      </c>
      <c r="C45" s="110" t="s">
        <v>1188</v>
      </c>
      <c r="D45" s="110" t="s">
        <v>371</v>
      </c>
      <c r="E45" s="110" t="s">
        <v>40</v>
      </c>
      <c r="F45" s="110" t="s">
        <v>40</v>
      </c>
      <c r="G45" s="108" t="s">
        <v>107</v>
      </c>
      <c r="H45" s="111" t="s">
        <v>60</v>
      </c>
      <c r="I45" s="111" t="s">
        <v>60</v>
      </c>
      <c r="J45" s="111" t="s">
        <v>60</v>
      </c>
      <c r="K45" s="111" t="s">
        <v>60</v>
      </c>
      <c r="L45" s="111" t="s">
        <v>60</v>
      </c>
      <c r="M45" s="111" t="s">
        <v>60</v>
      </c>
      <c r="N45" s="111" t="s">
        <v>60</v>
      </c>
      <c r="O45" s="111" t="s">
        <v>60</v>
      </c>
      <c r="P45" s="111" t="s">
        <v>107</v>
      </c>
      <c r="Q45" s="111" t="s">
        <v>60</v>
      </c>
      <c r="R45" s="111" t="s">
        <v>60</v>
      </c>
      <c r="S45" s="111" t="s">
        <v>60</v>
      </c>
      <c r="T45" s="111" t="s">
        <v>60</v>
      </c>
      <c r="U45" s="111" t="s">
        <v>60</v>
      </c>
      <c r="V45" s="111" t="s">
        <v>60</v>
      </c>
      <c r="W45" s="111" t="s">
        <v>60</v>
      </c>
      <c r="X45" s="111" t="s">
        <v>60</v>
      </c>
      <c r="Y45" s="111" t="s">
        <v>60</v>
      </c>
      <c r="Z45" s="111" t="s">
        <v>60</v>
      </c>
      <c r="AA45" s="111" t="s">
        <v>60</v>
      </c>
      <c r="AB45" s="111"/>
      <c r="AC45" s="110" t="s">
        <v>48</v>
      </c>
      <c r="AD45" s="110" t="s">
        <v>89</v>
      </c>
      <c r="AE45" s="111">
        <v>0</v>
      </c>
      <c r="AF45" s="111">
        <v>22</v>
      </c>
      <c r="AG45" s="111">
        <v>0</v>
      </c>
      <c r="AH45" t="s">
        <v>1203</v>
      </c>
      <c r="AI45" t="s">
        <v>1203</v>
      </c>
      <c r="AJ45" s="96" t="s">
        <v>60</v>
      </c>
      <c r="AK45" s="96" t="s">
        <v>60</v>
      </c>
      <c r="AL45" s="96" t="s">
        <v>60</v>
      </c>
      <c r="AM45" s="96" t="s">
        <v>60</v>
      </c>
      <c r="AN45" s="96" t="s">
        <v>60</v>
      </c>
      <c r="AO45" s="96" t="s">
        <v>60</v>
      </c>
      <c r="AP45" s="96" t="s">
        <v>60</v>
      </c>
      <c r="AQ45" s="96" t="s">
        <v>60</v>
      </c>
      <c r="AR45" s="96" t="s">
        <v>60</v>
      </c>
      <c r="AS45" s="96" t="s">
        <v>60</v>
      </c>
      <c r="AT45" s="96" t="s">
        <v>60</v>
      </c>
      <c r="AU45" s="96" t="s">
        <v>60</v>
      </c>
      <c r="AV45" s="96" t="s">
        <v>60</v>
      </c>
      <c r="AW45" s="96" t="s">
        <v>60</v>
      </c>
      <c r="AX45" s="96" t="s">
        <v>60</v>
      </c>
      <c r="AY45" s="96" t="s">
        <v>60</v>
      </c>
      <c r="AZ45" s="96" t="s">
        <v>60</v>
      </c>
      <c r="BA45" s="96" t="s">
        <v>60</v>
      </c>
      <c r="BB45" s="96" t="s">
        <v>60</v>
      </c>
      <c r="BC45" s="96" t="s">
        <v>60</v>
      </c>
      <c r="BD45" s="96" t="s">
        <v>60</v>
      </c>
      <c r="BE45" s="96" t="s">
        <v>60</v>
      </c>
      <c r="BF45" s="96" t="s">
        <v>60</v>
      </c>
      <c r="BG45" s="96" t="s">
        <v>60</v>
      </c>
      <c r="BK45" s="96" t="s">
        <v>107</v>
      </c>
      <c r="BL45" s="97" t="s">
        <v>1347</v>
      </c>
      <c r="BM45" s="96" t="s">
        <v>60</v>
      </c>
    </row>
    <row r="46" spans="1:65" s="99" customFormat="1" ht="28.2" customHeight="1" x14ac:dyDescent="0.3">
      <c r="A46" s="96">
        <v>42</v>
      </c>
      <c r="B46" s="100" t="s">
        <v>1303</v>
      </c>
      <c r="C46" s="110" t="s">
        <v>1189</v>
      </c>
      <c r="D46" s="110" t="s">
        <v>711</v>
      </c>
      <c r="E46" s="110" t="s">
        <v>66</v>
      </c>
      <c r="F46" s="110" t="s">
        <v>1327</v>
      </c>
      <c r="G46" s="108" t="s">
        <v>107</v>
      </c>
      <c r="H46" s="111" t="s">
        <v>60</v>
      </c>
      <c r="I46" s="111" t="s">
        <v>60</v>
      </c>
      <c r="J46" s="111" t="s">
        <v>60</v>
      </c>
      <c r="K46" s="111" t="s">
        <v>60</v>
      </c>
      <c r="L46" s="111" t="s">
        <v>60</v>
      </c>
      <c r="M46" s="111" t="s">
        <v>60</v>
      </c>
      <c r="N46" s="111" t="s">
        <v>60</v>
      </c>
      <c r="O46" s="111" t="s">
        <v>60</v>
      </c>
      <c r="P46" s="111" t="s">
        <v>60</v>
      </c>
      <c r="Q46" s="111" t="s">
        <v>60</v>
      </c>
      <c r="R46" s="111" t="s">
        <v>60</v>
      </c>
      <c r="S46" s="111" t="s">
        <v>60</v>
      </c>
      <c r="T46" s="111" t="s">
        <v>60</v>
      </c>
      <c r="U46" s="111" t="s">
        <v>60</v>
      </c>
      <c r="V46" s="111" t="s">
        <v>60</v>
      </c>
      <c r="W46" s="111" t="s">
        <v>60</v>
      </c>
      <c r="X46" s="111" t="s">
        <v>60</v>
      </c>
      <c r="Y46" s="111" t="s">
        <v>60</v>
      </c>
      <c r="Z46" s="111" t="s">
        <v>60</v>
      </c>
      <c r="AA46" s="111" t="s">
        <v>107</v>
      </c>
      <c r="AB46" s="111"/>
      <c r="AC46" s="110" t="s">
        <v>48</v>
      </c>
      <c r="AD46" s="110" t="s">
        <v>39</v>
      </c>
      <c r="AE46" s="111">
        <v>6</v>
      </c>
      <c r="AF46" s="111">
        <v>0</v>
      </c>
      <c r="AG46" s="111">
        <v>0</v>
      </c>
      <c r="AH46" t="s">
        <v>1203</v>
      </c>
      <c r="AI46" t="s">
        <v>1203</v>
      </c>
      <c r="AJ46" s="96" t="s">
        <v>60</v>
      </c>
      <c r="AK46" s="96" t="s">
        <v>60</v>
      </c>
      <c r="AL46" s="96" t="s">
        <v>60</v>
      </c>
      <c r="AM46" s="96" t="s">
        <v>60</v>
      </c>
      <c r="AN46" s="96" t="s">
        <v>60</v>
      </c>
      <c r="AO46" s="96" t="s">
        <v>60</v>
      </c>
      <c r="AP46" s="96" t="s">
        <v>60</v>
      </c>
      <c r="AQ46" s="96" t="s">
        <v>60</v>
      </c>
      <c r="AR46" s="96" t="s">
        <v>60</v>
      </c>
      <c r="AS46" s="96" t="s">
        <v>60</v>
      </c>
      <c r="AT46" s="96" t="s">
        <v>60</v>
      </c>
      <c r="AU46" s="96" t="s">
        <v>60</v>
      </c>
      <c r="AV46" s="96" t="s">
        <v>60</v>
      </c>
      <c r="AW46" s="96" t="s">
        <v>60</v>
      </c>
      <c r="AX46" s="96" t="s">
        <v>60</v>
      </c>
      <c r="AY46" s="96" t="s">
        <v>60</v>
      </c>
      <c r="AZ46" s="96" t="s">
        <v>60</v>
      </c>
      <c r="BA46" s="96" t="s">
        <v>60</v>
      </c>
      <c r="BB46" s="96" t="s">
        <v>60</v>
      </c>
      <c r="BC46" s="96" t="s">
        <v>60</v>
      </c>
      <c r="BD46" s="96" t="s">
        <v>60</v>
      </c>
      <c r="BE46" s="96" t="s">
        <v>60</v>
      </c>
      <c r="BF46" s="96" t="s">
        <v>60</v>
      </c>
      <c r="BG46" s="96" t="s">
        <v>60</v>
      </c>
      <c r="BH46" s="96"/>
      <c r="BI46" s="96"/>
      <c r="BJ46" s="96"/>
      <c r="BK46" s="96" t="s">
        <v>107</v>
      </c>
      <c r="BL46" s="97" t="s">
        <v>1352</v>
      </c>
      <c r="BM46" s="96" t="s">
        <v>60</v>
      </c>
    </row>
    <row r="47" spans="1:65" s="99" customFormat="1" ht="27.6" customHeight="1" x14ac:dyDescent="0.3">
      <c r="A47" s="96">
        <v>43</v>
      </c>
      <c r="B47" s="100" t="s">
        <v>1304</v>
      </c>
      <c r="C47" s="110" t="s">
        <v>1189</v>
      </c>
      <c r="D47" s="110" t="s">
        <v>577</v>
      </c>
      <c r="E47" s="110" t="s">
        <v>66</v>
      </c>
      <c r="F47" s="110" t="s">
        <v>231</v>
      </c>
      <c r="G47" s="108" t="s">
        <v>60</v>
      </c>
      <c r="H47" s="111" t="s">
        <v>60</v>
      </c>
      <c r="I47" s="111" t="s">
        <v>60</v>
      </c>
      <c r="J47" s="111" t="s">
        <v>60</v>
      </c>
      <c r="K47" s="111" t="s">
        <v>60</v>
      </c>
      <c r="L47" s="111" t="s">
        <v>60</v>
      </c>
      <c r="M47" s="111" t="s">
        <v>60</v>
      </c>
      <c r="N47" s="111" t="s">
        <v>60</v>
      </c>
      <c r="O47" s="111" t="s">
        <v>60</v>
      </c>
      <c r="P47" s="111" t="s">
        <v>60</v>
      </c>
      <c r="Q47" s="111" t="s">
        <v>60</v>
      </c>
      <c r="R47" s="111" t="s">
        <v>60</v>
      </c>
      <c r="S47" s="111" t="s">
        <v>60</v>
      </c>
      <c r="T47" s="111" t="s">
        <v>60</v>
      </c>
      <c r="U47" s="111" t="s">
        <v>60</v>
      </c>
      <c r="V47" s="111" t="s">
        <v>60</v>
      </c>
      <c r="W47" s="111" t="s">
        <v>60</v>
      </c>
      <c r="X47" s="111" t="s">
        <v>60</v>
      </c>
      <c r="Y47" s="111" t="s">
        <v>60</v>
      </c>
      <c r="Z47" s="111" t="s">
        <v>60</v>
      </c>
      <c r="AA47" s="111" t="s">
        <v>60</v>
      </c>
      <c r="AB47" s="111"/>
      <c r="AC47" s="110" t="s">
        <v>74</v>
      </c>
      <c r="AD47" s="110" t="s">
        <v>89</v>
      </c>
      <c r="AE47" s="111">
        <v>3</v>
      </c>
      <c r="AF47" s="111">
        <v>10</v>
      </c>
      <c r="AG47" s="111">
        <v>0</v>
      </c>
      <c r="AH47" t="s">
        <v>1203</v>
      </c>
      <c r="AI47" t="s">
        <v>1203</v>
      </c>
      <c r="AJ47" s="96" t="s">
        <v>60</v>
      </c>
      <c r="AK47" s="96" t="s">
        <v>60</v>
      </c>
      <c r="AL47" s="96" t="s">
        <v>60</v>
      </c>
      <c r="AM47" s="96" t="s">
        <v>60</v>
      </c>
      <c r="AN47" s="96" t="s">
        <v>60</v>
      </c>
      <c r="AO47" s="96" t="s">
        <v>60</v>
      </c>
      <c r="AP47" s="96" t="s">
        <v>107</v>
      </c>
      <c r="AQ47" s="96" t="s">
        <v>60</v>
      </c>
      <c r="AR47" s="96" t="s">
        <v>60</v>
      </c>
      <c r="AS47" s="96" t="s">
        <v>60</v>
      </c>
      <c r="AT47" s="96" t="s">
        <v>60</v>
      </c>
      <c r="AU47" s="96" t="s">
        <v>107</v>
      </c>
      <c r="AV47" s="96" t="s">
        <v>107</v>
      </c>
      <c r="AW47" s="96" t="s">
        <v>60</v>
      </c>
      <c r="AX47" s="96" t="s">
        <v>60</v>
      </c>
      <c r="AY47" s="96" t="s">
        <v>60</v>
      </c>
      <c r="AZ47" s="96" t="s">
        <v>60</v>
      </c>
      <c r="BA47" s="96" t="s">
        <v>60</v>
      </c>
      <c r="BB47" s="96" t="s">
        <v>60</v>
      </c>
      <c r="BC47" s="96" t="s">
        <v>60</v>
      </c>
      <c r="BD47" s="96" t="s">
        <v>60</v>
      </c>
      <c r="BE47" s="96" t="s">
        <v>60</v>
      </c>
      <c r="BF47" s="96" t="s">
        <v>60</v>
      </c>
      <c r="BG47" s="96" t="s">
        <v>60</v>
      </c>
      <c r="BH47" s="96"/>
      <c r="BI47" s="96"/>
      <c r="BJ47" s="96"/>
      <c r="BK47" s="96"/>
      <c r="BL47" s="96"/>
      <c r="BM47" s="96" t="s">
        <v>107</v>
      </c>
    </row>
    <row r="48" spans="1:65" s="99" customFormat="1" ht="24.6" customHeight="1" x14ac:dyDescent="0.3">
      <c r="A48" s="96">
        <v>44</v>
      </c>
      <c r="B48" s="100" t="s">
        <v>1305</v>
      </c>
      <c r="C48" s="110" t="s">
        <v>1189</v>
      </c>
      <c r="D48" s="110" t="s">
        <v>891</v>
      </c>
      <c r="E48" s="110" t="s">
        <v>66</v>
      </c>
      <c r="F48" s="110" t="s">
        <v>231</v>
      </c>
      <c r="G48" s="108" t="s">
        <v>60</v>
      </c>
      <c r="H48" s="111" t="s">
        <v>60</v>
      </c>
      <c r="I48" s="111" t="s">
        <v>60</v>
      </c>
      <c r="J48" s="111" t="s">
        <v>60</v>
      </c>
      <c r="K48" s="111" t="s">
        <v>60</v>
      </c>
      <c r="L48" s="111" t="s">
        <v>60</v>
      </c>
      <c r="M48" s="111" t="s">
        <v>60</v>
      </c>
      <c r="N48" s="111" t="s">
        <v>60</v>
      </c>
      <c r="O48" s="111" t="s">
        <v>60</v>
      </c>
      <c r="P48" s="111" t="s">
        <v>60</v>
      </c>
      <c r="Q48" s="111" t="s">
        <v>60</v>
      </c>
      <c r="R48" s="111" t="s">
        <v>60</v>
      </c>
      <c r="S48" s="111" t="s">
        <v>60</v>
      </c>
      <c r="T48" s="111" t="s">
        <v>60</v>
      </c>
      <c r="U48" s="111" t="s">
        <v>60</v>
      </c>
      <c r="V48" s="111" t="s">
        <v>60</v>
      </c>
      <c r="W48" s="111" t="s">
        <v>60</v>
      </c>
      <c r="X48" s="111" t="s">
        <v>60</v>
      </c>
      <c r="Y48" s="111" t="s">
        <v>60</v>
      </c>
      <c r="Z48" s="111" t="s">
        <v>60</v>
      </c>
      <c r="AA48" s="111" t="s">
        <v>60</v>
      </c>
      <c r="AB48" s="111"/>
      <c r="AC48" s="110" t="s">
        <v>48</v>
      </c>
      <c r="AD48" s="110" t="s">
        <v>39</v>
      </c>
      <c r="AE48" s="111">
        <v>0</v>
      </c>
      <c r="AF48" s="111">
        <v>3</v>
      </c>
      <c r="AG48" s="111">
        <v>0</v>
      </c>
      <c r="AH48" t="s">
        <v>1193</v>
      </c>
      <c r="AI48" t="s">
        <v>1193</v>
      </c>
      <c r="AJ48" s="96" t="s">
        <v>107</v>
      </c>
      <c r="AK48" s="96" t="s">
        <v>107</v>
      </c>
      <c r="AL48" s="96" t="s">
        <v>60</v>
      </c>
      <c r="AM48" s="96" t="s">
        <v>60</v>
      </c>
      <c r="AN48" s="96" t="s">
        <v>60</v>
      </c>
      <c r="AO48" s="96" t="s">
        <v>60</v>
      </c>
      <c r="AP48" s="96" t="s">
        <v>60</v>
      </c>
      <c r="AQ48" s="96" t="s">
        <v>60</v>
      </c>
      <c r="AR48" s="96" t="s">
        <v>60</v>
      </c>
      <c r="AS48" s="96" t="s">
        <v>60</v>
      </c>
      <c r="AT48" s="96" t="s">
        <v>60</v>
      </c>
      <c r="AU48" s="96" t="s">
        <v>60</v>
      </c>
      <c r="AV48" s="96" t="s">
        <v>60</v>
      </c>
      <c r="AW48" s="96" t="s">
        <v>60</v>
      </c>
      <c r="AX48" s="96" t="s">
        <v>60</v>
      </c>
      <c r="AY48" s="96" t="s">
        <v>60</v>
      </c>
      <c r="AZ48" s="96" t="s">
        <v>60</v>
      </c>
      <c r="BA48" s="96" t="s">
        <v>60</v>
      </c>
      <c r="BB48" s="96" t="s">
        <v>60</v>
      </c>
      <c r="BC48" s="96" t="s">
        <v>60</v>
      </c>
      <c r="BD48" s="96" t="s">
        <v>60</v>
      </c>
      <c r="BE48" s="96" t="s">
        <v>60</v>
      </c>
      <c r="BF48" s="96" t="s">
        <v>60</v>
      </c>
      <c r="BG48" s="96" t="s">
        <v>60</v>
      </c>
      <c r="BH48" s="96"/>
      <c r="BI48" s="96"/>
      <c r="BJ48" s="96"/>
      <c r="BK48" s="96"/>
      <c r="BL48" s="96"/>
      <c r="BM48" s="96" t="s">
        <v>60</v>
      </c>
    </row>
    <row r="49" spans="1:65" s="99" customFormat="1" ht="30" customHeight="1" x14ac:dyDescent="0.3">
      <c r="A49" s="96">
        <v>45</v>
      </c>
      <c r="B49" s="100" t="s">
        <v>1306</v>
      </c>
      <c r="C49" s="110" t="s">
        <v>1190</v>
      </c>
      <c r="D49" s="110" t="s">
        <v>1068</v>
      </c>
      <c r="E49" s="110" t="s">
        <v>66</v>
      </c>
      <c r="F49" s="110" t="s">
        <v>1144</v>
      </c>
      <c r="G49" s="108" t="s">
        <v>60</v>
      </c>
      <c r="H49" s="111" t="s">
        <v>60</v>
      </c>
      <c r="I49" s="111" t="s">
        <v>60</v>
      </c>
      <c r="J49" s="111" t="s">
        <v>60</v>
      </c>
      <c r="K49" s="111" t="s">
        <v>60</v>
      </c>
      <c r="L49" s="111" t="s">
        <v>60</v>
      </c>
      <c r="M49" s="111" t="s">
        <v>60</v>
      </c>
      <c r="N49" s="111" t="s">
        <v>60</v>
      </c>
      <c r="O49" s="111" t="s">
        <v>60</v>
      </c>
      <c r="P49" s="111" t="s">
        <v>60</v>
      </c>
      <c r="Q49" s="111" t="s">
        <v>60</v>
      </c>
      <c r="R49" s="111" t="s">
        <v>60</v>
      </c>
      <c r="S49" s="111" t="s">
        <v>60</v>
      </c>
      <c r="T49" s="111" t="s">
        <v>60</v>
      </c>
      <c r="U49" s="111" t="s">
        <v>60</v>
      </c>
      <c r="V49" s="111" t="s">
        <v>60</v>
      </c>
      <c r="W49" s="111" t="s">
        <v>60</v>
      </c>
      <c r="X49" s="111" t="s">
        <v>60</v>
      </c>
      <c r="Y49" s="111" t="s">
        <v>60</v>
      </c>
      <c r="Z49" s="111" t="s">
        <v>60</v>
      </c>
      <c r="AA49" s="111" t="s">
        <v>60</v>
      </c>
      <c r="AB49" s="111"/>
      <c r="AC49" s="110" t="s">
        <v>48</v>
      </c>
      <c r="AD49" s="110" t="s">
        <v>39</v>
      </c>
      <c r="AE49" s="111">
        <v>0</v>
      </c>
      <c r="AF49" s="111">
        <v>4</v>
      </c>
      <c r="AG49" s="111">
        <v>0</v>
      </c>
      <c r="AH49" t="s">
        <v>1193</v>
      </c>
      <c r="AI49" t="s">
        <v>1193</v>
      </c>
      <c r="AJ49" s="96" t="s">
        <v>107</v>
      </c>
      <c r="AK49" s="96" t="s">
        <v>107</v>
      </c>
      <c r="AL49" s="96" t="s">
        <v>60</v>
      </c>
      <c r="AM49" s="96" t="s">
        <v>60</v>
      </c>
      <c r="AN49" s="96" t="s">
        <v>60</v>
      </c>
      <c r="AO49" s="96" t="s">
        <v>60</v>
      </c>
      <c r="AP49" s="96" t="s">
        <v>60</v>
      </c>
      <c r="AQ49" s="96" t="s">
        <v>60</v>
      </c>
      <c r="AR49" s="96" t="s">
        <v>60</v>
      </c>
      <c r="AS49" s="96" t="s">
        <v>60</v>
      </c>
      <c r="AT49" s="96" t="s">
        <v>60</v>
      </c>
      <c r="AU49" s="96" t="s">
        <v>60</v>
      </c>
      <c r="AV49" s="96" t="s">
        <v>60</v>
      </c>
      <c r="AW49" s="96" t="s">
        <v>60</v>
      </c>
      <c r="AX49" s="96" t="s">
        <v>60</v>
      </c>
      <c r="AY49" s="96" t="s">
        <v>60</v>
      </c>
      <c r="AZ49" s="96" t="s">
        <v>60</v>
      </c>
      <c r="BA49" s="96" t="s">
        <v>60</v>
      </c>
      <c r="BB49" s="96" t="s">
        <v>60</v>
      </c>
      <c r="BC49" s="96" t="s">
        <v>60</v>
      </c>
      <c r="BD49" s="96" t="s">
        <v>60</v>
      </c>
      <c r="BE49" s="96" t="s">
        <v>60</v>
      </c>
      <c r="BF49" s="96" t="s">
        <v>60</v>
      </c>
      <c r="BG49" s="96" t="s">
        <v>60</v>
      </c>
      <c r="BH49" s="96"/>
      <c r="BI49" s="96"/>
      <c r="BJ49" s="96"/>
      <c r="BK49" s="96"/>
      <c r="BL49" s="96"/>
      <c r="BM49" s="96" t="s">
        <v>60</v>
      </c>
    </row>
    <row r="50" spans="1:65" s="99" customFormat="1" ht="25.8" customHeight="1" x14ac:dyDescent="0.3">
      <c r="A50" s="96">
        <v>46</v>
      </c>
      <c r="B50" s="100" t="s">
        <v>1307</v>
      </c>
      <c r="C50" s="110" t="s">
        <v>1190</v>
      </c>
      <c r="D50" s="110" t="s">
        <v>1142</v>
      </c>
      <c r="E50" s="110" t="s">
        <v>66</v>
      </c>
      <c r="F50" s="110" t="s">
        <v>231</v>
      </c>
      <c r="G50" s="108" t="s">
        <v>107</v>
      </c>
      <c r="H50" s="111" t="s">
        <v>60</v>
      </c>
      <c r="I50" s="111" t="s">
        <v>60</v>
      </c>
      <c r="J50" s="111" t="s">
        <v>60</v>
      </c>
      <c r="K50" s="111" t="s">
        <v>60</v>
      </c>
      <c r="L50" s="111" t="s">
        <v>60</v>
      </c>
      <c r="M50" s="111" t="s">
        <v>60</v>
      </c>
      <c r="N50" s="111" t="s">
        <v>60</v>
      </c>
      <c r="O50" s="111" t="s">
        <v>60</v>
      </c>
      <c r="P50" s="111" t="s">
        <v>60</v>
      </c>
      <c r="Q50" s="111" t="s">
        <v>60</v>
      </c>
      <c r="R50" s="111" t="s">
        <v>60</v>
      </c>
      <c r="S50" s="111" t="s">
        <v>60</v>
      </c>
      <c r="T50" s="111" t="s">
        <v>60</v>
      </c>
      <c r="U50" s="111" t="s">
        <v>60</v>
      </c>
      <c r="V50" s="111" t="s">
        <v>60</v>
      </c>
      <c r="W50" s="111" t="s">
        <v>60</v>
      </c>
      <c r="X50" s="111" t="s">
        <v>60</v>
      </c>
      <c r="Y50" s="111" t="s">
        <v>60</v>
      </c>
      <c r="Z50" s="111" t="s">
        <v>60</v>
      </c>
      <c r="AA50" s="111" t="s">
        <v>107</v>
      </c>
      <c r="AB50" s="111"/>
      <c r="AC50" s="110" t="s">
        <v>48</v>
      </c>
      <c r="AD50" s="110" t="s">
        <v>39</v>
      </c>
      <c r="AE50" s="111">
        <v>4</v>
      </c>
      <c r="AF50" s="111">
        <v>0</v>
      </c>
      <c r="AG50" s="111">
        <v>0</v>
      </c>
      <c r="AH50" t="s">
        <v>1203</v>
      </c>
      <c r="AI50" t="s">
        <v>1203</v>
      </c>
      <c r="AJ50" s="96" t="s">
        <v>107</v>
      </c>
      <c r="AK50" s="96" t="s">
        <v>107</v>
      </c>
      <c r="AL50" s="96" t="s">
        <v>60</v>
      </c>
      <c r="AM50" s="96" t="s">
        <v>60</v>
      </c>
      <c r="AN50" s="96" t="s">
        <v>60</v>
      </c>
      <c r="AO50" s="96" t="s">
        <v>60</v>
      </c>
      <c r="AP50" s="96" t="s">
        <v>60</v>
      </c>
      <c r="AQ50" s="96" t="s">
        <v>60</v>
      </c>
      <c r="AR50" s="96" t="s">
        <v>60</v>
      </c>
      <c r="AS50" s="96" t="s">
        <v>60</v>
      </c>
      <c r="AT50" s="96" t="s">
        <v>60</v>
      </c>
      <c r="AU50" s="96" t="s">
        <v>60</v>
      </c>
      <c r="AV50" s="96" t="s">
        <v>60</v>
      </c>
      <c r="AW50" s="96" t="s">
        <v>60</v>
      </c>
      <c r="AX50" s="96" t="s">
        <v>60</v>
      </c>
      <c r="AY50" s="96" t="s">
        <v>60</v>
      </c>
      <c r="AZ50" s="96" t="s">
        <v>60</v>
      </c>
      <c r="BA50" s="96" t="s">
        <v>60</v>
      </c>
      <c r="BB50" s="96" t="s">
        <v>60</v>
      </c>
      <c r="BC50" s="96" t="s">
        <v>60</v>
      </c>
      <c r="BD50" s="96" t="s">
        <v>60</v>
      </c>
      <c r="BE50" s="96" t="s">
        <v>60</v>
      </c>
      <c r="BF50" s="96" t="s">
        <v>60</v>
      </c>
      <c r="BG50" s="96" t="s">
        <v>60</v>
      </c>
      <c r="BH50" s="96"/>
      <c r="BI50" s="96"/>
      <c r="BJ50" s="96"/>
      <c r="BK50" s="96"/>
      <c r="BL50" s="96"/>
      <c r="BM50" s="96" t="s">
        <v>60</v>
      </c>
    </row>
    <row r="51" spans="1:65" s="99" customFormat="1" ht="24.6" customHeight="1" x14ac:dyDescent="0.3">
      <c r="A51" s="96">
        <v>47</v>
      </c>
      <c r="B51" s="100" t="s">
        <v>1308</v>
      </c>
      <c r="C51" s="110" t="s">
        <v>1190</v>
      </c>
      <c r="D51" s="110" t="s">
        <v>400</v>
      </c>
      <c r="E51" s="110" t="s">
        <v>66</v>
      </c>
      <c r="F51" s="110" t="s">
        <v>462</v>
      </c>
      <c r="G51" s="108" t="s">
        <v>60</v>
      </c>
      <c r="H51" s="111" t="s">
        <v>60</v>
      </c>
      <c r="I51" s="111" t="s">
        <v>60</v>
      </c>
      <c r="J51" s="111" t="s">
        <v>60</v>
      </c>
      <c r="K51" s="111" t="s">
        <v>60</v>
      </c>
      <c r="L51" s="111" t="s">
        <v>60</v>
      </c>
      <c r="M51" s="111" t="s">
        <v>60</v>
      </c>
      <c r="N51" s="111" t="s">
        <v>60</v>
      </c>
      <c r="O51" s="111" t="s">
        <v>60</v>
      </c>
      <c r="P51" s="111" t="s">
        <v>60</v>
      </c>
      <c r="Q51" s="111" t="s">
        <v>60</v>
      </c>
      <c r="R51" s="111" t="s">
        <v>60</v>
      </c>
      <c r="S51" s="111" t="s">
        <v>60</v>
      </c>
      <c r="T51" s="111" t="s">
        <v>60</v>
      </c>
      <c r="U51" s="111" t="s">
        <v>60</v>
      </c>
      <c r="V51" s="111" t="s">
        <v>60</v>
      </c>
      <c r="W51" s="111" t="s">
        <v>60</v>
      </c>
      <c r="X51" s="111" t="s">
        <v>60</v>
      </c>
      <c r="Y51" s="111" t="s">
        <v>60</v>
      </c>
      <c r="Z51" s="111" t="s">
        <v>60</v>
      </c>
      <c r="AA51" s="111" t="s">
        <v>60</v>
      </c>
      <c r="AB51" s="111"/>
      <c r="AC51" s="110" t="s">
        <v>48</v>
      </c>
      <c r="AD51" s="110" t="s">
        <v>39</v>
      </c>
      <c r="AE51" s="111">
        <v>0</v>
      </c>
      <c r="AF51" s="111">
        <v>4</v>
      </c>
      <c r="AG51" s="111">
        <v>0</v>
      </c>
      <c r="AH51" t="s">
        <v>1193</v>
      </c>
      <c r="AI51" t="s">
        <v>1193</v>
      </c>
      <c r="AJ51" s="96" t="s">
        <v>107</v>
      </c>
      <c r="AK51" s="96" t="s">
        <v>60</v>
      </c>
      <c r="AL51" s="96" t="s">
        <v>60</v>
      </c>
      <c r="AM51" s="96" t="s">
        <v>107</v>
      </c>
      <c r="AN51" s="96" t="s">
        <v>60</v>
      </c>
      <c r="AO51" s="96" t="s">
        <v>60</v>
      </c>
      <c r="AP51" s="96" t="s">
        <v>60</v>
      </c>
      <c r="AQ51" s="96" t="s">
        <v>60</v>
      </c>
      <c r="AR51" s="96" t="s">
        <v>60</v>
      </c>
      <c r="AS51" s="96" t="s">
        <v>60</v>
      </c>
      <c r="AT51" s="96" t="s">
        <v>60</v>
      </c>
      <c r="AU51" s="96" t="s">
        <v>60</v>
      </c>
      <c r="AV51" s="96" t="s">
        <v>60</v>
      </c>
      <c r="AW51" s="96" t="s">
        <v>60</v>
      </c>
      <c r="AX51" s="96" t="s">
        <v>60</v>
      </c>
      <c r="AY51" s="96" t="s">
        <v>60</v>
      </c>
      <c r="AZ51" s="96" t="s">
        <v>60</v>
      </c>
      <c r="BA51" s="96" t="s">
        <v>60</v>
      </c>
      <c r="BB51" s="96" t="s">
        <v>60</v>
      </c>
      <c r="BC51" s="96" t="s">
        <v>60</v>
      </c>
      <c r="BD51" s="96" t="s">
        <v>60</v>
      </c>
      <c r="BE51" s="96" t="s">
        <v>60</v>
      </c>
      <c r="BF51" s="96" t="s">
        <v>60</v>
      </c>
      <c r="BG51" s="96" t="s">
        <v>60</v>
      </c>
      <c r="BH51" s="96"/>
      <c r="BI51" s="96"/>
      <c r="BJ51" s="96"/>
      <c r="BK51" s="96"/>
      <c r="BL51" s="96"/>
      <c r="BM51" s="96" t="s">
        <v>60</v>
      </c>
    </row>
    <row r="52" spans="1:65" s="99" customFormat="1" ht="24" customHeight="1" x14ac:dyDescent="0.3">
      <c r="A52" s="96">
        <v>48</v>
      </c>
      <c r="B52" s="100" t="s">
        <v>1309</v>
      </c>
      <c r="C52" s="110" t="s">
        <v>1188</v>
      </c>
      <c r="D52" s="110" t="s">
        <v>1320</v>
      </c>
      <c r="E52" s="110" t="s">
        <v>40</v>
      </c>
      <c r="F52" s="110" t="s">
        <v>40</v>
      </c>
      <c r="G52" s="108" t="s">
        <v>107</v>
      </c>
      <c r="H52" s="111" t="s">
        <v>60</v>
      </c>
      <c r="I52" s="111" t="s">
        <v>60</v>
      </c>
      <c r="J52" s="111" t="s">
        <v>60</v>
      </c>
      <c r="K52" s="111" t="s">
        <v>60</v>
      </c>
      <c r="L52" s="111" t="s">
        <v>60</v>
      </c>
      <c r="M52" s="111" t="s">
        <v>107</v>
      </c>
      <c r="N52" s="111" t="s">
        <v>60</v>
      </c>
      <c r="O52" s="111" t="s">
        <v>60</v>
      </c>
      <c r="P52" s="111" t="s">
        <v>60</v>
      </c>
      <c r="Q52" s="111" t="s">
        <v>60</v>
      </c>
      <c r="R52" s="111" t="s">
        <v>60</v>
      </c>
      <c r="S52" s="111" t="s">
        <v>60</v>
      </c>
      <c r="T52" s="111" t="s">
        <v>60</v>
      </c>
      <c r="U52" s="111" t="s">
        <v>60</v>
      </c>
      <c r="V52" s="111" t="s">
        <v>60</v>
      </c>
      <c r="W52" s="111" t="s">
        <v>60</v>
      </c>
      <c r="X52" s="111" t="s">
        <v>60</v>
      </c>
      <c r="Y52" s="111" t="s">
        <v>60</v>
      </c>
      <c r="Z52" s="111" t="s">
        <v>60</v>
      </c>
      <c r="AA52" s="111" t="s">
        <v>60</v>
      </c>
      <c r="AB52" s="111"/>
      <c r="AC52" s="110" t="s">
        <v>48</v>
      </c>
      <c r="AD52" s="110" t="s">
        <v>39</v>
      </c>
      <c r="AE52" s="111">
        <v>0</v>
      </c>
      <c r="AF52" s="111">
        <v>5</v>
      </c>
      <c r="AG52" s="111">
        <v>0</v>
      </c>
      <c r="AH52" t="s">
        <v>1193</v>
      </c>
      <c r="AI52" t="s">
        <v>1193</v>
      </c>
      <c r="AJ52" s="96" t="s">
        <v>107</v>
      </c>
      <c r="AK52" s="96" t="s">
        <v>60</v>
      </c>
      <c r="AL52" s="96" t="s">
        <v>60</v>
      </c>
      <c r="AM52" s="96" t="s">
        <v>107</v>
      </c>
      <c r="AN52" s="96" t="s">
        <v>60</v>
      </c>
      <c r="AO52" s="96" t="s">
        <v>60</v>
      </c>
      <c r="AP52" s="96" t="s">
        <v>60</v>
      </c>
      <c r="AQ52" s="96" t="s">
        <v>60</v>
      </c>
      <c r="AR52" s="96" t="s">
        <v>60</v>
      </c>
      <c r="AS52" s="96" t="s">
        <v>60</v>
      </c>
      <c r="AT52" s="96" t="s">
        <v>60</v>
      </c>
      <c r="AU52" s="96" t="s">
        <v>107</v>
      </c>
      <c r="AV52" s="96" t="s">
        <v>60</v>
      </c>
      <c r="AW52" s="96" t="s">
        <v>60</v>
      </c>
      <c r="AX52" s="96" t="s">
        <v>60</v>
      </c>
      <c r="AY52" s="96" t="s">
        <v>60</v>
      </c>
      <c r="AZ52" s="96" t="s">
        <v>60</v>
      </c>
      <c r="BA52" s="96" t="s">
        <v>60</v>
      </c>
      <c r="BB52" s="96" t="s">
        <v>60</v>
      </c>
      <c r="BC52" s="96" t="s">
        <v>60</v>
      </c>
      <c r="BD52" s="96" t="s">
        <v>60</v>
      </c>
      <c r="BE52" s="96" t="s">
        <v>60</v>
      </c>
      <c r="BF52" s="96" t="s">
        <v>60</v>
      </c>
      <c r="BG52" s="96" t="s">
        <v>60</v>
      </c>
      <c r="BH52" s="96"/>
      <c r="BI52" s="96"/>
      <c r="BJ52" s="96"/>
      <c r="BK52" s="96"/>
      <c r="BL52" s="96"/>
      <c r="BM52" s="96" t="s">
        <v>60</v>
      </c>
    </row>
    <row r="53" spans="1:65" s="99" customFormat="1" ht="26.4" customHeight="1" x14ac:dyDescent="0.3">
      <c r="A53" s="96">
        <v>49</v>
      </c>
      <c r="B53" s="100" t="s">
        <v>1310</v>
      </c>
      <c r="C53" s="110" t="s">
        <v>1188</v>
      </c>
      <c r="D53" s="110" t="s">
        <v>1321</v>
      </c>
      <c r="E53" s="110" t="s">
        <v>66</v>
      </c>
      <c r="F53" s="110" t="s">
        <v>462</v>
      </c>
      <c r="G53" s="108" t="s">
        <v>107</v>
      </c>
      <c r="H53" s="111" t="s">
        <v>60</v>
      </c>
      <c r="I53" s="111" t="s">
        <v>60</v>
      </c>
      <c r="J53" s="111" t="s">
        <v>60</v>
      </c>
      <c r="K53" s="111" t="s">
        <v>60</v>
      </c>
      <c r="L53" s="111" t="s">
        <v>60</v>
      </c>
      <c r="M53" s="111" t="s">
        <v>60</v>
      </c>
      <c r="N53" s="111" t="s">
        <v>60</v>
      </c>
      <c r="O53" s="111" t="s">
        <v>107</v>
      </c>
      <c r="P53" s="111" t="s">
        <v>60</v>
      </c>
      <c r="Q53" s="111" t="s">
        <v>60</v>
      </c>
      <c r="R53" s="111" t="s">
        <v>60</v>
      </c>
      <c r="S53" s="111" t="s">
        <v>60</v>
      </c>
      <c r="T53" s="111" t="s">
        <v>60</v>
      </c>
      <c r="U53" s="111" t="s">
        <v>60</v>
      </c>
      <c r="V53" s="111" t="s">
        <v>60</v>
      </c>
      <c r="W53" s="111" t="s">
        <v>60</v>
      </c>
      <c r="X53" s="111" t="s">
        <v>60</v>
      </c>
      <c r="Y53" s="111" t="s">
        <v>60</v>
      </c>
      <c r="Z53" s="111" t="s">
        <v>60</v>
      </c>
      <c r="AA53" s="111" t="s">
        <v>60</v>
      </c>
      <c r="AB53" s="111"/>
      <c r="AC53" s="110" t="s">
        <v>48</v>
      </c>
      <c r="AD53" s="110" t="s">
        <v>89</v>
      </c>
      <c r="AE53" s="111">
        <v>11</v>
      </c>
      <c r="AF53" s="111">
        <v>0</v>
      </c>
      <c r="AG53" s="111">
        <v>0</v>
      </c>
      <c r="AH53" t="s">
        <v>1193</v>
      </c>
      <c r="AI53" t="s">
        <v>1193</v>
      </c>
      <c r="AJ53" s="96" t="s">
        <v>60</v>
      </c>
      <c r="AK53" s="96" t="s">
        <v>60</v>
      </c>
      <c r="AL53" s="96" t="s">
        <v>60</v>
      </c>
      <c r="AM53" s="96" t="s">
        <v>60</v>
      </c>
      <c r="AN53" s="96" t="s">
        <v>60</v>
      </c>
      <c r="AO53" s="96" t="s">
        <v>60</v>
      </c>
      <c r="AP53" s="96" t="s">
        <v>60</v>
      </c>
      <c r="AQ53" s="96" t="s">
        <v>60</v>
      </c>
      <c r="AR53" s="96" t="s">
        <v>60</v>
      </c>
      <c r="AS53" s="96" t="s">
        <v>60</v>
      </c>
      <c r="AT53" s="96" t="s">
        <v>60</v>
      </c>
      <c r="AU53" s="96" t="s">
        <v>60</v>
      </c>
      <c r="AV53" s="96" t="s">
        <v>60</v>
      </c>
      <c r="AW53" s="96" t="s">
        <v>60</v>
      </c>
      <c r="AX53" s="96" t="s">
        <v>60</v>
      </c>
      <c r="AY53" s="96" t="s">
        <v>60</v>
      </c>
      <c r="AZ53" s="96" t="s">
        <v>60</v>
      </c>
      <c r="BA53" s="96" t="s">
        <v>60</v>
      </c>
      <c r="BB53" s="96" t="s">
        <v>60</v>
      </c>
      <c r="BC53" s="96" t="s">
        <v>60</v>
      </c>
      <c r="BD53" s="96" t="s">
        <v>60</v>
      </c>
      <c r="BE53" s="96" t="s">
        <v>60</v>
      </c>
      <c r="BF53" s="96" t="s">
        <v>60</v>
      </c>
      <c r="BG53" s="96" t="s">
        <v>60</v>
      </c>
      <c r="BH53" s="96"/>
      <c r="BI53" s="96"/>
      <c r="BJ53" s="96"/>
      <c r="BK53" s="96" t="s">
        <v>107</v>
      </c>
      <c r="BL53" s="97" t="s">
        <v>1353</v>
      </c>
      <c r="BM53" s="96" t="s">
        <v>60</v>
      </c>
    </row>
    <row r="54" spans="1:65" s="99" customFormat="1" ht="26.4" customHeight="1" x14ac:dyDescent="0.3">
      <c r="A54" s="96">
        <v>50</v>
      </c>
      <c r="B54" s="97" t="s">
        <v>1311</v>
      </c>
      <c r="C54" s="110" t="s">
        <v>1188</v>
      </c>
      <c r="D54" s="110" t="s">
        <v>142</v>
      </c>
      <c r="E54" s="110" t="s">
        <v>66</v>
      </c>
      <c r="F54" s="110" t="s">
        <v>159</v>
      </c>
      <c r="G54" s="108" t="s">
        <v>107</v>
      </c>
      <c r="H54" s="111" t="s">
        <v>60</v>
      </c>
      <c r="I54" s="111" t="s">
        <v>60</v>
      </c>
      <c r="J54" s="111" t="s">
        <v>107</v>
      </c>
      <c r="K54" s="111" t="s">
        <v>60</v>
      </c>
      <c r="L54" s="111" t="s">
        <v>60</v>
      </c>
      <c r="M54" s="111" t="s">
        <v>60</v>
      </c>
      <c r="N54" s="111" t="s">
        <v>107</v>
      </c>
      <c r="O54" s="111" t="s">
        <v>60</v>
      </c>
      <c r="P54" s="111" t="s">
        <v>60</v>
      </c>
      <c r="Q54" s="111" t="s">
        <v>60</v>
      </c>
      <c r="R54" s="111" t="s">
        <v>60</v>
      </c>
      <c r="S54" s="111" t="s">
        <v>60</v>
      </c>
      <c r="T54" s="111" t="s">
        <v>60</v>
      </c>
      <c r="U54" s="111" t="s">
        <v>60</v>
      </c>
      <c r="V54" s="111" t="s">
        <v>60</v>
      </c>
      <c r="W54" s="111" t="s">
        <v>60</v>
      </c>
      <c r="X54" s="111" t="s">
        <v>60</v>
      </c>
      <c r="Y54" s="111" t="s">
        <v>60</v>
      </c>
      <c r="Z54" s="111" t="s">
        <v>60</v>
      </c>
      <c r="AA54" s="111" t="s">
        <v>60</v>
      </c>
      <c r="AB54" s="111"/>
      <c r="AC54" s="110" t="s">
        <v>74</v>
      </c>
      <c r="AD54" s="110" t="s">
        <v>89</v>
      </c>
      <c r="AE54" s="111">
        <v>4</v>
      </c>
      <c r="AF54" s="111">
        <v>2</v>
      </c>
      <c r="AG54" s="111">
        <v>0</v>
      </c>
      <c r="AH54" t="s">
        <v>1193</v>
      </c>
      <c r="AI54" t="s">
        <v>162</v>
      </c>
      <c r="AJ54" s="96" t="s">
        <v>60</v>
      </c>
      <c r="AK54" s="96" t="s">
        <v>60</v>
      </c>
      <c r="AL54" s="96" t="s">
        <v>60</v>
      </c>
      <c r="AM54" s="96" t="s">
        <v>107</v>
      </c>
      <c r="AN54" s="96" t="s">
        <v>60</v>
      </c>
      <c r="AO54" s="96" t="s">
        <v>60</v>
      </c>
      <c r="AP54" s="96" t="s">
        <v>60</v>
      </c>
      <c r="AQ54" s="96" t="s">
        <v>60</v>
      </c>
      <c r="AR54" s="96" t="s">
        <v>60</v>
      </c>
      <c r="AS54" s="96" t="s">
        <v>60</v>
      </c>
      <c r="AT54" s="96" t="s">
        <v>60</v>
      </c>
      <c r="AU54" s="96" t="s">
        <v>60</v>
      </c>
      <c r="AV54" s="96" t="s">
        <v>60</v>
      </c>
      <c r="AW54" s="96" t="s">
        <v>60</v>
      </c>
      <c r="AX54" s="96" t="s">
        <v>60</v>
      </c>
      <c r="AY54" s="96" t="s">
        <v>60</v>
      </c>
      <c r="AZ54" s="96" t="s">
        <v>60</v>
      </c>
      <c r="BA54" s="96" t="s">
        <v>60</v>
      </c>
      <c r="BB54" s="96" t="s">
        <v>60</v>
      </c>
      <c r="BC54" s="96" t="s">
        <v>60</v>
      </c>
      <c r="BD54" s="96" t="s">
        <v>60</v>
      </c>
      <c r="BE54" s="96" t="s">
        <v>60</v>
      </c>
      <c r="BF54" s="96" t="s">
        <v>60</v>
      </c>
      <c r="BG54" s="96" t="s">
        <v>60</v>
      </c>
      <c r="BH54" s="96"/>
      <c r="BI54" s="96"/>
      <c r="BJ54" s="96"/>
      <c r="BK54" s="96" t="s">
        <v>107</v>
      </c>
      <c r="BL54" s="97" t="s">
        <v>1356</v>
      </c>
      <c r="BM54" s="96" t="s">
        <v>60</v>
      </c>
    </row>
    <row r="55" spans="1:65" s="96" customFormat="1" ht="26.4" customHeight="1" x14ac:dyDescent="0.3">
      <c r="A55" s="96">
        <v>51</v>
      </c>
      <c r="B55" s="97" t="s">
        <v>1312</v>
      </c>
      <c r="C55" s="110" t="s">
        <v>1188</v>
      </c>
      <c r="D55" s="110" t="s">
        <v>1123</v>
      </c>
      <c r="E55" s="110" t="s">
        <v>40</v>
      </c>
      <c r="F55" s="110" t="s">
        <v>40</v>
      </c>
      <c r="G55" s="108" t="s">
        <v>107</v>
      </c>
      <c r="H55" s="111" t="s">
        <v>60</v>
      </c>
      <c r="I55" s="111" t="s">
        <v>60</v>
      </c>
      <c r="J55" s="111" t="s">
        <v>60</v>
      </c>
      <c r="K55" s="111" t="s">
        <v>60</v>
      </c>
      <c r="L55" s="111" t="s">
        <v>60</v>
      </c>
      <c r="M55" s="111" t="s">
        <v>107</v>
      </c>
      <c r="N55" s="111" t="s">
        <v>60</v>
      </c>
      <c r="O55" s="111" t="s">
        <v>60</v>
      </c>
      <c r="P55" s="111" t="s">
        <v>60</v>
      </c>
      <c r="Q55" s="111" t="s">
        <v>60</v>
      </c>
      <c r="R55" s="111" t="s">
        <v>60</v>
      </c>
      <c r="S55" s="111" t="s">
        <v>60</v>
      </c>
      <c r="T55" s="111" t="s">
        <v>60</v>
      </c>
      <c r="U55" s="111" t="s">
        <v>60</v>
      </c>
      <c r="V55" s="111" t="s">
        <v>60</v>
      </c>
      <c r="W55" s="111" t="s">
        <v>60</v>
      </c>
      <c r="X55" s="111" t="s">
        <v>60</v>
      </c>
      <c r="Y55" s="111" t="s">
        <v>60</v>
      </c>
      <c r="Z55" s="111" t="s">
        <v>60</v>
      </c>
      <c r="AA55" s="111" t="s">
        <v>60</v>
      </c>
      <c r="AB55" s="111"/>
      <c r="AC55" s="110" t="s">
        <v>74</v>
      </c>
      <c r="AD55" s="110" t="s">
        <v>89</v>
      </c>
      <c r="AE55" s="111">
        <v>3</v>
      </c>
      <c r="AF55" s="111">
        <v>16</v>
      </c>
      <c r="AG55" s="111">
        <v>0</v>
      </c>
      <c r="AH55" t="s">
        <v>1192</v>
      </c>
      <c r="AI55" t="s">
        <v>162</v>
      </c>
      <c r="AJ55" s="96" t="s">
        <v>60</v>
      </c>
      <c r="AK55" s="96" t="s">
        <v>60</v>
      </c>
      <c r="AL55" s="96" t="s">
        <v>60</v>
      </c>
      <c r="AM55" s="96" t="s">
        <v>60</v>
      </c>
      <c r="AN55" s="96" t="s">
        <v>60</v>
      </c>
      <c r="AO55" s="96" t="s">
        <v>60</v>
      </c>
      <c r="AP55" s="96" t="s">
        <v>60</v>
      </c>
      <c r="AQ55" s="96" t="s">
        <v>60</v>
      </c>
      <c r="AR55" s="96" t="s">
        <v>60</v>
      </c>
      <c r="AS55" s="96" t="s">
        <v>60</v>
      </c>
      <c r="AT55" s="96" t="s">
        <v>60</v>
      </c>
      <c r="AU55" s="96" t="s">
        <v>60</v>
      </c>
      <c r="AV55" s="96" t="s">
        <v>60</v>
      </c>
      <c r="AW55" s="96" t="s">
        <v>60</v>
      </c>
      <c r="AX55" s="96" t="s">
        <v>60</v>
      </c>
      <c r="AY55" s="96" t="s">
        <v>60</v>
      </c>
      <c r="AZ55" s="96" t="s">
        <v>60</v>
      </c>
      <c r="BA55" s="96" t="s">
        <v>60</v>
      </c>
      <c r="BB55" s="96" t="s">
        <v>60</v>
      </c>
      <c r="BC55" s="96" t="s">
        <v>60</v>
      </c>
      <c r="BD55" s="96" t="s">
        <v>60</v>
      </c>
      <c r="BE55" s="96" t="s">
        <v>107</v>
      </c>
      <c r="BF55" s="96" t="s">
        <v>60</v>
      </c>
      <c r="BG55" s="96" t="s">
        <v>60</v>
      </c>
      <c r="BK55" s="96" t="s">
        <v>107</v>
      </c>
      <c r="BL55" s="97" t="s">
        <v>1354</v>
      </c>
      <c r="BM55" s="96" t="s">
        <v>60</v>
      </c>
    </row>
    <row r="56" spans="1:65" s="99" customFormat="1" ht="23.4" customHeight="1" x14ac:dyDescent="0.3">
      <c r="A56" s="96">
        <v>52</v>
      </c>
      <c r="B56" s="100" t="s">
        <v>1313</v>
      </c>
      <c r="C56" s="110" t="s">
        <v>1189</v>
      </c>
      <c r="D56" s="110" t="s">
        <v>445</v>
      </c>
      <c r="E56" s="110" t="s">
        <v>40</v>
      </c>
      <c r="F56" s="110" t="s">
        <v>40</v>
      </c>
      <c r="G56" s="108" t="s">
        <v>60</v>
      </c>
      <c r="H56" s="111" t="s">
        <v>60</v>
      </c>
      <c r="I56" s="111" t="s">
        <v>60</v>
      </c>
      <c r="J56" s="111" t="s">
        <v>60</v>
      </c>
      <c r="K56" s="111" t="s">
        <v>60</v>
      </c>
      <c r="L56" s="111" t="s">
        <v>60</v>
      </c>
      <c r="M56" s="111" t="s">
        <v>60</v>
      </c>
      <c r="N56" s="111" t="s">
        <v>60</v>
      </c>
      <c r="O56" s="111" t="s">
        <v>60</v>
      </c>
      <c r="P56" s="111" t="s">
        <v>60</v>
      </c>
      <c r="Q56" s="111" t="s">
        <v>60</v>
      </c>
      <c r="R56" s="111" t="s">
        <v>60</v>
      </c>
      <c r="S56" s="111" t="s">
        <v>60</v>
      </c>
      <c r="T56" s="111" t="s">
        <v>60</v>
      </c>
      <c r="U56" s="111" t="s">
        <v>60</v>
      </c>
      <c r="V56" s="111" t="s">
        <v>60</v>
      </c>
      <c r="W56" s="111" t="s">
        <v>60</v>
      </c>
      <c r="X56" s="111" t="s">
        <v>60</v>
      </c>
      <c r="Y56" s="111" t="s">
        <v>60</v>
      </c>
      <c r="Z56" s="111" t="s">
        <v>60</v>
      </c>
      <c r="AA56" s="111" t="s">
        <v>60</v>
      </c>
      <c r="AB56" s="111"/>
      <c r="AC56" s="110" t="s">
        <v>74</v>
      </c>
      <c r="AD56" s="110" t="s">
        <v>89</v>
      </c>
      <c r="AE56" s="111">
        <v>2</v>
      </c>
      <c r="AF56" s="111">
        <v>15</v>
      </c>
      <c r="AG56" s="111">
        <v>0</v>
      </c>
      <c r="AH56" t="s">
        <v>1203</v>
      </c>
      <c r="AI56" t="s">
        <v>1203</v>
      </c>
      <c r="AJ56" s="96" t="s">
        <v>60</v>
      </c>
      <c r="AK56" s="96" t="s">
        <v>60</v>
      </c>
      <c r="AL56" s="96" t="s">
        <v>60</v>
      </c>
      <c r="AM56" s="96" t="s">
        <v>60</v>
      </c>
      <c r="AN56" s="96" t="s">
        <v>60</v>
      </c>
      <c r="AO56" s="96" t="s">
        <v>60</v>
      </c>
      <c r="AP56" s="96" t="s">
        <v>107</v>
      </c>
      <c r="AQ56" s="96" t="s">
        <v>60</v>
      </c>
      <c r="AR56" s="96" t="s">
        <v>60</v>
      </c>
      <c r="AS56" s="96" t="s">
        <v>60</v>
      </c>
      <c r="AT56" s="96" t="s">
        <v>107</v>
      </c>
      <c r="AU56" s="96" t="s">
        <v>60</v>
      </c>
      <c r="AV56" s="96" t="s">
        <v>107</v>
      </c>
      <c r="AW56" s="96" t="s">
        <v>60</v>
      </c>
      <c r="AX56" s="96" t="s">
        <v>60</v>
      </c>
      <c r="AY56" s="96" t="s">
        <v>60</v>
      </c>
      <c r="AZ56" s="96" t="s">
        <v>60</v>
      </c>
      <c r="BA56" s="96" t="s">
        <v>60</v>
      </c>
      <c r="BB56" s="96" t="s">
        <v>60</v>
      </c>
      <c r="BC56" s="96" t="s">
        <v>60</v>
      </c>
      <c r="BD56" s="96" t="s">
        <v>60</v>
      </c>
      <c r="BE56" s="96" t="s">
        <v>60</v>
      </c>
      <c r="BF56" s="96" t="s">
        <v>60</v>
      </c>
      <c r="BG56" s="96" t="s">
        <v>60</v>
      </c>
      <c r="BH56" s="96"/>
      <c r="BI56" s="96"/>
      <c r="BJ56" s="96"/>
      <c r="BK56" s="96"/>
      <c r="BL56" s="97"/>
      <c r="BM56" s="96" t="s">
        <v>60</v>
      </c>
    </row>
    <row r="57" spans="1:65" s="99" customFormat="1" ht="31.2" customHeight="1" x14ac:dyDescent="0.3">
      <c r="A57" s="96">
        <v>53</v>
      </c>
      <c r="B57" s="100" t="s">
        <v>1314</v>
      </c>
      <c r="C57" s="110" t="s">
        <v>1189</v>
      </c>
      <c r="D57" s="110" t="s">
        <v>86</v>
      </c>
      <c r="E57" s="110" t="s">
        <v>40</v>
      </c>
      <c r="F57" s="110" t="s">
        <v>40</v>
      </c>
      <c r="G57" s="108" t="s">
        <v>107</v>
      </c>
      <c r="H57" s="111" t="s">
        <v>60</v>
      </c>
      <c r="I57" s="111" t="s">
        <v>60</v>
      </c>
      <c r="J57" s="111" t="s">
        <v>60</v>
      </c>
      <c r="K57" s="111" t="s">
        <v>60</v>
      </c>
      <c r="L57" s="111" t="s">
        <v>60</v>
      </c>
      <c r="M57" s="111" t="s">
        <v>60</v>
      </c>
      <c r="N57" s="111" t="s">
        <v>60</v>
      </c>
      <c r="O57" s="111" t="s">
        <v>60</v>
      </c>
      <c r="P57" s="111" t="s">
        <v>60</v>
      </c>
      <c r="Q57" s="111" t="s">
        <v>60</v>
      </c>
      <c r="R57" s="111" t="s">
        <v>60</v>
      </c>
      <c r="S57" s="111" t="s">
        <v>60</v>
      </c>
      <c r="T57" s="111" t="s">
        <v>60</v>
      </c>
      <c r="U57" s="111" t="s">
        <v>60</v>
      </c>
      <c r="V57" s="111" t="s">
        <v>60</v>
      </c>
      <c r="W57" s="111" t="s">
        <v>60</v>
      </c>
      <c r="X57" s="111" t="s">
        <v>60</v>
      </c>
      <c r="Y57" s="111" t="s">
        <v>60</v>
      </c>
      <c r="Z57" s="111" t="s">
        <v>60</v>
      </c>
      <c r="AA57" s="111" t="s">
        <v>107</v>
      </c>
      <c r="AB57" s="111"/>
      <c r="AC57" s="110" t="s">
        <v>48</v>
      </c>
      <c r="AD57" s="110" t="s">
        <v>89</v>
      </c>
      <c r="AE57" s="111">
        <v>1</v>
      </c>
      <c r="AF57" s="111">
        <v>19</v>
      </c>
      <c r="AG57" s="111">
        <v>0</v>
      </c>
      <c r="AH57" t="s">
        <v>1203</v>
      </c>
      <c r="AI57" t="s">
        <v>1194</v>
      </c>
      <c r="AJ57" s="96" t="s">
        <v>60</v>
      </c>
      <c r="AK57" s="96" t="s">
        <v>60</v>
      </c>
      <c r="AL57" s="96" t="s">
        <v>60</v>
      </c>
      <c r="AM57" s="96" t="s">
        <v>60</v>
      </c>
      <c r="AN57" s="96" t="s">
        <v>107</v>
      </c>
      <c r="AO57" s="96" t="s">
        <v>60</v>
      </c>
      <c r="AP57" s="96" t="s">
        <v>60</v>
      </c>
      <c r="AQ57" s="96" t="s">
        <v>60</v>
      </c>
      <c r="AR57" s="96" t="s">
        <v>60</v>
      </c>
      <c r="AS57" s="96" t="s">
        <v>60</v>
      </c>
      <c r="AT57" s="96" t="s">
        <v>60</v>
      </c>
      <c r="AU57" s="96" t="s">
        <v>60</v>
      </c>
      <c r="AV57" s="96" t="s">
        <v>60</v>
      </c>
      <c r="AW57" s="96" t="s">
        <v>60</v>
      </c>
      <c r="AX57" s="96" t="s">
        <v>60</v>
      </c>
      <c r="AY57" s="96" t="s">
        <v>60</v>
      </c>
      <c r="AZ57" s="96" t="s">
        <v>60</v>
      </c>
      <c r="BA57" s="96" t="s">
        <v>60</v>
      </c>
      <c r="BB57" s="96" t="s">
        <v>60</v>
      </c>
      <c r="BC57" s="96" t="s">
        <v>60</v>
      </c>
      <c r="BD57" s="96" t="s">
        <v>107</v>
      </c>
      <c r="BE57" s="96" t="s">
        <v>107</v>
      </c>
      <c r="BF57" s="96" t="s">
        <v>60</v>
      </c>
      <c r="BG57" s="96" t="s">
        <v>60</v>
      </c>
      <c r="BH57" s="96"/>
      <c r="BI57" s="96"/>
      <c r="BJ57" s="96"/>
      <c r="BK57" s="96"/>
      <c r="BL57" s="97"/>
      <c r="BM57" s="96" t="s">
        <v>107</v>
      </c>
    </row>
    <row r="58" spans="1:65" s="99" customFormat="1" ht="27.6" customHeight="1" x14ac:dyDescent="0.3">
      <c r="A58" s="96">
        <v>54</v>
      </c>
      <c r="B58" s="100" t="s">
        <v>1315</v>
      </c>
      <c r="C58" s="110" t="s">
        <v>1189</v>
      </c>
      <c r="D58" s="110" t="s">
        <v>882</v>
      </c>
      <c r="E58" s="110" t="s">
        <v>66</v>
      </c>
      <c r="F58" s="110" t="s">
        <v>1144</v>
      </c>
      <c r="G58" s="108" t="s">
        <v>107</v>
      </c>
      <c r="H58" s="111" t="s">
        <v>60</v>
      </c>
      <c r="I58" s="111" t="s">
        <v>60</v>
      </c>
      <c r="J58" s="111" t="s">
        <v>60</v>
      </c>
      <c r="K58" s="111" t="s">
        <v>60</v>
      </c>
      <c r="L58" s="111" t="s">
        <v>60</v>
      </c>
      <c r="M58" s="111" t="s">
        <v>60</v>
      </c>
      <c r="N58" s="111" t="s">
        <v>60</v>
      </c>
      <c r="O58" s="111" t="s">
        <v>60</v>
      </c>
      <c r="P58" s="111" t="s">
        <v>60</v>
      </c>
      <c r="Q58" s="111" t="s">
        <v>60</v>
      </c>
      <c r="R58" s="111" t="s">
        <v>60</v>
      </c>
      <c r="S58" s="111" t="s">
        <v>60</v>
      </c>
      <c r="T58" s="111" t="s">
        <v>60</v>
      </c>
      <c r="U58" s="111" t="s">
        <v>60</v>
      </c>
      <c r="V58" s="111" t="s">
        <v>107</v>
      </c>
      <c r="W58" s="111" t="s">
        <v>60</v>
      </c>
      <c r="X58" s="111" t="s">
        <v>60</v>
      </c>
      <c r="Y58" s="111" t="s">
        <v>60</v>
      </c>
      <c r="Z58" s="111" t="s">
        <v>60</v>
      </c>
      <c r="AA58" s="111" t="s">
        <v>60</v>
      </c>
      <c r="AB58" s="111"/>
      <c r="AC58" s="110" t="s">
        <v>74</v>
      </c>
      <c r="AD58" s="110" t="s">
        <v>89</v>
      </c>
      <c r="AE58" s="111">
        <v>5</v>
      </c>
      <c r="AF58" s="111">
        <v>15</v>
      </c>
      <c r="AG58" s="111">
        <v>0</v>
      </c>
      <c r="AH58" t="s">
        <v>1203</v>
      </c>
      <c r="AI58" t="s">
        <v>1203</v>
      </c>
      <c r="AJ58" s="96" t="s">
        <v>60</v>
      </c>
      <c r="AK58" s="96" t="s">
        <v>60</v>
      </c>
      <c r="AL58" s="96" t="s">
        <v>60</v>
      </c>
      <c r="AM58" s="96" t="s">
        <v>60</v>
      </c>
      <c r="AN58" s="96" t="s">
        <v>60</v>
      </c>
      <c r="AO58" s="96" t="s">
        <v>60</v>
      </c>
      <c r="AP58" s="96" t="s">
        <v>60</v>
      </c>
      <c r="AQ58" s="96" t="s">
        <v>60</v>
      </c>
      <c r="AR58" s="96" t="s">
        <v>60</v>
      </c>
      <c r="AS58" s="96" t="s">
        <v>60</v>
      </c>
      <c r="AT58" s="96" t="s">
        <v>60</v>
      </c>
      <c r="AU58" s="96" t="s">
        <v>107</v>
      </c>
      <c r="AV58" s="96" t="s">
        <v>60</v>
      </c>
      <c r="AW58" s="96" t="s">
        <v>60</v>
      </c>
      <c r="AX58" s="96" t="s">
        <v>60</v>
      </c>
      <c r="AY58" s="96" t="s">
        <v>60</v>
      </c>
      <c r="AZ58" s="96" t="s">
        <v>60</v>
      </c>
      <c r="BA58" s="96" t="s">
        <v>60</v>
      </c>
      <c r="BB58" s="96" t="s">
        <v>60</v>
      </c>
      <c r="BC58" s="96" t="s">
        <v>60</v>
      </c>
      <c r="BD58" s="96" t="s">
        <v>60</v>
      </c>
      <c r="BE58" s="96" t="s">
        <v>60</v>
      </c>
      <c r="BF58" s="96" t="s">
        <v>60</v>
      </c>
      <c r="BG58" s="96" t="s">
        <v>60</v>
      </c>
      <c r="BH58" s="96"/>
      <c r="BI58" s="96"/>
      <c r="BJ58" s="96"/>
      <c r="BK58" s="96" t="s">
        <v>107</v>
      </c>
      <c r="BL58" s="97" t="s">
        <v>1355</v>
      </c>
      <c r="BM58" s="96" t="s">
        <v>60</v>
      </c>
    </row>
    <row r="59" spans="1:65" s="99" customFormat="1" ht="27" customHeight="1" x14ac:dyDescent="0.3">
      <c r="A59" s="96">
        <v>55</v>
      </c>
      <c r="B59" s="101" t="s">
        <v>1363</v>
      </c>
      <c r="C59" s="110" t="s">
        <v>1188</v>
      </c>
      <c r="D59" s="110" t="s">
        <v>747</v>
      </c>
      <c r="E59" s="110" t="s">
        <v>66</v>
      </c>
      <c r="F59" s="110" t="s">
        <v>462</v>
      </c>
      <c r="G59" s="108" t="s">
        <v>107</v>
      </c>
      <c r="H59" s="111" t="s">
        <v>60</v>
      </c>
      <c r="I59" s="111" t="s">
        <v>60</v>
      </c>
      <c r="J59" s="111" t="s">
        <v>60</v>
      </c>
      <c r="K59" s="111" t="s">
        <v>107</v>
      </c>
      <c r="L59" s="111" t="s">
        <v>107</v>
      </c>
      <c r="M59" s="111" t="s">
        <v>60</v>
      </c>
      <c r="N59" s="111" t="s">
        <v>60</v>
      </c>
      <c r="O59" s="111" t="s">
        <v>60</v>
      </c>
      <c r="P59" s="111" t="s">
        <v>60</v>
      </c>
      <c r="Q59" s="111" t="s">
        <v>60</v>
      </c>
      <c r="R59" s="111" t="s">
        <v>60</v>
      </c>
      <c r="S59" s="111" t="s">
        <v>60</v>
      </c>
      <c r="T59" s="111" t="s">
        <v>60</v>
      </c>
      <c r="U59" s="111" t="s">
        <v>60</v>
      </c>
      <c r="V59" s="111" t="s">
        <v>60</v>
      </c>
      <c r="W59" s="111" t="s">
        <v>60</v>
      </c>
      <c r="X59" s="111" t="s">
        <v>60</v>
      </c>
      <c r="Y59" s="111" t="s">
        <v>60</v>
      </c>
      <c r="Z59" s="111" t="s">
        <v>60</v>
      </c>
      <c r="AA59" s="111" t="s">
        <v>60</v>
      </c>
      <c r="AB59" s="111"/>
      <c r="AC59" s="110" t="s">
        <v>48</v>
      </c>
      <c r="AD59" s="110" t="s">
        <v>39</v>
      </c>
      <c r="AE59" s="111">
        <v>0</v>
      </c>
      <c r="AF59" s="111">
        <v>15</v>
      </c>
      <c r="AG59" s="111">
        <v>0</v>
      </c>
      <c r="AH59" t="s">
        <v>1368</v>
      </c>
      <c r="AI59" t="s">
        <v>1368</v>
      </c>
      <c r="AJ59" s="96" t="s">
        <v>107</v>
      </c>
      <c r="AK59" s="96" t="s">
        <v>60</v>
      </c>
      <c r="AL59" s="96" t="s">
        <v>141</v>
      </c>
      <c r="AM59" s="96" t="s">
        <v>60</v>
      </c>
      <c r="AN59" s="96" t="s">
        <v>60</v>
      </c>
      <c r="AO59" s="96" t="s">
        <v>60</v>
      </c>
      <c r="AP59" s="96" t="s">
        <v>60</v>
      </c>
      <c r="AQ59" s="96" t="s">
        <v>60</v>
      </c>
      <c r="AR59" s="96" t="s">
        <v>60</v>
      </c>
      <c r="AS59" s="96" t="s">
        <v>60</v>
      </c>
      <c r="AT59" s="96" t="s">
        <v>60</v>
      </c>
      <c r="AU59" s="96" t="s">
        <v>107</v>
      </c>
      <c r="AV59" s="96" t="s">
        <v>60</v>
      </c>
      <c r="AW59" s="96" t="s">
        <v>60</v>
      </c>
      <c r="AX59" s="96" t="s">
        <v>60</v>
      </c>
      <c r="AY59" s="96" t="s">
        <v>60</v>
      </c>
      <c r="AZ59" s="96" t="s">
        <v>60</v>
      </c>
      <c r="BA59" s="96" t="s">
        <v>60</v>
      </c>
      <c r="BB59" s="96" t="s">
        <v>60</v>
      </c>
      <c r="BC59" s="96" t="s">
        <v>60</v>
      </c>
      <c r="BD59" s="96" t="s">
        <v>60</v>
      </c>
      <c r="BE59" s="96" t="s">
        <v>60</v>
      </c>
      <c r="BF59" s="96" t="s">
        <v>60</v>
      </c>
      <c r="BG59" s="96" t="s">
        <v>60</v>
      </c>
      <c r="BH59" s="96"/>
      <c r="BI59" s="96"/>
      <c r="BJ59" s="96"/>
      <c r="BK59" s="96" t="s">
        <v>107</v>
      </c>
      <c r="BL59" s="97" t="s">
        <v>1369</v>
      </c>
      <c r="BM59" s="96" t="s">
        <v>60</v>
      </c>
    </row>
    <row r="60" spans="1:65" s="99" customFormat="1" ht="27" customHeight="1" x14ac:dyDescent="0.3">
      <c r="A60" s="96">
        <v>56</v>
      </c>
      <c r="B60" s="101" t="s">
        <v>1364</v>
      </c>
      <c r="C60" s="110" t="s">
        <v>1188</v>
      </c>
      <c r="D60" s="110" t="s">
        <v>280</v>
      </c>
      <c r="E60" s="110" t="s">
        <v>66</v>
      </c>
      <c r="F60" s="110" t="s">
        <v>1082</v>
      </c>
      <c r="G60" s="108" t="s">
        <v>60</v>
      </c>
      <c r="H60" s="111" t="s">
        <v>60</v>
      </c>
      <c r="I60" s="111" t="s">
        <v>60</v>
      </c>
      <c r="J60" s="111" t="s">
        <v>60</v>
      </c>
      <c r="K60" s="111" t="s">
        <v>60</v>
      </c>
      <c r="L60" s="111" t="s">
        <v>60</v>
      </c>
      <c r="M60" s="111" t="s">
        <v>60</v>
      </c>
      <c r="N60" s="111" t="s">
        <v>60</v>
      </c>
      <c r="O60" s="111" t="s">
        <v>60</v>
      </c>
      <c r="P60" s="111" t="s">
        <v>60</v>
      </c>
      <c r="Q60" s="111" t="s">
        <v>60</v>
      </c>
      <c r="R60" s="111" t="s">
        <v>60</v>
      </c>
      <c r="S60" s="111" t="s">
        <v>60</v>
      </c>
      <c r="T60" s="111" t="s">
        <v>60</v>
      </c>
      <c r="U60" s="111" t="s">
        <v>60</v>
      </c>
      <c r="V60" s="111" t="s">
        <v>60</v>
      </c>
      <c r="W60" s="111" t="s">
        <v>60</v>
      </c>
      <c r="X60" s="111" t="s">
        <v>60</v>
      </c>
      <c r="Y60" s="111" t="s">
        <v>60</v>
      </c>
      <c r="Z60" s="111" t="s">
        <v>60</v>
      </c>
      <c r="AA60" s="111" t="s">
        <v>60</v>
      </c>
      <c r="AB60" s="111"/>
      <c r="AC60" s="110" t="s">
        <v>48</v>
      </c>
      <c r="AD60" s="110" t="s">
        <v>89</v>
      </c>
      <c r="AE60" s="111">
        <v>7</v>
      </c>
      <c r="AF60" s="111">
        <v>19</v>
      </c>
      <c r="AG60" s="111">
        <v>0</v>
      </c>
      <c r="AH60" t="s">
        <v>1192</v>
      </c>
      <c r="AI60" t="s">
        <v>1194</v>
      </c>
      <c r="AJ60" s="96" t="s">
        <v>60</v>
      </c>
      <c r="AK60" s="96" t="s">
        <v>60</v>
      </c>
      <c r="AL60" s="96" t="s">
        <v>60</v>
      </c>
      <c r="AM60" s="96" t="s">
        <v>60</v>
      </c>
      <c r="AN60" s="96" t="s">
        <v>60</v>
      </c>
      <c r="AO60" s="96" t="s">
        <v>60</v>
      </c>
      <c r="AP60" s="96" t="s">
        <v>60</v>
      </c>
      <c r="AQ60" s="96" t="s">
        <v>60</v>
      </c>
      <c r="AR60" s="96" t="s">
        <v>60</v>
      </c>
      <c r="AS60" s="96" t="s">
        <v>60</v>
      </c>
      <c r="AT60" s="96" t="s">
        <v>60</v>
      </c>
      <c r="AU60" s="96" t="s">
        <v>60</v>
      </c>
      <c r="AV60" s="96" t="s">
        <v>107</v>
      </c>
      <c r="AW60" s="96" t="s">
        <v>60</v>
      </c>
      <c r="AX60" s="96" t="s">
        <v>60</v>
      </c>
      <c r="AY60" s="96" t="s">
        <v>60</v>
      </c>
      <c r="AZ60" s="96" t="s">
        <v>60</v>
      </c>
      <c r="BA60" s="96" t="s">
        <v>60</v>
      </c>
      <c r="BB60" s="96" t="s">
        <v>60</v>
      </c>
      <c r="BC60" s="96" t="s">
        <v>60</v>
      </c>
      <c r="BD60" s="96" t="s">
        <v>60</v>
      </c>
      <c r="BE60" s="96" t="s">
        <v>60</v>
      </c>
      <c r="BF60" s="96" t="s">
        <v>60</v>
      </c>
      <c r="BG60" s="96" t="s">
        <v>60</v>
      </c>
      <c r="BH60" s="96"/>
      <c r="BI60" s="96"/>
      <c r="BJ60" s="96"/>
      <c r="BK60" s="96" t="s">
        <v>107</v>
      </c>
      <c r="BL60" s="97" t="s">
        <v>1370</v>
      </c>
      <c r="BM60" s="96" t="s">
        <v>107</v>
      </c>
    </row>
    <row r="61" spans="1:65" s="99" customFormat="1" ht="27" customHeight="1" x14ac:dyDescent="0.3">
      <c r="A61" s="96">
        <v>57</v>
      </c>
      <c r="B61" s="101" t="s">
        <v>1365</v>
      </c>
      <c r="C61" s="110" t="s">
        <v>1189</v>
      </c>
      <c r="D61" s="110" t="s">
        <v>124</v>
      </c>
      <c r="E61" s="110" t="s">
        <v>40</v>
      </c>
      <c r="F61" s="110" t="s">
        <v>40</v>
      </c>
      <c r="G61" s="108" t="s">
        <v>107</v>
      </c>
      <c r="H61" s="111" t="s">
        <v>60</v>
      </c>
      <c r="I61" s="111" t="s">
        <v>60</v>
      </c>
      <c r="J61" s="111" t="s">
        <v>60</v>
      </c>
      <c r="K61" s="111" t="s">
        <v>60</v>
      </c>
      <c r="L61" s="111" t="s">
        <v>60</v>
      </c>
      <c r="M61" s="111" t="s">
        <v>60</v>
      </c>
      <c r="N61" s="111" t="s">
        <v>60</v>
      </c>
      <c r="O61" s="111" t="s">
        <v>60</v>
      </c>
      <c r="P61" s="111" t="s">
        <v>60</v>
      </c>
      <c r="Q61" s="111" t="s">
        <v>60</v>
      </c>
      <c r="R61" s="111" t="s">
        <v>60</v>
      </c>
      <c r="S61" s="111" t="s">
        <v>60</v>
      </c>
      <c r="T61" s="111" t="s">
        <v>60</v>
      </c>
      <c r="U61" s="111" t="s">
        <v>107</v>
      </c>
      <c r="V61" s="111" t="s">
        <v>60</v>
      </c>
      <c r="W61" s="111" t="s">
        <v>60</v>
      </c>
      <c r="X61" s="111" t="s">
        <v>60</v>
      </c>
      <c r="Y61" s="111" t="s">
        <v>60</v>
      </c>
      <c r="Z61" s="111" t="s">
        <v>60</v>
      </c>
      <c r="AA61" s="111" t="s">
        <v>60</v>
      </c>
      <c r="AB61" s="111"/>
      <c r="AC61" s="110" t="s">
        <v>74</v>
      </c>
      <c r="AD61" s="110" t="s">
        <v>39</v>
      </c>
      <c r="AE61" s="111">
        <v>3</v>
      </c>
      <c r="AF61" s="111">
        <v>21</v>
      </c>
      <c r="AG61" s="111">
        <v>0</v>
      </c>
      <c r="AH61" t="s">
        <v>1203</v>
      </c>
      <c r="AI61" t="s">
        <v>162</v>
      </c>
      <c r="AJ61" s="96" t="s">
        <v>60</v>
      </c>
      <c r="AK61" s="96" t="s">
        <v>60</v>
      </c>
      <c r="AL61" s="96" t="s">
        <v>60</v>
      </c>
      <c r="AM61" s="96" t="s">
        <v>60</v>
      </c>
      <c r="AN61" s="96" t="s">
        <v>60</v>
      </c>
      <c r="AO61" s="96" t="s">
        <v>60</v>
      </c>
      <c r="AP61" s="96" t="s">
        <v>60</v>
      </c>
      <c r="AQ61" s="96" t="s">
        <v>60</v>
      </c>
      <c r="AR61" s="96" t="s">
        <v>60</v>
      </c>
      <c r="AS61" s="96" t="s">
        <v>60</v>
      </c>
      <c r="AT61" s="96" t="s">
        <v>60</v>
      </c>
      <c r="AU61" s="96" t="s">
        <v>60</v>
      </c>
      <c r="AV61" s="96" t="s">
        <v>60</v>
      </c>
      <c r="AW61" s="96" t="s">
        <v>60</v>
      </c>
      <c r="AX61" s="96" t="s">
        <v>60</v>
      </c>
      <c r="AY61" s="96" t="s">
        <v>60</v>
      </c>
      <c r="AZ61" s="96" t="s">
        <v>60</v>
      </c>
      <c r="BA61" s="96" t="s">
        <v>60</v>
      </c>
      <c r="BB61" s="96" t="s">
        <v>60</v>
      </c>
      <c r="BC61" s="96" t="s">
        <v>60</v>
      </c>
      <c r="BD61" s="96" t="s">
        <v>107</v>
      </c>
      <c r="BE61" s="96" t="s">
        <v>107</v>
      </c>
      <c r="BF61" s="96" t="s">
        <v>60</v>
      </c>
      <c r="BG61" s="96" t="s">
        <v>60</v>
      </c>
      <c r="BH61" s="96"/>
      <c r="BI61" s="96"/>
      <c r="BJ61" s="96"/>
      <c r="BK61" s="96"/>
      <c r="BL61" s="97"/>
      <c r="BM61" s="96" t="s">
        <v>107</v>
      </c>
    </row>
    <row r="62" spans="1:65" s="99" customFormat="1" ht="28.8" customHeight="1" x14ac:dyDescent="0.3">
      <c r="A62" s="96">
        <v>58</v>
      </c>
      <c r="B62" s="101" t="s">
        <v>1366</v>
      </c>
      <c r="C62" s="110" t="s">
        <v>1189</v>
      </c>
      <c r="D62" s="110" t="s">
        <v>1367</v>
      </c>
      <c r="E62" s="110" t="s">
        <v>66</v>
      </c>
      <c r="F62" s="110" t="s">
        <v>1240</v>
      </c>
      <c r="G62" s="108" t="s">
        <v>60</v>
      </c>
      <c r="H62" s="111" t="s">
        <v>60</v>
      </c>
      <c r="I62" s="111" t="s">
        <v>60</v>
      </c>
      <c r="J62" s="111" t="s">
        <v>60</v>
      </c>
      <c r="K62" s="111" t="s">
        <v>60</v>
      </c>
      <c r="L62" s="111" t="s">
        <v>60</v>
      </c>
      <c r="M62" s="111" t="s">
        <v>60</v>
      </c>
      <c r="N62" s="111" t="s">
        <v>60</v>
      </c>
      <c r="O62" s="111" t="s">
        <v>60</v>
      </c>
      <c r="P62" s="111" t="s">
        <v>60</v>
      </c>
      <c r="Q62" s="111" t="s">
        <v>60</v>
      </c>
      <c r="R62" s="111" t="s">
        <v>60</v>
      </c>
      <c r="S62" s="111" t="s">
        <v>60</v>
      </c>
      <c r="T62" s="111" t="s">
        <v>60</v>
      </c>
      <c r="U62" s="111" t="s">
        <v>60</v>
      </c>
      <c r="V62" s="111" t="s">
        <v>60</v>
      </c>
      <c r="W62" s="111" t="s">
        <v>60</v>
      </c>
      <c r="X62" s="111" t="s">
        <v>60</v>
      </c>
      <c r="Y62" s="111" t="s">
        <v>60</v>
      </c>
      <c r="Z62" s="111" t="s">
        <v>60</v>
      </c>
      <c r="AA62" s="111" t="s">
        <v>60</v>
      </c>
      <c r="AB62" s="111"/>
      <c r="AC62" s="110" t="s">
        <v>74</v>
      </c>
      <c r="AD62" s="110" t="s">
        <v>89</v>
      </c>
      <c r="AE62" s="111">
        <v>0</v>
      </c>
      <c r="AF62" s="111">
        <v>13</v>
      </c>
      <c r="AG62" s="111">
        <v>0</v>
      </c>
      <c r="AH62" t="s">
        <v>1368</v>
      </c>
      <c r="AI62" t="s">
        <v>1368</v>
      </c>
      <c r="AJ62" s="96" t="s">
        <v>107</v>
      </c>
      <c r="AK62" s="96" t="s">
        <v>60</v>
      </c>
      <c r="AL62" s="96" t="s">
        <v>60</v>
      </c>
      <c r="AM62" s="96" t="s">
        <v>60</v>
      </c>
      <c r="AN62" s="96" t="s">
        <v>60</v>
      </c>
      <c r="AO62" s="96" t="s">
        <v>60</v>
      </c>
      <c r="AP62" s="96" t="s">
        <v>60</v>
      </c>
      <c r="AQ62" s="96" t="s">
        <v>60</v>
      </c>
      <c r="AR62" s="96" t="s">
        <v>60</v>
      </c>
      <c r="AS62" s="96" t="s">
        <v>60</v>
      </c>
      <c r="AT62" s="96" t="s">
        <v>60</v>
      </c>
      <c r="AU62" s="96" t="s">
        <v>107</v>
      </c>
      <c r="AV62" s="96" t="s">
        <v>60</v>
      </c>
      <c r="AW62" s="96" t="s">
        <v>107</v>
      </c>
      <c r="AX62" s="96" t="s">
        <v>60</v>
      </c>
      <c r="AY62" s="96" t="s">
        <v>60</v>
      </c>
      <c r="AZ62" s="96" t="s">
        <v>60</v>
      </c>
      <c r="BA62" s="96" t="s">
        <v>60</v>
      </c>
      <c r="BB62" s="96" t="s">
        <v>60</v>
      </c>
      <c r="BC62" s="96" t="s">
        <v>60</v>
      </c>
      <c r="BD62" s="96" t="s">
        <v>60</v>
      </c>
      <c r="BE62" s="96" t="s">
        <v>60</v>
      </c>
      <c r="BF62" s="96" t="s">
        <v>60</v>
      </c>
      <c r="BG62" s="96" t="s">
        <v>60</v>
      </c>
      <c r="BH62" s="96"/>
      <c r="BI62" s="96"/>
      <c r="BJ62" s="96"/>
      <c r="BK62" s="96"/>
      <c r="BL62" s="97"/>
      <c r="BM62" s="96" t="s">
        <v>107</v>
      </c>
    </row>
    <row r="63" spans="1:65" ht="21" x14ac:dyDescent="0.4">
      <c r="H63" s="104"/>
      <c r="I63" s="104"/>
      <c r="J63" s="104"/>
      <c r="K63" s="104"/>
      <c r="L63" s="104"/>
      <c r="M63" s="104"/>
      <c r="N63" s="104"/>
      <c r="O63" s="104"/>
      <c r="P63" s="104"/>
      <c r="Q63" s="104"/>
      <c r="R63" s="104"/>
      <c r="S63" s="104"/>
      <c r="T63" s="104"/>
      <c r="U63" s="104"/>
      <c r="V63" s="104"/>
      <c r="W63" s="104"/>
      <c r="X63" s="104"/>
      <c r="Y63" s="104"/>
      <c r="Z63" s="104"/>
      <c r="AA63" s="104"/>
      <c r="AB63" s="104">
        <f>+COUNTA(AB5:AB58)</f>
        <v>0</v>
      </c>
      <c r="AJ63" s="104"/>
      <c r="AK63" s="104"/>
      <c r="AL63" s="104"/>
      <c r="AM63" s="104"/>
      <c r="AN63" s="104"/>
      <c r="AO63" s="104"/>
      <c r="AP63" s="104"/>
      <c r="AQ63" s="104"/>
      <c r="AR63" s="104"/>
      <c r="AS63" s="104"/>
      <c r="AT63" s="104"/>
      <c r="AU63" s="104"/>
      <c r="AV63" s="104"/>
      <c r="AW63" s="104"/>
      <c r="AX63" s="104"/>
      <c r="AY63" s="104"/>
      <c r="AZ63" s="104"/>
      <c r="BA63" s="104"/>
      <c r="BB63" s="104"/>
      <c r="BC63" s="104"/>
      <c r="BD63" s="104"/>
      <c r="BE63" s="104"/>
      <c r="BF63" s="104"/>
      <c r="BG63" s="104"/>
      <c r="BH63" s="104"/>
      <c r="BI63" s="104"/>
      <c r="BJ63" s="104"/>
      <c r="BK63" s="104"/>
    </row>
  </sheetData>
  <mergeCells count="6">
    <mergeCell ref="AE3:AG3"/>
    <mergeCell ref="A1:BM1"/>
    <mergeCell ref="AJ2:BK2"/>
    <mergeCell ref="AO3:AQ3"/>
    <mergeCell ref="L3:N3"/>
    <mergeCell ref="H2:AB2"/>
  </mergeCells>
  <pageMargins left="0.78740157480314965" right="0.23622047244094491" top="0.31496062992125984" bottom="0.31496062992125984" header="0.31496062992125984" footer="0.31496062992125984"/>
  <pageSetup paperSize="5" scale="9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D11:T42"/>
  <sheetViews>
    <sheetView topLeftCell="D22" workbookViewId="0">
      <selection activeCell="H36" sqref="H36"/>
    </sheetView>
  </sheetViews>
  <sheetFormatPr defaultRowHeight="14.4" x14ac:dyDescent="0.3"/>
  <cols>
    <col min="4" max="4" width="110" customWidth="1"/>
    <col min="8" max="8" width="34" customWidth="1"/>
    <col min="9" max="9" width="42.5546875" customWidth="1"/>
  </cols>
  <sheetData>
    <row r="11" spans="4:4" ht="244.8" x14ac:dyDescent="0.3">
      <c r="D11" s="90" t="s">
        <v>1263</v>
      </c>
    </row>
    <row r="19" spans="4:20" x14ac:dyDescent="0.3">
      <c r="D19" s="172" t="s">
        <v>1248</v>
      </c>
      <c r="E19" s="170" t="s">
        <v>1249</v>
      </c>
      <c r="F19" s="170" t="s">
        <v>415</v>
      </c>
      <c r="G19" s="170" t="s">
        <v>1269</v>
      </c>
      <c r="H19" s="174" t="s">
        <v>1254</v>
      </c>
      <c r="I19" s="175"/>
      <c r="J19" s="176"/>
      <c r="K19" s="170" t="s">
        <v>370</v>
      </c>
      <c r="L19" s="170" t="s">
        <v>1176</v>
      </c>
      <c r="M19" s="170" t="s">
        <v>1184</v>
      </c>
      <c r="N19" s="170" t="s">
        <v>1183</v>
      </c>
      <c r="O19" s="170" t="s">
        <v>1182</v>
      </c>
      <c r="P19" s="170" t="s">
        <v>1179</v>
      </c>
      <c r="Q19" s="170" t="s">
        <v>1181</v>
      </c>
      <c r="R19" s="170" t="s">
        <v>1178</v>
      </c>
      <c r="S19" s="170" t="s">
        <v>1177</v>
      </c>
      <c r="T19" s="170" t="s">
        <v>1180</v>
      </c>
    </row>
    <row r="20" spans="4:20" ht="186.75" customHeight="1" x14ac:dyDescent="0.3">
      <c r="D20" s="173"/>
      <c r="E20" s="171"/>
      <c r="F20" s="171"/>
      <c r="G20" s="171"/>
      <c r="H20" s="93" t="s">
        <v>1270</v>
      </c>
      <c r="I20" s="93" t="s">
        <v>1271</v>
      </c>
      <c r="J20" s="92" t="s">
        <v>1175</v>
      </c>
      <c r="K20" s="171"/>
      <c r="L20" s="171"/>
      <c r="M20" s="171"/>
      <c r="N20" s="171"/>
      <c r="O20" s="171"/>
      <c r="P20" s="171"/>
      <c r="Q20" s="171"/>
      <c r="R20" s="171"/>
      <c r="S20" s="171"/>
      <c r="T20" s="171"/>
    </row>
    <row r="26" spans="4:20" x14ac:dyDescent="0.3">
      <c r="H26" t="s">
        <v>1248</v>
      </c>
    </row>
    <row r="27" spans="4:20" x14ac:dyDescent="0.3">
      <c r="H27" t="s">
        <v>1249</v>
      </c>
    </row>
    <row r="28" spans="4:20" x14ac:dyDescent="0.3">
      <c r="H28" t="s">
        <v>415</v>
      </c>
    </row>
    <row r="29" spans="4:20" x14ac:dyDescent="0.3">
      <c r="H29" t="s">
        <v>1269</v>
      </c>
    </row>
    <row r="30" spans="4:20" x14ac:dyDescent="0.3">
      <c r="H30" t="s">
        <v>1254</v>
      </c>
      <c r="I30" t="s">
        <v>1270</v>
      </c>
    </row>
    <row r="31" spans="4:20" x14ac:dyDescent="0.3">
      <c r="I31" t="s">
        <v>1271</v>
      </c>
    </row>
    <row r="32" spans="4:20" x14ac:dyDescent="0.3">
      <c r="I32" t="s">
        <v>1175</v>
      </c>
    </row>
    <row r="33" spans="8:8" x14ac:dyDescent="0.3">
      <c r="H33" t="s">
        <v>370</v>
      </c>
    </row>
    <row r="34" spans="8:8" x14ac:dyDescent="0.3">
      <c r="H34" t="s">
        <v>1176</v>
      </c>
    </row>
    <row r="35" spans="8:8" x14ac:dyDescent="0.3">
      <c r="H35" t="s">
        <v>1184</v>
      </c>
    </row>
    <row r="36" spans="8:8" x14ac:dyDescent="0.3">
      <c r="H36" t="s">
        <v>1183</v>
      </c>
    </row>
    <row r="37" spans="8:8" x14ac:dyDescent="0.3">
      <c r="H37" t="s">
        <v>1182</v>
      </c>
    </row>
    <row r="38" spans="8:8" x14ac:dyDescent="0.3">
      <c r="H38" t="s">
        <v>1179</v>
      </c>
    </row>
    <row r="39" spans="8:8" x14ac:dyDescent="0.3">
      <c r="H39" t="s">
        <v>1181</v>
      </c>
    </row>
    <row r="40" spans="8:8" x14ac:dyDescent="0.3">
      <c r="H40" t="s">
        <v>1178</v>
      </c>
    </row>
    <row r="41" spans="8:8" x14ac:dyDescent="0.3">
      <c r="H41" t="s">
        <v>1177</v>
      </c>
    </row>
    <row r="42" spans="8:8" x14ac:dyDescent="0.3">
      <c r="H42" t="s">
        <v>1180</v>
      </c>
    </row>
  </sheetData>
  <mergeCells count="15">
    <mergeCell ref="R19:R20"/>
    <mergeCell ref="S19:S20"/>
    <mergeCell ref="T19:T20"/>
    <mergeCell ref="L19:L20"/>
    <mergeCell ref="M19:M20"/>
    <mergeCell ref="N19:N20"/>
    <mergeCell ref="O19:O20"/>
    <mergeCell ref="P19:P20"/>
    <mergeCell ref="Q19:Q20"/>
    <mergeCell ref="K19:K20"/>
    <mergeCell ref="D19:D20"/>
    <mergeCell ref="E19:E20"/>
    <mergeCell ref="F19:F20"/>
    <mergeCell ref="G19:G20"/>
    <mergeCell ref="H19:J19"/>
  </mergeCells>
  <printOptions horizontalCentered="1" verticalCentered="1"/>
  <pageMargins left="0.70866141732283472" right="0.70866141732283472" top="0.74803149606299213" bottom="0.74803149606299213" header="0.31496062992125984" footer="0.31496062992125984"/>
  <pageSetup paperSize="9" scale="9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50BD4-B6BE-4EF8-A8F4-6DEFE58B6610}">
  <dimension ref="A3:AX96"/>
  <sheetViews>
    <sheetView topLeftCell="X62" workbookViewId="0">
      <selection activeCell="AG70" sqref="AG70"/>
    </sheetView>
  </sheetViews>
  <sheetFormatPr defaultRowHeight="14.4" x14ac:dyDescent="0.3"/>
  <cols>
    <col min="3" max="3" width="9.5546875" customWidth="1"/>
    <col min="4" max="4" width="12.77734375" customWidth="1"/>
    <col min="5" max="5" width="19.21875" customWidth="1"/>
    <col min="6" max="6" width="14.21875" customWidth="1"/>
    <col min="7" max="7" width="11.21875" customWidth="1"/>
    <col min="8" max="8" width="16.6640625" customWidth="1"/>
    <col min="9" max="9" width="14" customWidth="1"/>
    <col min="10" max="10" width="15" customWidth="1"/>
    <col min="11" max="11" width="14.109375" customWidth="1"/>
    <col min="12" max="12" width="17.109375" customWidth="1"/>
    <col min="13" max="13" width="9.6640625" customWidth="1"/>
    <col min="14" max="14" width="13.33203125" customWidth="1"/>
    <col min="15" max="15" width="21.33203125" customWidth="1"/>
    <col min="17" max="17" width="11.88671875" customWidth="1"/>
    <col min="18" max="18" width="15.44140625" customWidth="1"/>
    <col min="19" max="19" width="10.21875" customWidth="1"/>
    <col min="20" max="20" width="14.5546875" customWidth="1"/>
    <col min="21" max="21" width="15.88671875" customWidth="1"/>
    <col min="22" max="22" width="14.21875" customWidth="1"/>
    <col min="23" max="23" width="18" customWidth="1"/>
    <col min="24" max="24" width="14.88671875" customWidth="1"/>
    <col min="25" max="25" width="17.44140625" customWidth="1"/>
    <col min="26" max="26" width="18.5546875" customWidth="1"/>
    <col min="27" max="30" width="0" hidden="1" customWidth="1"/>
    <col min="36" max="36" width="12.109375" customWidth="1"/>
    <col min="37" max="37" width="10" customWidth="1"/>
    <col min="38" max="38" width="12.77734375" customWidth="1"/>
    <col min="39" max="39" width="17.21875" customWidth="1"/>
    <col min="42" max="42" width="19.21875" customWidth="1"/>
    <col min="43" max="43" width="23.77734375" customWidth="1"/>
    <col min="44" max="44" width="18.5546875" customWidth="1"/>
    <col min="45" max="45" width="30.109375" customWidth="1"/>
    <col min="46" max="46" width="15.5546875" customWidth="1"/>
    <col min="48" max="48" width="19.44140625" customWidth="1"/>
    <col min="49" max="50" width="0" hidden="1" customWidth="1"/>
  </cols>
  <sheetData>
    <row r="3" spans="1:50" x14ac:dyDescent="0.3">
      <c r="A3" s="117"/>
      <c r="H3" s="117"/>
      <c r="K3" s="117"/>
      <c r="L3" s="177" t="s">
        <v>1419</v>
      </c>
      <c r="M3" s="177"/>
      <c r="N3" s="177"/>
      <c r="O3" s="177"/>
      <c r="P3" s="177"/>
      <c r="Q3" s="177"/>
      <c r="R3" s="177"/>
      <c r="S3" s="177"/>
      <c r="T3" s="177"/>
      <c r="U3" s="177"/>
      <c r="V3" s="177"/>
      <c r="W3" s="177"/>
      <c r="X3" s="177"/>
      <c r="Y3" s="177"/>
      <c r="Z3" s="177"/>
      <c r="AE3" s="178" t="s">
        <v>1420</v>
      </c>
      <c r="AF3" s="178"/>
      <c r="AG3" s="178"/>
      <c r="AH3" s="178"/>
      <c r="AI3" s="178"/>
      <c r="AJ3" s="178"/>
      <c r="AK3" s="178"/>
      <c r="AL3" s="178"/>
      <c r="AM3" s="178"/>
      <c r="AN3" s="178"/>
      <c r="AO3" s="178"/>
      <c r="AP3" s="178"/>
      <c r="AQ3" s="178"/>
      <c r="AR3" s="178"/>
      <c r="AS3" s="178"/>
      <c r="AT3" s="178"/>
      <c r="AU3" s="178"/>
      <c r="AV3" s="178"/>
    </row>
    <row r="4" spans="1:50" x14ac:dyDescent="0.3">
      <c r="A4" t="s">
        <v>1171</v>
      </c>
      <c r="B4" t="s">
        <v>1172</v>
      </c>
      <c r="C4" t="s">
        <v>8</v>
      </c>
      <c r="D4" t="s">
        <v>7</v>
      </c>
      <c r="E4" t="s">
        <v>1167</v>
      </c>
      <c r="F4" t="s">
        <v>1408</v>
      </c>
      <c r="G4" t="s">
        <v>1170</v>
      </c>
      <c r="H4" t="s">
        <v>1407</v>
      </c>
      <c r="I4" t="s">
        <v>10</v>
      </c>
      <c r="J4" t="s">
        <v>1173</v>
      </c>
      <c r="K4" t="s">
        <v>1245</v>
      </c>
      <c r="L4" t="s">
        <v>1248</v>
      </c>
      <c r="M4" t="s">
        <v>1249</v>
      </c>
      <c r="N4" t="s">
        <v>415</v>
      </c>
      <c r="O4" t="s">
        <v>1269</v>
      </c>
      <c r="P4" t="s">
        <v>1434</v>
      </c>
      <c r="Q4" t="s">
        <v>1435</v>
      </c>
      <c r="R4" t="s">
        <v>1175</v>
      </c>
      <c r="S4" t="s">
        <v>1342</v>
      </c>
      <c r="T4" t="s">
        <v>370</v>
      </c>
      <c r="U4" t="s">
        <v>1176</v>
      </c>
      <c r="V4" t="s">
        <v>1336</v>
      </c>
      <c r="W4" t="s">
        <v>1337</v>
      </c>
      <c r="X4" t="s">
        <v>1181</v>
      </c>
      <c r="Y4" t="s">
        <v>1340</v>
      </c>
      <c r="Z4" t="s">
        <v>1177</v>
      </c>
      <c r="AA4" t="s">
        <v>1185</v>
      </c>
      <c r="AB4" t="s">
        <v>1186</v>
      </c>
      <c r="AC4" t="s">
        <v>1187</v>
      </c>
      <c r="AD4" t="s">
        <v>1406</v>
      </c>
      <c r="AE4" t="s">
        <v>1195</v>
      </c>
      <c r="AF4" t="s">
        <v>1359</v>
      </c>
      <c r="AG4" t="s">
        <v>1360</v>
      </c>
      <c r="AH4" t="s">
        <v>1361</v>
      </c>
      <c r="AI4" t="s">
        <v>1362</v>
      </c>
      <c r="AJ4" t="s">
        <v>1491</v>
      </c>
      <c r="AK4" t="s">
        <v>1492</v>
      </c>
      <c r="AL4" t="s">
        <v>1493</v>
      </c>
      <c r="AM4" t="s">
        <v>1217</v>
      </c>
      <c r="AN4" t="s">
        <v>1216</v>
      </c>
      <c r="AO4" t="s">
        <v>1197</v>
      </c>
      <c r="AP4" t="s">
        <v>1210</v>
      </c>
      <c r="AQ4" t="s">
        <v>1334</v>
      </c>
      <c r="AR4" t="s">
        <v>1202</v>
      </c>
      <c r="AS4" t="s">
        <v>1212</v>
      </c>
      <c r="AT4" t="s">
        <v>343</v>
      </c>
      <c r="AU4" t="s">
        <v>1215</v>
      </c>
      <c r="AV4" t="s">
        <v>1250</v>
      </c>
      <c r="AW4" t="s">
        <v>1206</v>
      </c>
      <c r="AX4" t="s">
        <v>1328</v>
      </c>
    </row>
    <row r="5" spans="1:50" x14ac:dyDescent="0.3">
      <c r="A5" t="s">
        <v>1190</v>
      </c>
      <c r="B5" t="s">
        <v>920</v>
      </c>
      <c r="C5" t="s">
        <v>1093</v>
      </c>
      <c r="D5" t="s">
        <v>1093</v>
      </c>
      <c r="E5" t="s">
        <v>1398</v>
      </c>
      <c r="F5" t="s">
        <v>48</v>
      </c>
      <c r="G5" t="s">
        <v>89</v>
      </c>
      <c r="H5" t="s">
        <v>1416</v>
      </c>
      <c r="I5" t="s">
        <v>1193</v>
      </c>
      <c r="J5" t="s">
        <v>1193</v>
      </c>
      <c r="K5" t="s">
        <v>61</v>
      </c>
      <c r="L5" t="s">
        <v>61</v>
      </c>
      <c r="M5" t="s">
        <v>61</v>
      </c>
      <c r="N5" t="s">
        <v>61</v>
      </c>
      <c r="O5" t="s">
        <v>61</v>
      </c>
      <c r="P5" t="s">
        <v>61</v>
      </c>
      <c r="Q5" t="s">
        <v>61</v>
      </c>
      <c r="R5" t="s">
        <v>61</v>
      </c>
      <c r="S5" t="s">
        <v>61</v>
      </c>
      <c r="T5" t="s">
        <v>1398</v>
      </c>
      <c r="U5" t="s">
        <v>61</v>
      </c>
      <c r="V5" t="s">
        <v>61</v>
      </c>
      <c r="W5" t="s">
        <v>61</v>
      </c>
      <c r="X5" t="s">
        <v>61</v>
      </c>
      <c r="Y5" t="s">
        <v>61</v>
      </c>
      <c r="Z5" t="s">
        <v>61</v>
      </c>
      <c r="AA5">
        <v>0</v>
      </c>
      <c r="AB5">
        <v>3</v>
      </c>
      <c r="AC5" t="s">
        <v>61</v>
      </c>
      <c r="AD5">
        <v>3</v>
      </c>
      <c r="AE5" t="s">
        <v>61</v>
      </c>
      <c r="AF5" t="s">
        <v>61</v>
      </c>
      <c r="AG5" t="s">
        <v>61</v>
      </c>
      <c r="AH5" t="s">
        <v>61</v>
      </c>
      <c r="AI5" t="s">
        <v>61</v>
      </c>
      <c r="AJ5" t="s">
        <v>61</v>
      </c>
      <c r="AK5" t="s">
        <v>61</v>
      </c>
      <c r="AL5" t="s">
        <v>61</v>
      </c>
      <c r="AM5" t="s">
        <v>61</v>
      </c>
      <c r="AN5" t="s">
        <v>61</v>
      </c>
      <c r="AO5" t="s">
        <v>61</v>
      </c>
      <c r="AP5" t="s">
        <v>61</v>
      </c>
      <c r="AQ5" t="s">
        <v>61</v>
      </c>
      <c r="AR5" t="s">
        <v>61</v>
      </c>
      <c r="AS5" t="s">
        <v>61</v>
      </c>
      <c r="AT5" t="s">
        <v>61</v>
      </c>
      <c r="AU5" t="s">
        <v>61</v>
      </c>
      <c r="AV5" t="s">
        <v>61</v>
      </c>
      <c r="AW5" t="s">
        <v>1398</v>
      </c>
      <c r="AX5" t="s">
        <v>1401</v>
      </c>
    </row>
    <row r="6" spans="1:50" x14ac:dyDescent="0.3">
      <c r="A6" t="s">
        <v>1190</v>
      </c>
      <c r="B6" t="s">
        <v>1142</v>
      </c>
      <c r="C6" t="s">
        <v>66</v>
      </c>
      <c r="D6" t="s">
        <v>1144</v>
      </c>
      <c r="E6" t="s">
        <v>1398</v>
      </c>
      <c r="F6" t="s">
        <v>48</v>
      </c>
      <c r="G6" t="s">
        <v>39</v>
      </c>
      <c r="H6" t="s">
        <v>1416</v>
      </c>
      <c r="I6" t="s">
        <v>1203</v>
      </c>
      <c r="J6" t="s">
        <v>1203</v>
      </c>
      <c r="K6" t="s">
        <v>61</v>
      </c>
      <c r="L6" t="s">
        <v>61</v>
      </c>
      <c r="M6" t="s">
        <v>61</v>
      </c>
      <c r="N6" t="s">
        <v>61</v>
      </c>
      <c r="O6" t="s">
        <v>61</v>
      </c>
      <c r="P6" t="s">
        <v>61</v>
      </c>
      <c r="Q6" t="s">
        <v>61</v>
      </c>
      <c r="R6" t="s">
        <v>61</v>
      </c>
      <c r="S6" t="s">
        <v>61</v>
      </c>
      <c r="T6" t="s">
        <v>61</v>
      </c>
      <c r="U6" t="s">
        <v>61</v>
      </c>
      <c r="V6" t="s">
        <v>61</v>
      </c>
      <c r="W6" t="s">
        <v>61</v>
      </c>
      <c r="X6" t="s">
        <v>61</v>
      </c>
      <c r="Y6" t="s">
        <v>61</v>
      </c>
      <c r="Z6" t="s">
        <v>1398</v>
      </c>
      <c r="AA6">
        <v>0</v>
      </c>
      <c r="AB6">
        <v>16</v>
      </c>
      <c r="AC6" t="s">
        <v>61</v>
      </c>
      <c r="AD6">
        <v>16</v>
      </c>
      <c r="AE6" t="s">
        <v>1398</v>
      </c>
      <c r="AF6" t="s">
        <v>61</v>
      </c>
      <c r="AG6" t="s">
        <v>61</v>
      </c>
      <c r="AH6" t="s">
        <v>61</v>
      </c>
      <c r="AI6" t="s">
        <v>61</v>
      </c>
      <c r="AJ6" t="s">
        <v>61</v>
      </c>
      <c r="AK6" t="s">
        <v>61</v>
      </c>
      <c r="AL6" t="s">
        <v>61</v>
      </c>
      <c r="AM6" t="s">
        <v>61</v>
      </c>
      <c r="AN6" t="s">
        <v>61</v>
      </c>
      <c r="AO6" t="s">
        <v>61</v>
      </c>
      <c r="AP6" t="s">
        <v>61</v>
      </c>
      <c r="AQ6" t="s">
        <v>61</v>
      </c>
      <c r="AR6" t="s">
        <v>61</v>
      </c>
      <c r="AS6" t="s">
        <v>61</v>
      </c>
      <c r="AT6" t="s">
        <v>61</v>
      </c>
      <c r="AU6" t="s">
        <v>61</v>
      </c>
      <c r="AV6" t="s">
        <v>1398</v>
      </c>
      <c r="AW6" t="s">
        <v>1398</v>
      </c>
      <c r="AX6" t="s">
        <v>1400</v>
      </c>
    </row>
    <row r="7" spans="1:50" x14ac:dyDescent="0.3">
      <c r="A7" t="s">
        <v>1190</v>
      </c>
      <c r="B7" t="s">
        <v>1142</v>
      </c>
      <c r="C7" t="s">
        <v>66</v>
      </c>
      <c r="D7" t="s">
        <v>1144</v>
      </c>
      <c r="E7" t="s">
        <v>1398</v>
      </c>
      <c r="F7" t="s">
        <v>48</v>
      </c>
      <c r="G7" t="s">
        <v>39</v>
      </c>
      <c r="H7" t="s">
        <v>1416</v>
      </c>
      <c r="I7" t="s">
        <v>1203</v>
      </c>
      <c r="J7" t="s">
        <v>1203</v>
      </c>
      <c r="K7" t="s">
        <v>61</v>
      </c>
      <c r="L7" t="s">
        <v>61</v>
      </c>
      <c r="M7" t="s">
        <v>61</v>
      </c>
      <c r="N7" t="s">
        <v>61</v>
      </c>
      <c r="O7" t="s">
        <v>61</v>
      </c>
      <c r="P7" t="s">
        <v>61</v>
      </c>
      <c r="Q7" t="s">
        <v>61</v>
      </c>
      <c r="R7" t="s">
        <v>61</v>
      </c>
      <c r="S7" t="s">
        <v>61</v>
      </c>
      <c r="T7" t="s">
        <v>61</v>
      </c>
      <c r="U7" t="s">
        <v>61</v>
      </c>
      <c r="V7" t="s">
        <v>61</v>
      </c>
      <c r="W7" t="s">
        <v>61</v>
      </c>
      <c r="X7" t="s">
        <v>61</v>
      </c>
      <c r="Y7" t="s">
        <v>61</v>
      </c>
      <c r="Z7" t="s">
        <v>1398</v>
      </c>
      <c r="AA7">
        <v>0</v>
      </c>
      <c r="AB7">
        <v>16</v>
      </c>
      <c r="AC7" t="s">
        <v>61</v>
      </c>
      <c r="AD7">
        <v>16</v>
      </c>
      <c r="AE7" t="s">
        <v>1398</v>
      </c>
      <c r="AF7" t="s">
        <v>61</v>
      </c>
      <c r="AG7" t="s">
        <v>61</v>
      </c>
      <c r="AH7" t="s">
        <v>61</v>
      </c>
      <c r="AI7" t="s">
        <v>61</v>
      </c>
      <c r="AJ7" t="s">
        <v>61</v>
      </c>
      <c r="AK7" t="s">
        <v>61</v>
      </c>
      <c r="AL7" t="s">
        <v>61</v>
      </c>
      <c r="AM7" t="s">
        <v>61</v>
      </c>
      <c r="AN7" t="s">
        <v>61</v>
      </c>
      <c r="AO7" t="s">
        <v>61</v>
      </c>
      <c r="AP7" t="s">
        <v>61</v>
      </c>
      <c r="AQ7" t="s">
        <v>61</v>
      </c>
      <c r="AR7" t="s">
        <v>61</v>
      </c>
      <c r="AS7" t="s">
        <v>61</v>
      </c>
      <c r="AT7" t="s">
        <v>61</v>
      </c>
      <c r="AU7" t="s">
        <v>61</v>
      </c>
      <c r="AV7" t="s">
        <v>1398</v>
      </c>
      <c r="AW7" t="s">
        <v>1398</v>
      </c>
      <c r="AX7" t="s">
        <v>1400</v>
      </c>
    </row>
    <row r="8" spans="1:50" x14ac:dyDescent="0.3">
      <c r="A8" t="s">
        <v>1190</v>
      </c>
      <c r="B8" t="s">
        <v>920</v>
      </c>
      <c r="C8" t="s">
        <v>66</v>
      </c>
      <c r="D8" t="s">
        <v>462</v>
      </c>
      <c r="E8" t="s">
        <v>61</v>
      </c>
      <c r="F8" t="s">
        <v>48</v>
      </c>
      <c r="G8" t="s">
        <v>89</v>
      </c>
      <c r="H8" t="s">
        <v>1415</v>
      </c>
      <c r="I8" t="s">
        <v>1193</v>
      </c>
      <c r="J8" t="s">
        <v>1203</v>
      </c>
      <c r="K8" t="s">
        <v>61</v>
      </c>
      <c r="L8" t="s">
        <v>61</v>
      </c>
      <c r="M8" t="s">
        <v>61</v>
      </c>
      <c r="N8" t="s">
        <v>61</v>
      </c>
      <c r="O8" t="s">
        <v>61</v>
      </c>
      <c r="P8" t="s">
        <v>61</v>
      </c>
      <c r="Q8" t="s">
        <v>61</v>
      </c>
      <c r="R8" t="s">
        <v>61</v>
      </c>
      <c r="S8" t="s">
        <v>61</v>
      </c>
      <c r="T8" t="s">
        <v>61</v>
      </c>
      <c r="U8" t="s">
        <v>61</v>
      </c>
      <c r="V8" t="s">
        <v>61</v>
      </c>
      <c r="W8" t="s">
        <v>61</v>
      </c>
      <c r="X8" t="s">
        <v>61</v>
      </c>
      <c r="Y8" t="s">
        <v>61</v>
      </c>
      <c r="Z8" t="s">
        <v>61</v>
      </c>
      <c r="AA8">
        <v>1</v>
      </c>
      <c r="AB8">
        <v>15</v>
      </c>
      <c r="AC8" t="s">
        <v>61</v>
      </c>
      <c r="AD8">
        <v>45</v>
      </c>
      <c r="AE8" t="s">
        <v>61</v>
      </c>
      <c r="AF8" t="s">
        <v>61</v>
      </c>
      <c r="AG8" t="s">
        <v>61</v>
      </c>
      <c r="AH8" t="s">
        <v>61</v>
      </c>
      <c r="AI8" t="s">
        <v>61</v>
      </c>
      <c r="AJ8" t="s">
        <v>61</v>
      </c>
      <c r="AK8" t="s">
        <v>61</v>
      </c>
      <c r="AL8" t="s">
        <v>61</v>
      </c>
      <c r="AM8" t="s">
        <v>61</v>
      </c>
      <c r="AN8" t="s">
        <v>61</v>
      </c>
      <c r="AO8" t="s">
        <v>61</v>
      </c>
      <c r="AP8" t="s">
        <v>61</v>
      </c>
      <c r="AQ8" t="s">
        <v>61</v>
      </c>
      <c r="AR8" t="s">
        <v>61</v>
      </c>
      <c r="AS8" t="s">
        <v>61</v>
      </c>
      <c r="AT8" t="s">
        <v>61</v>
      </c>
      <c r="AU8" t="s">
        <v>61</v>
      </c>
      <c r="AV8" t="s">
        <v>61</v>
      </c>
      <c r="AW8" t="s">
        <v>1398</v>
      </c>
      <c r="AX8" t="s">
        <v>1160</v>
      </c>
    </row>
    <row r="9" spans="1:50" x14ac:dyDescent="0.3">
      <c r="A9" t="s">
        <v>1190</v>
      </c>
      <c r="B9" t="s">
        <v>160</v>
      </c>
      <c r="C9" t="s">
        <v>40</v>
      </c>
      <c r="D9" t="s">
        <v>40</v>
      </c>
      <c r="E9" t="s">
        <v>1398</v>
      </c>
      <c r="F9" t="s">
        <v>74</v>
      </c>
      <c r="G9" t="s">
        <v>39</v>
      </c>
      <c r="H9" t="s">
        <v>1416</v>
      </c>
      <c r="I9" t="s">
        <v>1332</v>
      </c>
      <c r="J9" t="s">
        <v>162</v>
      </c>
      <c r="K9" t="s">
        <v>61</v>
      </c>
      <c r="L9" t="s">
        <v>61</v>
      </c>
      <c r="M9" t="s">
        <v>61</v>
      </c>
      <c r="N9" t="s">
        <v>61</v>
      </c>
      <c r="O9" t="s">
        <v>61</v>
      </c>
      <c r="P9" t="s">
        <v>61</v>
      </c>
      <c r="Q9" t="s">
        <v>61</v>
      </c>
      <c r="R9" t="s">
        <v>61</v>
      </c>
      <c r="S9" t="s">
        <v>61</v>
      </c>
      <c r="T9" t="s">
        <v>61</v>
      </c>
      <c r="U9" t="s">
        <v>61</v>
      </c>
      <c r="V9" t="s">
        <v>1398</v>
      </c>
      <c r="W9" t="s">
        <v>1398</v>
      </c>
      <c r="X9" t="s">
        <v>61</v>
      </c>
      <c r="Y9" t="s">
        <v>61</v>
      </c>
      <c r="Z9" t="s">
        <v>61</v>
      </c>
      <c r="AA9">
        <v>0</v>
      </c>
      <c r="AB9">
        <v>5</v>
      </c>
      <c r="AC9">
        <v>15</v>
      </c>
      <c r="AD9">
        <v>5</v>
      </c>
      <c r="AE9" t="s">
        <v>61</v>
      </c>
      <c r="AF9" t="s">
        <v>61</v>
      </c>
      <c r="AG9" t="s">
        <v>61</v>
      </c>
      <c r="AH9" t="s">
        <v>61</v>
      </c>
      <c r="AI9" t="s">
        <v>61</v>
      </c>
      <c r="AJ9" t="s">
        <v>61</v>
      </c>
      <c r="AK9" t="s">
        <v>61</v>
      </c>
      <c r="AL9" t="s">
        <v>61</v>
      </c>
      <c r="AM9" t="s">
        <v>61</v>
      </c>
      <c r="AN9" t="s">
        <v>61</v>
      </c>
      <c r="AO9" t="s">
        <v>61</v>
      </c>
      <c r="AP9" t="s">
        <v>61</v>
      </c>
      <c r="AQ9" t="s">
        <v>61</v>
      </c>
      <c r="AR9" t="s">
        <v>61</v>
      </c>
      <c r="AS9" t="s">
        <v>61</v>
      </c>
      <c r="AT9" t="s">
        <v>61</v>
      </c>
      <c r="AU9" t="s">
        <v>61</v>
      </c>
      <c r="AV9" t="s">
        <v>61</v>
      </c>
      <c r="AW9" t="s">
        <v>1398</v>
      </c>
      <c r="AX9" t="s">
        <v>1339</v>
      </c>
    </row>
    <row r="10" spans="1:50" x14ac:dyDescent="0.3">
      <c r="A10" t="s">
        <v>1190</v>
      </c>
      <c r="B10" t="s">
        <v>513</v>
      </c>
      <c r="C10" t="s">
        <v>66</v>
      </c>
      <c r="D10" t="s">
        <v>462</v>
      </c>
      <c r="E10" t="s">
        <v>1398</v>
      </c>
      <c r="F10" t="s">
        <v>74</v>
      </c>
      <c r="G10" t="s">
        <v>39</v>
      </c>
      <c r="H10" t="s">
        <v>1416</v>
      </c>
      <c r="I10" t="s">
        <v>1193</v>
      </c>
      <c r="J10" t="s">
        <v>1193</v>
      </c>
      <c r="K10" t="s">
        <v>1398</v>
      </c>
      <c r="L10" t="s">
        <v>61</v>
      </c>
      <c r="M10" t="s">
        <v>61</v>
      </c>
      <c r="N10" t="s">
        <v>61</v>
      </c>
      <c r="O10" t="s">
        <v>61</v>
      </c>
      <c r="P10" t="s">
        <v>61</v>
      </c>
      <c r="Q10" t="s">
        <v>61</v>
      </c>
      <c r="R10" t="s">
        <v>61</v>
      </c>
      <c r="S10" t="s">
        <v>61</v>
      </c>
      <c r="T10" t="s">
        <v>61</v>
      </c>
      <c r="U10" t="s">
        <v>61</v>
      </c>
      <c r="V10" t="s">
        <v>61</v>
      </c>
      <c r="W10" t="s">
        <v>61</v>
      </c>
      <c r="X10" t="s">
        <v>61</v>
      </c>
      <c r="Y10" t="s">
        <v>61</v>
      </c>
      <c r="Z10" t="s">
        <v>1398</v>
      </c>
      <c r="AA10">
        <v>0</v>
      </c>
      <c r="AB10">
        <v>7</v>
      </c>
      <c r="AC10" t="s">
        <v>61</v>
      </c>
      <c r="AD10">
        <v>7</v>
      </c>
      <c r="AE10" t="s">
        <v>1398</v>
      </c>
      <c r="AF10" t="s">
        <v>61</v>
      </c>
      <c r="AG10" t="s">
        <v>61</v>
      </c>
      <c r="AH10" t="s">
        <v>1398</v>
      </c>
      <c r="AI10" t="s">
        <v>61</v>
      </c>
      <c r="AJ10" t="s">
        <v>61</v>
      </c>
      <c r="AK10" t="s">
        <v>61</v>
      </c>
      <c r="AL10" t="s">
        <v>61</v>
      </c>
      <c r="AM10" t="s">
        <v>61</v>
      </c>
      <c r="AN10" t="s">
        <v>61</v>
      </c>
      <c r="AO10" t="s">
        <v>61</v>
      </c>
      <c r="AP10" t="s">
        <v>61</v>
      </c>
      <c r="AQ10" t="s">
        <v>61</v>
      </c>
      <c r="AR10" t="s">
        <v>61</v>
      </c>
      <c r="AS10" t="s">
        <v>61</v>
      </c>
      <c r="AT10" t="s">
        <v>61</v>
      </c>
      <c r="AU10" t="s">
        <v>61</v>
      </c>
      <c r="AV10" t="s">
        <v>61</v>
      </c>
      <c r="AW10" t="s">
        <v>61</v>
      </c>
      <c r="AX10" t="s">
        <v>61</v>
      </c>
    </row>
    <row r="11" spans="1:50" x14ac:dyDescent="0.3">
      <c r="A11" t="s">
        <v>1190</v>
      </c>
      <c r="B11" t="s">
        <v>157</v>
      </c>
      <c r="C11" t="s">
        <v>66</v>
      </c>
      <c r="D11" t="s">
        <v>1093</v>
      </c>
      <c r="E11" t="s">
        <v>1398</v>
      </c>
      <c r="F11" t="s">
        <v>48</v>
      </c>
      <c r="G11" t="s">
        <v>39</v>
      </c>
      <c r="H11" t="s">
        <v>1416</v>
      </c>
      <c r="I11" t="s">
        <v>1193</v>
      </c>
      <c r="J11" t="s">
        <v>1193</v>
      </c>
      <c r="K11" t="s">
        <v>61</v>
      </c>
      <c r="L11" t="s">
        <v>61</v>
      </c>
      <c r="M11" t="s">
        <v>61</v>
      </c>
      <c r="N11" t="s">
        <v>61</v>
      </c>
      <c r="O11" t="s">
        <v>61</v>
      </c>
      <c r="P11" t="s">
        <v>61</v>
      </c>
      <c r="Q11" t="s">
        <v>1398</v>
      </c>
      <c r="R11" t="s">
        <v>61</v>
      </c>
      <c r="S11" t="s">
        <v>61</v>
      </c>
      <c r="T11" t="s">
        <v>61</v>
      </c>
      <c r="U11" t="s">
        <v>61</v>
      </c>
      <c r="V11" t="s">
        <v>1398</v>
      </c>
      <c r="W11" t="s">
        <v>1398</v>
      </c>
      <c r="X11" t="s">
        <v>61</v>
      </c>
      <c r="Y11" t="s">
        <v>1398</v>
      </c>
      <c r="Z11" t="s">
        <v>61</v>
      </c>
      <c r="AA11">
        <v>0</v>
      </c>
      <c r="AB11">
        <v>1</v>
      </c>
      <c r="AC11" t="s">
        <v>61</v>
      </c>
      <c r="AD11">
        <v>1</v>
      </c>
      <c r="AE11" t="s">
        <v>1398</v>
      </c>
      <c r="AF11" t="s">
        <v>61</v>
      </c>
      <c r="AG11" t="s">
        <v>1398</v>
      </c>
      <c r="AH11" t="s">
        <v>61</v>
      </c>
      <c r="AI11" t="s">
        <v>61</v>
      </c>
      <c r="AJ11" t="s">
        <v>61</v>
      </c>
      <c r="AK11" t="s">
        <v>61</v>
      </c>
      <c r="AL11" t="s">
        <v>61</v>
      </c>
      <c r="AM11" t="s">
        <v>61</v>
      </c>
      <c r="AN11" t="s">
        <v>61</v>
      </c>
      <c r="AO11" t="s">
        <v>61</v>
      </c>
      <c r="AP11" t="s">
        <v>1398</v>
      </c>
      <c r="AQ11" t="s">
        <v>61</v>
      </c>
      <c r="AR11" t="s">
        <v>61</v>
      </c>
      <c r="AS11" t="s">
        <v>61</v>
      </c>
      <c r="AT11" t="s">
        <v>61</v>
      </c>
      <c r="AU11" t="s">
        <v>61</v>
      </c>
      <c r="AV11" t="s">
        <v>61</v>
      </c>
      <c r="AW11" t="s">
        <v>1398</v>
      </c>
      <c r="AX11" t="s">
        <v>1341</v>
      </c>
    </row>
    <row r="12" spans="1:50" x14ac:dyDescent="0.3">
      <c r="A12" t="s">
        <v>1190</v>
      </c>
      <c r="B12" t="s">
        <v>1142</v>
      </c>
      <c r="C12" t="s">
        <v>66</v>
      </c>
      <c r="D12" t="s">
        <v>231</v>
      </c>
      <c r="E12" t="s">
        <v>1398</v>
      </c>
      <c r="F12" t="s">
        <v>48</v>
      </c>
      <c r="G12" t="s">
        <v>39</v>
      </c>
      <c r="H12" t="s">
        <v>1416</v>
      </c>
      <c r="I12" t="s">
        <v>1203</v>
      </c>
      <c r="J12" t="s">
        <v>1203</v>
      </c>
      <c r="K12" t="s">
        <v>61</v>
      </c>
      <c r="L12" t="s">
        <v>61</v>
      </c>
      <c r="M12" t="s">
        <v>61</v>
      </c>
      <c r="N12" t="s">
        <v>61</v>
      </c>
      <c r="O12" t="s">
        <v>61</v>
      </c>
      <c r="P12" t="s">
        <v>61</v>
      </c>
      <c r="Q12" t="s">
        <v>61</v>
      </c>
      <c r="R12" t="s">
        <v>61</v>
      </c>
      <c r="S12" t="s">
        <v>61</v>
      </c>
      <c r="T12" t="s">
        <v>61</v>
      </c>
      <c r="U12" t="s">
        <v>61</v>
      </c>
      <c r="V12" t="s">
        <v>61</v>
      </c>
      <c r="W12" t="s">
        <v>61</v>
      </c>
      <c r="X12" t="s">
        <v>61</v>
      </c>
      <c r="Y12" t="s">
        <v>61</v>
      </c>
      <c r="Z12" t="s">
        <v>1398</v>
      </c>
      <c r="AA12">
        <v>0</v>
      </c>
      <c r="AB12">
        <v>1</v>
      </c>
      <c r="AC12" t="s">
        <v>61</v>
      </c>
      <c r="AD12">
        <v>1</v>
      </c>
      <c r="AE12" t="s">
        <v>1398</v>
      </c>
      <c r="AF12" t="s">
        <v>1398</v>
      </c>
      <c r="AG12" t="s">
        <v>61</v>
      </c>
      <c r="AH12" t="s">
        <v>61</v>
      </c>
      <c r="AI12" t="s">
        <v>61</v>
      </c>
      <c r="AJ12" t="s">
        <v>61</v>
      </c>
      <c r="AK12" t="s">
        <v>61</v>
      </c>
      <c r="AL12" t="s">
        <v>61</v>
      </c>
      <c r="AM12" t="s">
        <v>61</v>
      </c>
      <c r="AN12" t="s">
        <v>61</v>
      </c>
      <c r="AO12" t="s">
        <v>61</v>
      </c>
      <c r="AP12" t="s">
        <v>1398</v>
      </c>
      <c r="AQ12" t="s">
        <v>61</v>
      </c>
      <c r="AR12" t="s">
        <v>61</v>
      </c>
      <c r="AS12" t="s">
        <v>61</v>
      </c>
      <c r="AT12" t="s">
        <v>61</v>
      </c>
      <c r="AU12" t="s">
        <v>61</v>
      </c>
      <c r="AV12" t="s">
        <v>61</v>
      </c>
      <c r="AW12" t="s">
        <v>61</v>
      </c>
      <c r="AX12" t="s">
        <v>61</v>
      </c>
    </row>
    <row r="13" spans="1:50" x14ac:dyDescent="0.3">
      <c r="A13" t="s">
        <v>1190</v>
      </c>
      <c r="B13" t="s">
        <v>1317</v>
      </c>
      <c r="C13" t="s">
        <v>66</v>
      </c>
      <c r="D13" t="s">
        <v>1239</v>
      </c>
      <c r="E13" t="s">
        <v>1398</v>
      </c>
      <c r="F13" t="s">
        <v>74</v>
      </c>
      <c r="G13" t="s">
        <v>89</v>
      </c>
      <c r="H13" t="s">
        <v>1416</v>
      </c>
      <c r="I13" t="s">
        <v>1193</v>
      </c>
      <c r="J13" t="s">
        <v>1193</v>
      </c>
      <c r="K13" t="s">
        <v>61</v>
      </c>
      <c r="L13" t="s">
        <v>61</v>
      </c>
      <c r="M13" t="s">
        <v>61</v>
      </c>
      <c r="N13" t="s">
        <v>61</v>
      </c>
      <c r="O13" t="s">
        <v>61</v>
      </c>
      <c r="P13" t="s">
        <v>61</v>
      </c>
      <c r="Q13" t="s">
        <v>61</v>
      </c>
      <c r="R13" t="s">
        <v>61</v>
      </c>
      <c r="S13" t="s">
        <v>61</v>
      </c>
      <c r="T13" t="s">
        <v>61</v>
      </c>
      <c r="U13" t="s">
        <v>61</v>
      </c>
      <c r="V13" t="s">
        <v>61</v>
      </c>
      <c r="W13" t="s">
        <v>61</v>
      </c>
      <c r="X13" t="s">
        <v>61</v>
      </c>
      <c r="Y13" t="s">
        <v>61</v>
      </c>
      <c r="Z13" t="s">
        <v>1398</v>
      </c>
      <c r="AA13">
        <v>0</v>
      </c>
      <c r="AB13">
        <v>4</v>
      </c>
      <c r="AC13" t="s">
        <v>61</v>
      </c>
      <c r="AD13">
        <v>4</v>
      </c>
      <c r="AE13" t="s">
        <v>1398</v>
      </c>
      <c r="AF13" t="s">
        <v>1398</v>
      </c>
      <c r="AG13" t="s">
        <v>61</v>
      </c>
      <c r="AH13" t="s">
        <v>61</v>
      </c>
      <c r="AI13" t="s">
        <v>61</v>
      </c>
      <c r="AJ13" t="s">
        <v>61</v>
      </c>
      <c r="AK13" t="s">
        <v>61</v>
      </c>
      <c r="AL13" t="s">
        <v>61</v>
      </c>
      <c r="AM13" t="s">
        <v>61</v>
      </c>
      <c r="AN13" t="s">
        <v>61</v>
      </c>
      <c r="AO13" t="s">
        <v>61</v>
      </c>
      <c r="AP13" t="s">
        <v>61</v>
      </c>
      <c r="AQ13" t="s">
        <v>61</v>
      </c>
      <c r="AR13" t="s">
        <v>61</v>
      </c>
      <c r="AS13" t="s">
        <v>61</v>
      </c>
      <c r="AT13" t="s">
        <v>61</v>
      </c>
      <c r="AU13" t="s">
        <v>61</v>
      </c>
      <c r="AV13" t="s">
        <v>61</v>
      </c>
      <c r="AW13" t="s">
        <v>61</v>
      </c>
      <c r="AX13" t="s">
        <v>61</v>
      </c>
    </row>
    <row r="14" spans="1:50" x14ac:dyDescent="0.3">
      <c r="A14" t="s">
        <v>1190</v>
      </c>
      <c r="B14" t="s">
        <v>1318</v>
      </c>
      <c r="C14" t="s">
        <v>66</v>
      </c>
      <c r="D14" t="s">
        <v>462</v>
      </c>
      <c r="E14" t="s">
        <v>1398</v>
      </c>
      <c r="F14" t="s">
        <v>74</v>
      </c>
      <c r="G14" t="s">
        <v>39</v>
      </c>
      <c r="H14" t="s">
        <v>1415</v>
      </c>
      <c r="I14" t="s">
        <v>1193</v>
      </c>
      <c r="J14" t="s">
        <v>1194</v>
      </c>
      <c r="K14" t="s">
        <v>61</v>
      </c>
      <c r="L14" t="s">
        <v>61</v>
      </c>
      <c r="M14" t="s">
        <v>61</v>
      </c>
      <c r="N14" t="s">
        <v>61</v>
      </c>
      <c r="O14" t="s">
        <v>61</v>
      </c>
      <c r="P14" t="s">
        <v>61</v>
      </c>
      <c r="Q14" t="s">
        <v>61</v>
      </c>
      <c r="R14" t="s">
        <v>61</v>
      </c>
      <c r="S14" t="s">
        <v>1398</v>
      </c>
      <c r="T14" t="s">
        <v>61</v>
      </c>
      <c r="U14" t="s">
        <v>61</v>
      </c>
      <c r="V14" t="s">
        <v>61</v>
      </c>
      <c r="W14" t="s">
        <v>61</v>
      </c>
      <c r="X14" t="s">
        <v>61</v>
      </c>
      <c r="Y14" t="s">
        <v>61</v>
      </c>
      <c r="Z14" t="s">
        <v>61</v>
      </c>
      <c r="AA14">
        <v>2</v>
      </c>
      <c r="AB14">
        <v>10</v>
      </c>
      <c r="AC14" t="s">
        <v>61</v>
      </c>
      <c r="AD14">
        <v>70</v>
      </c>
      <c r="AE14" t="s">
        <v>61</v>
      </c>
      <c r="AF14" t="s">
        <v>61</v>
      </c>
      <c r="AG14" t="s">
        <v>61</v>
      </c>
      <c r="AH14" t="s">
        <v>61</v>
      </c>
      <c r="AI14" t="s">
        <v>61</v>
      </c>
      <c r="AJ14" t="s">
        <v>61</v>
      </c>
      <c r="AK14" t="s">
        <v>61</v>
      </c>
      <c r="AL14" t="s">
        <v>61</v>
      </c>
      <c r="AM14" t="s">
        <v>61</v>
      </c>
      <c r="AN14" t="s">
        <v>61</v>
      </c>
      <c r="AO14" t="s">
        <v>61</v>
      </c>
      <c r="AP14" t="s">
        <v>61</v>
      </c>
      <c r="AQ14" t="s">
        <v>61</v>
      </c>
      <c r="AR14" t="s">
        <v>61</v>
      </c>
      <c r="AS14" t="s">
        <v>61</v>
      </c>
      <c r="AT14" t="s">
        <v>61</v>
      </c>
      <c r="AU14" t="s">
        <v>61</v>
      </c>
      <c r="AV14" t="s">
        <v>61</v>
      </c>
      <c r="AW14" t="s">
        <v>1398</v>
      </c>
      <c r="AX14" t="s">
        <v>1343</v>
      </c>
    </row>
    <row r="15" spans="1:50" x14ac:dyDescent="0.3">
      <c r="A15" t="s">
        <v>1190</v>
      </c>
      <c r="B15" t="s">
        <v>1319</v>
      </c>
      <c r="C15" t="s">
        <v>66</v>
      </c>
      <c r="D15" t="s">
        <v>1240</v>
      </c>
      <c r="E15" t="s">
        <v>61</v>
      </c>
      <c r="F15" t="s">
        <v>74</v>
      </c>
      <c r="G15" t="s">
        <v>89</v>
      </c>
      <c r="H15" t="s">
        <v>1415</v>
      </c>
      <c r="I15" t="s">
        <v>1203</v>
      </c>
      <c r="J15" t="s">
        <v>1203</v>
      </c>
      <c r="K15" t="s">
        <v>61</v>
      </c>
      <c r="L15" t="s">
        <v>61</v>
      </c>
      <c r="M15" t="s">
        <v>61</v>
      </c>
      <c r="N15" t="s">
        <v>61</v>
      </c>
      <c r="O15" t="s">
        <v>61</v>
      </c>
      <c r="P15" t="s">
        <v>61</v>
      </c>
      <c r="Q15" t="s">
        <v>61</v>
      </c>
      <c r="R15" t="s">
        <v>61</v>
      </c>
      <c r="S15" t="s">
        <v>61</v>
      </c>
      <c r="T15" t="s">
        <v>61</v>
      </c>
      <c r="U15" t="s">
        <v>61</v>
      </c>
      <c r="V15" t="s">
        <v>61</v>
      </c>
      <c r="W15" t="s">
        <v>61</v>
      </c>
      <c r="X15" t="s">
        <v>61</v>
      </c>
      <c r="Y15" t="s">
        <v>61</v>
      </c>
      <c r="Z15" t="s">
        <v>61</v>
      </c>
      <c r="AA15">
        <v>1</v>
      </c>
      <c r="AB15">
        <v>12</v>
      </c>
      <c r="AC15" t="s">
        <v>61</v>
      </c>
      <c r="AD15">
        <v>42</v>
      </c>
      <c r="AE15" t="s">
        <v>61</v>
      </c>
      <c r="AF15" t="s">
        <v>61</v>
      </c>
      <c r="AG15" t="s">
        <v>61</v>
      </c>
      <c r="AH15" t="s">
        <v>61</v>
      </c>
      <c r="AI15" t="s">
        <v>61</v>
      </c>
      <c r="AJ15" t="s">
        <v>61</v>
      </c>
      <c r="AK15" t="s">
        <v>61</v>
      </c>
      <c r="AL15" t="s">
        <v>61</v>
      </c>
      <c r="AM15" t="s">
        <v>61</v>
      </c>
      <c r="AN15" t="s">
        <v>61</v>
      </c>
      <c r="AO15" t="s">
        <v>1398</v>
      </c>
      <c r="AP15" t="s">
        <v>1398</v>
      </c>
      <c r="AQ15" t="s">
        <v>61</v>
      </c>
      <c r="AR15" t="s">
        <v>61</v>
      </c>
      <c r="AS15" t="s">
        <v>61</v>
      </c>
      <c r="AT15" t="s">
        <v>61</v>
      </c>
      <c r="AU15" t="s">
        <v>61</v>
      </c>
      <c r="AV15" t="s">
        <v>61</v>
      </c>
      <c r="AW15" t="s">
        <v>1398</v>
      </c>
      <c r="AX15" t="s">
        <v>1403</v>
      </c>
    </row>
    <row r="16" spans="1:50" x14ac:dyDescent="0.3">
      <c r="A16" t="s">
        <v>1190</v>
      </c>
      <c r="B16" t="s">
        <v>1317</v>
      </c>
      <c r="C16" t="s">
        <v>66</v>
      </c>
      <c r="D16" t="s">
        <v>1239</v>
      </c>
      <c r="E16" t="s">
        <v>1398</v>
      </c>
      <c r="F16" t="s">
        <v>74</v>
      </c>
      <c r="G16" t="s">
        <v>89</v>
      </c>
      <c r="H16" t="s">
        <v>1416</v>
      </c>
      <c r="I16" t="s">
        <v>1193</v>
      </c>
      <c r="J16" t="s">
        <v>1193</v>
      </c>
      <c r="K16" t="s">
        <v>61</v>
      </c>
      <c r="L16" t="s">
        <v>61</v>
      </c>
      <c r="M16" t="s">
        <v>61</v>
      </c>
      <c r="N16" t="s">
        <v>61</v>
      </c>
      <c r="O16" t="s">
        <v>61</v>
      </c>
      <c r="P16" t="s">
        <v>61</v>
      </c>
      <c r="Q16" t="s">
        <v>1398</v>
      </c>
      <c r="R16" t="s">
        <v>61</v>
      </c>
      <c r="S16" t="s">
        <v>61</v>
      </c>
      <c r="T16" t="s">
        <v>61</v>
      </c>
      <c r="U16" t="s">
        <v>61</v>
      </c>
      <c r="V16" t="s">
        <v>61</v>
      </c>
      <c r="W16" t="s">
        <v>61</v>
      </c>
      <c r="X16" t="s">
        <v>61</v>
      </c>
      <c r="Y16" t="s">
        <v>61</v>
      </c>
      <c r="Z16" t="s">
        <v>1398</v>
      </c>
      <c r="AA16">
        <v>0</v>
      </c>
      <c r="AB16">
        <v>11</v>
      </c>
      <c r="AC16" t="s">
        <v>61</v>
      </c>
      <c r="AD16">
        <v>11</v>
      </c>
      <c r="AE16" t="s">
        <v>1398</v>
      </c>
      <c r="AF16" t="s">
        <v>1398</v>
      </c>
      <c r="AG16" t="s">
        <v>61</v>
      </c>
      <c r="AH16" t="s">
        <v>61</v>
      </c>
      <c r="AI16" t="s">
        <v>61</v>
      </c>
      <c r="AJ16" t="s">
        <v>61</v>
      </c>
      <c r="AK16" t="s">
        <v>61</v>
      </c>
      <c r="AL16" t="s">
        <v>61</v>
      </c>
      <c r="AM16" t="s">
        <v>61</v>
      </c>
      <c r="AN16" t="s">
        <v>61</v>
      </c>
      <c r="AO16" t="s">
        <v>61</v>
      </c>
      <c r="AP16" t="s">
        <v>61</v>
      </c>
      <c r="AQ16" t="s">
        <v>61</v>
      </c>
      <c r="AR16" t="s">
        <v>61</v>
      </c>
      <c r="AS16" t="s">
        <v>61</v>
      </c>
      <c r="AT16" t="s">
        <v>61</v>
      </c>
      <c r="AU16" t="s">
        <v>61</v>
      </c>
      <c r="AV16" t="s">
        <v>61</v>
      </c>
      <c r="AW16" t="s">
        <v>61</v>
      </c>
      <c r="AX16" t="s">
        <v>61</v>
      </c>
    </row>
    <row r="17" spans="1:50" x14ac:dyDescent="0.3">
      <c r="A17" t="s">
        <v>1190</v>
      </c>
      <c r="B17" t="s">
        <v>1317</v>
      </c>
      <c r="C17" t="s">
        <v>66</v>
      </c>
      <c r="D17" t="s">
        <v>462</v>
      </c>
      <c r="E17" t="s">
        <v>61</v>
      </c>
      <c r="F17" t="s">
        <v>48</v>
      </c>
      <c r="G17" t="s">
        <v>89</v>
      </c>
      <c r="H17" t="s">
        <v>1416</v>
      </c>
      <c r="I17" t="s">
        <v>1193</v>
      </c>
      <c r="J17" t="s">
        <v>1193</v>
      </c>
      <c r="K17" t="s">
        <v>1398</v>
      </c>
      <c r="L17" t="s">
        <v>61</v>
      </c>
      <c r="M17" t="s">
        <v>61</v>
      </c>
      <c r="N17" t="s">
        <v>61</v>
      </c>
      <c r="O17" t="s">
        <v>61</v>
      </c>
      <c r="P17" t="s">
        <v>61</v>
      </c>
      <c r="Q17" t="s">
        <v>61</v>
      </c>
      <c r="R17" t="s">
        <v>61</v>
      </c>
      <c r="S17" t="s">
        <v>61</v>
      </c>
      <c r="T17" t="s">
        <v>61</v>
      </c>
      <c r="U17" t="s">
        <v>61</v>
      </c>
      <c r="V17" t="s">
        <v>61</v>
      </c>
      <c r="W17" t="s">
        <v>61</v>
      </c>
      <c r="X17" t="s">
        <v>61</v>
      </c>
      <c r="Y17" t="s">
        <v>61</v>
      </c>
      <c r="Z17" t="s">
        <v>61</v>
      </c>
      <c r="AA17">
        <v>0</v>
      </c>
      <c r="AB17">
        <v>10</v>
      </c>
      <c r="AC17" t="s">
        <v>61</v>
      </c>
      <c r="AD17">
        <v>10</v>
      </c>
      <c r="AE17" t="s">
        <v>1398</v>
      </c>
      <c r="AF17" t="s">
        <v>61</v>
      </c>
      <c r="AG17" t="s">
        <v>61</v>
      </c>
      <c r="AH17" t="s">
        <v>61</v>
      </c>
      <c r="AI17" t="s">
        <v>61</v>
      </c>
      <c r="AJ17" t="s">
        <v>61</v>
      </c>
      <c r="AK17" t="s">
        <v>61</v>
      </c>
      <c r="AL17" t="s">
        <v>61</v>
      </c>
      <c r="AM17" t="s">
        <v>61</v>
      </c>
      <c r="AN17" t="s">
        <v>61</v>
      </c>
      <c r="AO17" t="s">
        <v>1398</v>
      </c>
      <c r="AP17" t="s">
        <v>61</v>
      </c>
      <c r="AQ17" t="s">
        <v>1398</v>
      </c>
      <c r="AR17" t="s">
        <v>61</v>
      </c>
      <c r="AS17" t="s">
        <v>61</v>
      </c>
      <c r="AT17" t="s">
        <v>61</v>
      </c>
      <c r="AU17" t="s">
        <v>61</v>
      </c>
      <c r="AV17" t="s">
        <v>61</v>
      </c>
      <c r="AW17" t="s">
        <v>61</v>
      </c>
      <c r="AX17" t="s">
        <v>61</v>
      </c>
    </row>
    <row r="18" spans="1:50" x14ac:dyDescent="0.3">
      <c r="A18" t="s">
        <v>1190</v>
      </c>
      <c r="B18" t="s">
        <v>1068</v>
      </c>
      <c r="C18" t="s">
        <v>66</v>
      </c>
      <c r="D18" t="s">
        <v>1144</v>
      </c>
      <c r="E18" t="s">
        <v>61</v>
      </c>
      <c r="F18" t="s">
        <v>48</v>
      </c>
      <c r="G18" t="s">
        <v>39</v>
      </c>
      <c r="H18" t="s">
        <v>1416</v>
      </c>
      <c r="I18" t="s">
        <v>1193</v>
      </c>
      <c r="J18" t="s">
        <v>1193</v>
      </c>
      <c r="K18" t="s">
        <v>61</v>
      </c>
      <c r="L18" t="s">
        <v>61</v>
      </c>
      <c r="M18" t="s">
        <v>61</v>
      </c>
      <c r="N18" t="s">
        <v>61</v>
      </c>
      <c r="O18" t="s">
        <v>61</v>
      </c>
      <c r="P18" t="s">
        <v>61</v>
      </c>
      <c r="Q18" t="s">
        <v>61</v>
      </c>
      <c r="R18" t="s">
        <v>61</v>
      </c>
      <c r="S18" t="s">
        <v>61</v>
      </c>
      <c r="T18" t="s">
        <v>61</v>
      </c>
      <c r="U18" t="s">
        <v>61</v>
      </c>
      <c r="V18" t="s">
        <v>61</v>
      </c>
      <c r="W18" t="s">
        <v>61</v>
      </c>
      <c r="X18" t="s">
        <v>61</v>
      </c>
      <c r="Y18" t="s">
        <v>61</v>
      </c>
      <c r="Z18" t="s">
        <v>61</v>
      </c>
      <c r="AA18">
        <v>0</v>
      </c>
      <c r="AB18">
        <v>4</v>
      </c>
      <c r="AC18" t="s">
        <v>61</v>
      </c>
      <c r="AD18">
        <v>4</v>
      </c>
      <c r="AE18" t="s">
        <v>1398</v>
      </c>
      <c r="AF18" t="s">
        <v>1398</v>
      </c>
      <c r="AG18" t="s">
        <v>61</v>
      </c>
      <c r="AH18" t="s">
        <v>61</v>
      </c>
      <c r="AI18" t="s">
        <v>61</v>
      </c>
      <c r="AJ18" t="s">
        <v>61</v>
      </c>
      <c r="AK18" t="s">
        <v>61</v>
      </c>
      <c r="AL18" t="s">
        <v>61</v>
      </c>
      <c r="AM18" t="s">
        <v>61</v>
      </c>
      <c r="AN18" t="s">
        <v>61</v>
      </c>
      <c r="AO18" t="s">
        <v>61</v>
      </c>
      <c r="AP18" t="s">
        <v>61</v>
      </c>
      <c r="AQ18" t="s">
        <v>61</v>
      </c>
      <c r="AR18" t="s">
        <v>61</v>
      </c>
      <c r="AS18" t="s">
        <v>61</v>
      </c>
      <c r="AT18" t="s">
        <v>61</v>
      </c>
      <c r="AU18" t="s">
        <v>61</v>
      </c>
      <c r="AV18" t="s">
        <v>61</v>
      </c>
      <c r="AW18" t="s">
        <v>61</v>
      </c>
      <c r="AX18" t="s">
        <v>61</v>
      </c>
    </row>
    <row r="19" spans="1:50" x14ac:dyDescent="0.3">
      <c r="A19" t="s">
        <v>1190</v>
      </c>
      <c r="B19" t="s">
        <v>1142</v>
      </c>
      <c r="C19" t="s">
        <v>66</v>
      </c>
      <c r="D19" t="s">
        <v>231</v>
      </c>
      <c r="E19" t="s">
        <v>1398</v>
      </c>
      <c r="F19" t="s">
        <v>48</v>
      </c>
      <c r="G19" t="s">
        <v>39</v>
      </c>
      <c r="H19" t="s">
        <v>1415</v>
      </c>
      <c r="I19" t="s">
        <v>1203</v>
      </c>
      <c r="J19" t="s">
        <v>1203</v>
      </c>
      <c r="K19" t="s">
        <v>61</v>
      </c>
      <c r="L19" t="s">
        <v>61</v>
      </c>
      <c r="M19" t="s">
        <v>61</v>
      </c>
      <c r="N19" t="s">
        <v>61</v>
      </c>
      <c r="O19" t="s">
        <v>61</v>
      </c>
      <c r="P19" t="s">
        <v>61</v>
      </c>
      <c r="Q19" t="s">
        <v>61</v>
      </c>
      <c r="R19" t="s">
        <v>61</v>
      </c>
      <c r="S19" t="s">
        <v>61</v>
      </c>
      <c r="T19" t="s">
        <v>61</v>
      </c>
      <c r="U19" t="s">
        <v>61</v>
      </c>
      <c r="V19" t="s">
        <v>61</v>
      </c>
      <c r="W19" t="s">
        <v>61</v>
      </c>
      <c r="X19" t="s">
        <v>61</v>
      </c>
      <c r="Y19" t="s">
        <v>61</v>
      </c>
      <c r="Z19" t="s">
        <v>1398</v>
      </c>
      <c r="AA19">
        <v>4</v>
      </c>
      <c r="AB19">
        <v>0</v>
      </c>
      <c r="AC19" t="s">
        <v>61</v>
      </c>
      <c r="AD19">
        <v>120</v>
      </c>
      <c r="AE19" t="s">
        <v>1398</v>
      </c>
      <c r="AF19" t="s">
        <v>1398</v>
      </c>
      <c r="AG19" t="s">
        <v>61</v>
      </c>
      <c r="AH19" t="s">
        <v>61</v>
      </c>
      <c r="AI19" t="s">
        <v>61</v>
      </c>
      <c r="AJ19" t="s">
        <v>61</v>
      </c>
      <c r="AK19" t="s">
        <v>61</v>
      </c>
      <c r="AL19" t="s">
        <v>61</v>
      </c>
      <c r="AM19" t="s">
        <v>61</v>
      </c>
      <c r="AN19" t="s">
        <v>61</v>
      </c>
      <c r="AO19" t="s">
        <v>61</v>
      </c>
      <c r="AP19" t="s">
        <v>61</v>
      </c>
      <c r="AQ19" t="s">
        <v>61</v>
      </c>
      <c r="AR19" t="s">
        <v>61</v>
      </c>
      <c r="AS19" t="s">
        <v>61</v>
      </c>
      <c r="AT19" t="s">
        <v>61</v>
      </c>
      <c r="AU19" t="s">
        <v>61</v>
      </c>
      <c r="AV19" t="s">
        <v>61</v>
      </c>
      <c r="AW19" t="s">
        <v>61</v>
      </c>
      <c r="AX19" t="s">
        <v>61</v>
      </c>
    </row>
    <row r="20" spans="1:50" x14ac:dyDescent="0.3">
      <c r="A20" t="s">
        <v>1190</v>
      </c>
      <c r="B20" t="s">
        <v>400</v>
      </c>
      <c r="C20" t="s">
        <v>66</v>
      </c>
      <c r="D20" t="s">
        <v>462</v>
      </c>
      <c r="E20" t="s">
        <v>61</v>
      </c>
      <c r="F20" t="s">
        <v>48</v>
      </c>
      <c r="G20" t="s">
        <v>39</v>
      </c>
      <c r="H20" t="s">
        <v>1416</v>
      </c>
      <c r="I20" t="s">
        <v>1193</v>
      </c>
      <c r="J20" t="s">
        <v>1193</v>
      </c>
      <c r="K20" t="s">
        <v>61</v>
      </c>
      <c r="L20" t="s">
        <v>61</v>
      </c>
      <c r="M20" t="s">
        <v>61</v>
      </c>
      <c r="N20" t="s">
        <v>61</v>
      </c>
      <c r="O20" t="s">
        <v>61</v>
      </c>
      <c r="P20" t="s">
        <v>61</v>
      </c>
      <c r="Q20" t="s">
        <v>61</v>
      </c>
      <c r="R20" t="s">
        <v>61</v>
      </c>
      <c r="S20" t="s">
        <v>61</v>
      </c>
      <c r="T20" t="s">
        <v>61</v>
      </c>
      <c r="U20" t="s">
        <v>61</v>
      </c>
      <c r="V20" t="s">
        <v>61</v>
      </c>
      <c r="W20" t="s">
        <v>61</v>
      </c>
      <c r="X20" t="s">
        <v>61</v>
      </c>
      <c r="Y20" t="s">
        <v>61</v>
      </c>
      <c r="Z20" t="s">
        <v>61</v>
      </c>
      <c r="AA20">
        <v>0</v>
      </c>
      <c r="AB20">
        <v>4</v>
      </c>
      <c r="AC20" t="s">
        <v>61</v>
      </c>
      <c r="AD20">
        <v>4</v>
      </c>
      <c r="AE20" t="s">
        <v>1398</v>
      </c>
      <c r="AF20" t="s">
        <v>61</v>
      </c>
      <c r="AG20" t="s">
        <v>61</v>
      </c>
      <c r="AH20" t="s">
        <v>1398</v>
      </c>
      <c r="AI20" t="s">
        <v>61</v>
      </c>
      <c r="AJ20" t="s">
        <v>61</v>
      </c>
      <c r="AK20" t="s">
        <v>61</v>
      </c>
      <c r="AL20" t="s">
        <v>61</v>
      </c>
      <c r="AM20" t="s">
        <v>61</v>
      </c>
      <c r="AN20" t="s">
        <v>61</v>
      </c>
      <c r="AO20" t="s">
        <v>61</v>
      </c>
      <c r="AP20" t="s">
        <v>61</v>
      </c>
      <c r="AQ20" t="s">
        <v>61</v>
      </c>
      <c r="AR20" t="s">
        <v>61</v>
      </c>
      <c r="AS20" t="s">
        <v>61</v>
      </c>
      <c r="AT20" t="s">
        <v>61</v>
      </c>
      <c r="AU20" t="s">
        <v>61</v>
      </c>
      <c r="AV20" t="s">
        <v>61</v>
      </c>
      <c r="AW20" t="s">
        <v>61</v>
      </c>
      <c r="AX20" t="s">
        <v>61</v>
      </c>
    </row>
    <row r="21" spans="1:50" x14ac:dyDescent="0.3">
      <c r="A21" t="s">
        <v>1190</v>
      </c>
      <c r="B21" t="s">
        <v>400</v>
      </c>
      <c r="C21" t="s">
        <v>66</v>
      </c>
      <c r="D21" t="s">
        <v>66</v>
      </c>
      <c r="E21" t="s">
        <v>61</v>
      </c>
      <c r="F21" t="s">
        <v>48</v>
      </c>
      <c r="G21" t="s">
        <v>89</v>
      </c>
      <c r="H21" t="s">
        <v>1415</v>
      </c>
      <c r="I21" t="s">
        <v>111</v>
      </c>
      <c r="J21" t="s">
        <v>1194</v>
      </c>
      <c r="K21" t="s">
        <v>1398</v>
      </c>
      <c r="L21" t="s">
        <v>61</v>
      </c>
      <c r="M21" t="s">
        <v>61</v>
      </c>
      <c r="N21" t="s">
        <v>61</v>
      </c>
      <c r="O21" t="s">
        <v>1398</v>
      </c>
      <c r="P21" t="s">
        <v>61</v>
      </c>
      <c r="Q21" t="s">
        <v>61</v>
      </c>
      <c r="R21" t="s">
        <v>61</v>
      </c>
      <c r="S21" t="s">
        <v>61</v>
      </c>
      <c r="T21" t="s">
        <v>61</v>
      </c>
      <c r="U21" t="s">
        <v>61</v>
      </c>
      <c r="V21" t="s">
        <v>61</v>
      </c>
      <c r="W21" t="s">
        <v>61</v>
      </c>
      <c r="X21" t="s">
        <v>61</v>
      </c>
      <c r="Y21" t="s">
        <v>61</v>
      </c>
      <c r="Z21" t="s">
        <v>61</v>
      </c>
      <c r="AA21">
        <v>2</v>
      </c>
      <c r="AB21">
        <v>28</v>
      </c>
      <c r="AC21" t="s">
        <v>61</v>
      </c>
      <c r="AD21">
        <v>88</v>
      </c>
      <c r="AE21" t="s">
        <v>61</v>
      </c>
      <c r="AF21" t="s">
        <v>61</v>
      </c>
      <c r="AG21" t="s">
        <v>61</v>
      </c>
      <c r="AH21" t="s">
        <v>61</v>
      </c>
      <c r="AI21" t="s">
        <v>61</v>
      </c>
      <c r="AJ21" t="s">
        <v>61</v>
      </c>
      <c r="AK21" t="s">
        <v>61</v>
      </c>
      <c r="AL21" t="s">
        <v>61</v>
      </c>
      <c r="AM21" t="s">
        <v>61</v>
      </c>
      <c r="AN21" t="s">
        <v>61</v>
      </c>
      <c r="AO21" t="s">
        <v>61</v>
      </c>
      <c r="AP21" t="s">
        <v>61</v>
      </c>
      <c r="AQ21" t="s">
        <v>61</v>
      </c>
      <c r="AR21" t="s">
        <v>61</v>
      </c>
      <c r="AS21" t="s">
        <v>61</v>
      </c>
      <c r="AT21" t="s">
        <v>1398</v>
      </c>
      <c r="AU21" t="s">
        <v>61</v>
      </c>
      <c r="AV21" t="s">
        <v>61</v>
      </c>
      <c r="AW21" t="s">
        <v>61</v>
      </c>
      <c r="AX21" t="s">
        <v>61</v>
      </c>
    </row>
    <row r="22" spans="1:50" x14ac:dyDescent="0.3">
      <c r="A22" t="s">
        <v>1190</v>
      </c>
      <c r="B22" t="s">
        <v>1392</v>
      </c>
      <c r="C22" t="s">
        <v>66</v>
      </c>
      <c r="D22" t="s">
        <v>462</v>
      </c>
      <c r="E22" t="s">
        <v>61</v>
      </c>
      <c r="F22" t="s">
        <v>48</v>
      </c>
      <c r="G22" t="s">
        <v>39</v>
      </c>
      <c r="H22" t="s">
        <v>1415</v>
      </c>
      <c r="I22" t="s">
        <v>1393</v>
      </c>
      <c r="J22" t="s">
        <v>162</v>
      </c>
      <c r="K22" t="s">
        <v>1398</v>
      </c>
      <c r="L22" t="s">
        <v>1398</v>
      </c>
      <c r="M22" t="s">
        <v>61</v>
      </c>
      <c r="N22" t="s">
        <v>61</v>
      </c>
      <c r="O22" t="s">
        <v>61</v>
      </c>
      <c r="P22" t="s">
        <v>61</v>
      </c>
      <c r="Q22" t="s">
        <v>61</v>
      </c>
      <c r="R22" t="s">
        <v>61</v>
      </c>
      <c r="S22" t="s">
        <v>61</v>
      </c>
      <c r="T22" t="s">
        <v>61</v>
      </c>
      <c r="U22" t="s">
        <v>61</v>
      </c>
      <c r="V22" t="s">
        <v>61</v>
      </c>
      <c r="W22" t="s">
        <v>61</v>
      </c>
      <c r="X22" t="s">
        <v>1398</v>
      </c>
      <c r="Y22" t="s">
        <v>61</v>
      </c>
      <c r="Z22" t="s">
        <v>61</v>
      </c>
      <c r="AA22">
        <v>2</v>
      </c>
      <c r="AB22">
        <v>23</v>
      </c>
      <c r="AC22" t="s">
        <v>61</v>
      </c>
      <c r="AD22">
        <v>83</v>
      </c>
      <c r="AE22" t="s">
        <v>61</v>
      </c>
      <c r="AF22" t="s">
        <v>61</v>
      </c>
      <c r="AG22" t="s">
        <v>61</v>
      </c>
      <c r="AH22" t="s">
        <v>61</v>
      </c>
      <c r="AI22" t="s">
        <v>61</v>
      </c>
      <c r="AJ22" t="s">
        <v>61</v>
      </c>
      <c r="AK22" t="s">
        <v>1398</v>
      </c>
      <c r="AL22" t="s">
        <v>61</v>
      </c>
      <c r="AM22" t="s">
        <v>61</v>
      </c>
      <c r="AN22" t="s">
        <v>61</v>
      </c>
      <c r="AO22" t="s">
        <v>61</v>
      </c>
      <c r="AP22" t="s">
        <v>61</v>
      </c>
      <c r="AQ22" t="s">
        <v>61</v>
      </c>
      <c r="AR22" t="s">
        <v>61</v>
      </c>
      <c r="AS22" t="s">
        <v>61</v>
      </c>
      <c r="AT22" t="s">
        <v>61</v>
      </c>
      <c r="AU22" t="s">
        <v>61</v>
      </c>
      <c r="AV22" t="s">
        <v>61</v>
      </c>
      <c r="AW22" t="s">
        <v>61</v>
      </c>
      <c r="AX22" t="s">
        <v>61</v>
      </c>
    </row>
    <row r="23" spans="1:50" x14ac:dyDescent="0.3">
      <c r="A23" t="s">
        <v>1190</v>
      </c>
      <c r="B23" t="s">
        <v>513</v>
      </c>
      <c r="C23" t="s">
        <v>66</v>
      </c>
      <c r="D23" t="s">
        <v>66</v>
      </c>
      <c r="E23" t="s">
        <v>61</v>
      </c>
      <c r="F23" t="s">
        <v>74</v>
      </c>
      <c r="G23" t="s">
        <v>89</v>
      </c>
      <c r="H23" t="s">
        <v>1416</v>
      </c>
      <c r="I23" t="s">
        <v>1394</v>
      </c>
      <c r="J23" t="s">
        <v>1395</v>
      </c>
      <c r="K23" t="s">
        <v>61</v>
      </c>
      <c r="L23" t="s">
        <v>61</v>
      </c>
      <c r="M23" t="s">
        <v>61</v>
      </c>
      <c r="N23" t="s">
        <v>61</v>
      </c>
      <c r="O23" t="s">
        <v>61</v>
      </c>
      <c r="P23" t="s">
        <v>61</v>
      </c>
      <c r="Q23" t="s">
        <v>1398</v>
      </c>
      <c r="R23" t="s">
        <v>61</v>
      </c>
      <c r="S23" t="s">
        <v>61</v>
      </c>
      <c r="T23" t="s">
        <v>61</v>
      </c>
      <c r="U23" t="s">
        <v>61</v>
      </c>
      <c r="V23" t="s">
        <v>61</v>
      </c>
      <c r="W23" t="s">
        <v>61</v>
      </c>
      <c r="X23" t="s">
        <v>61</v>
      </c>
      <c r="Y23" t="s">
        <v>61</v>
      </c>
      <c r="Z23" t="s">
        <v>61</v>
      </c>
      <c r="AA23">
        <v>0</v>
      </c>
      <c r="AB23">
        <v>2</v>
      </c>
      <c r="AC23" t="s">
        <v>61</v>
      </c>
      <c r="AD23">
        <v>2</v>
      </c>
      <c r="AE23" t="s">
        <v>1398</v>
      </c>
      <c r="AF23" t="s">
        <v>1398</v>
      </c>
      <c r="AG23" t="s">
        <v>61</v>
      </c>
      <c r="AH23" t="s">
        <v>61</v>
      </c>
      <c r="AI23" t="s">
        <v>61</v>
      </c>
      <c r="AJ23" t="s">
        <v>61</v>
      </c>
      <c r="AK23" t="s">
        <v>61</v>
      </c>
      <c r="AL23" t="s">
        <v>61</v>
      </c>
      <c r="AM23" t="s">
        <v>61</v>
      </c>
      <c r="AN23" t="s">
        <v>61</v>
      </c>
      <c r="AO23" t="s">
        <v>61</v>
      </c>
      <c r="AP23" t="s">
        <v>61</v>
      </c>
      <c r="AQ23" t="s">
        <v>61</v>
      </c>
      <c r="AR23" t="s">
        <v>61</v>
      </c>
      <c r="AS23" t="s">
        <v>61</v>
      </c>
      <c r="AT23" t="s">
        <v>61</v>
      </c>
      <c r="AU23" t="s">
        <v>61</v>
      </c>
      <c r="AV23" t="s">
        <v>61</v>
      </c>
      <c r="AW23" t="s">
        <v>61</v>
      </c>
      <c r="AX23" t="s">
        <v>61</v>
      </c>
    </row>
    <row r="35" spans="1:50" x14ac:dyDescent="0.3">
      <c r="L35" s="177" t="s">
        <v>1421</v>
      </c>
      <c r="M35" s="177"/>
      <c r="N35" s="177"/>
      <c r="O35" s="177"/>
      <c r="P35" s="177"/>
      <c r="Q35" s="177"/>
      <c r="R35" s="177"/>
      <c r="S35" s="177"/>
      <c r="T35" s="177"/>
      <c r="U35" s="177"/>
      <c r="V35" s="177"/>
      <c r="W35" s="177"/>
      <c r="X35" s="177"/>
      <c r="Y35" s="177"/>
      <c r="Z35" s="177"/>
      <c r="AE35" s="178" t="s">
        <v>1422</v>
      </c>
      <c r="AF35" s="178"/>
      <c r="AG35" s="178"/>
      <c r="AH35" s="178"/>
      <c r="AI35" s="178"/>
      <c r="AJ35" s="178"/>
      <c r="AK35" s="178"/>
      <c r="AL35" s="178"/>
      <c r="AM35" s="178"/>
      <c r="AN35" s="178"/>
      <c r="AO35" s="178"/>
      <c r="AP35" s="178"/>
      <c r="AQ35" s="178"/>
      <c r="AR35" s="178"/>
      <c r="AS35" s="178"/>
      <c r="AT35" s="178"/>
      <c r="AU35" s="178"/>
      <c r="AV35" s="178"/>
    </row>
    <row r="36" spans="1:50" x14ac:dyDescent="0.3">
      <c r="A36" t="s">
        <v>1171</v>
      </c>
      <c r="B36" t="s">
        <v>1172</v>
      </c>
      <c r="C36" t="s">
        <v>8</v>
      </c>
      <c r="D36" t="s">
        <v>7</v>
      </c>
      <c r="E36" t="s">
        <v>1167</v>
      </c>
      <c r="F36" t="s">
        <v>1408</v>
      </c>
      <c r="G36" t="s">
        <v>1170</v>
      </c>
      <c r="H36" t="s">
        <v>1407</v>
      </c>
      <c r="I36" t="s">
        <v>10</v>
      </c>
      <c r="J36" t="s">
        <v>1173</v>
      </c>
      <c r="K36" t="s">
        <v>1245</v>
      </c>
      <c r="L36" t="s">
        <v>1248</v>
      </c>
      <c r="M36" t="s">
        <v>1249</v>
      </c>
      <c r="N36" t="s">
        <v>415</v>
      </c>
      <c r="O36" t="s">
        <v>1269</v>
      </c>
      <c r="P36" t="s">
        <v>1270</v>
      </c>
      <c r="Q36" t="s">
        <v>1271</v>
      </c>
      <c r="R36" t="s">
        <v>1175</v>
      </c>
      <c r="S36" t="s">
        <v>1342</v>
      </c>
      <c r="T36" t="s">
        <v>370</v>
      </c>
      <c r="U36" t="s">
        <v>1176</v>
      </c>
      <c r="V36" t="s">
        <v>1336</v>
      </c>
      <c r="W36" t="s">
        <v>1337</v>
      </c>
      <c r="X36" t="s">
        <v>1181</v>
      </c>
      <c r="Y36" t="s">
        <v>1340</v>
      </c>
      <c r="Z36" t="s">
        <v>1177</v>
      </c>
      <c r="AA36" t="s">
        <v>1185</v>
      </c>
      <c r="AB36" t="s">
        <v>1186</v>
      </c>
      <c r="AC36" t="s">
        <v>1187</v>
      </c>
      <c r="AD36" t="s">
        <v>1406</v>
      </c>
      <c r="AE36" t="s">
        <v>1195</v>
      </c>
      <c r="AF36" t="s">
        <v>1359</v>
      </c>
      <c r="AG36" t="s">
        <v>1360</v>
      </c>
      <c r="AH36" t="s">
        <v>1361</v>
      </c>
      <c r="AI36" t="s">
        <v>1362</v>
      </c>
      <c r="AJ36" t="s">
        <v>1491</v>
      </c>
      <c r="AK36" t="s">
        <v>1492</v>
      </c>
      <c r="AL36" t="s">
        <v>1493</v>
      </c>
      <c r="AM36" t="s">
        <v>1217</v>
      </c>
      <c r="AN36" t="s">
        <v>1216</v>
      </c>
      <c r="AO36" t="s">
        <v>1197</v>
      </c>
      <c r="AP36" t="s">
        <v>1210</v>
      </c>
      <c r="AQ36" t="s">
        <v>1334</v>
      </c>
      <c r="AR36" t="s">
        <v>1202</v>
      </c>
      <c r="AS36" t="s">
        <v>1212</v>
      </c>
      <c r="AT36" t="s">
        <v>343</v>
      </c>
      <c r="AU36" t="s">
        <v>1215</v>
      </c>
      <c r="AV36" t="s">
        <v>1250</v>
      </c>
      <c r="AW36" t="s">
        <v>1206</v>
      </c>
      <c r="AX36" t="s">
        <v>1328</v>
      </c>
    </row>
    <row r="37" spans="1:50" x14ac:dyDescent="0.3">
      <c r="A37" t="s">
        <v>1188</v>
      </c>
      <c r="B37" t="s">
        <v>142</v>
      </c>
      <c r="C37" t="s">
        <v>66</v>
      </c>
      <c r="D37" t="s">
        <v>1082</v>
      </c>
      <c r="E37" t="s">
        <v>1398</v>
      </c>
      <c r="F37" t="s">
        <v>48</v>
      </c>
      <c r="G37" t="s">
        <v>39</v>
      </c>
      <c r="H37" t="s">
        <v>1416</v>
      </c>
      <c r="I37" t="s">
        <v>1203</v>
      </c>
      <c r="J37" t="s">
        <v>1203</v>
      </c>
      <c r="K37" t="s">
        <v>61</v>
      </c>
      <c r="L37" t="s">
        <v>61</v>
      </c>
      <c r="M37" t="s">
        <v>61</v>
      </c>
      <c r="N37" t="s">
        <v>61</v>
      </c>
      <c r="O37" t="s">
        <v>61</v>
      </c>
      <c r="P37" t="s">
        <v>61</v>
      </c>
      <c r="Q37" t="s">
        <v>61</v>
      </c>
      <c r="R37" t="s">
        <v>61</v>
      </c>
      <c r="S37" t="s">
        <v>61</v>
      </c>
      <c r="T37" t="s">
        <v>1398</v>
      </c>
      <c r="U37" t="s">
        <v>61</v>
      </c>
      <c r="V37" t="s">
        <v>61</v>
      </c>
      <c r="W37" t="s">
        <v>61</v>
      </c>
      <c r="X37" t="s">
        <v>61</v>
      </c>
      <c r="Y37" t="s">
        <v>61</v>
      </c>
      <c r="Z37" t="s">
        <v>61</v>
      </c>
      <c r="AA37">
        <v>0</v>
      </c>
      <c r="AB37">
        <v>13</v>
      </c>
      <c r="AC37" t="s">
        <v>61</v>
      </c>
      <c r="AD37">
        <v>13</v>
      </c>
      <c r="AE37" t="s">
        <v>1398</v>
      </c>
      <c r="AF37" t="s">
        <v>61</v>
      </c>
      <c r="AG37" t="s">
        <v>61</v>
      </c>
      <c r="AH37" t="s">
        <v>1398</v>
      </c>
      <c r="AI37" t="s">
        <v>61</v>
      </c>
      <c r="AJ37" t="s">
        <v>61</v>
      </c>
      <c r="AK37" t="s">
        <v>61</v>
      </c>
      <c r="AL37" t="s">
        <v>61</v>
      </c>
      <c r="AM37" t="s">
        <v>61</v>
      </c>
      <c r="AN37" t="s">
        <v>61</v>
      </c>
      <c r="AO37" t="s">
        <v>61</v>
      </c>
      <c r="AP37" t="s">
        <v>61</v>
      </c>
      <c r="AQ37" t="s">
        <v>61</v>
      </c>
      <c r="AR37" t="s">
        <v>61</v>
      </c>
      <c r="AS37" t="s">
        <v>61</v>
      </c>
      <c r="AT37" t="s">
        <v>61</v>
      </c>
      <c r="AU37" t="s">
        <v>61</v>
      </c>
      <c r="AV37" t="s">
        <v>61</v>
      </c>
      <c r="AW37" t="s">
        <v>61</v>
      </c>
      <c r="AX37" t="s">
        <v>61</v>
      </c>
    </row>
    <row r="38" spans="1:50" x14ac:dyDescent="0.3">
      <c r="A38" t="s">
        <v>1188</v>
      </c>
      <c r="B38" t="s">
        <v>1102</v>
      </c>
      <c r="C38" t="s">
        <v>66</v>
      </c>
      <c r="D38" t="s">
        <v>1009</v>
      </c>
      <c r="E38" t="s">
        <v>1398</v>
      </c>
      <c r="F38" t="s">
        <v>74</v>
      </c>
      <c r="G38" t="s">
        <v>39</v>
      </c>
      <c r="H38" t="s">
        <v>1415</v>
      </c>
      <c r="I38" t="s">
        <v>1193</v>
      </c>
      <c r="J38" t="s">
        <v>162</v>
      </c>
      <c r="K38" t="s">
        <v>1398</v>
      </c>
      <c r="L38" t="s">
        <v>61</v>
      </c>
      <c r="M38" t="s">
        <v>1398</v>
      </c>
      <c r="N38" t="s">
        <v>61</v>
      </c>
      <c r="O38" t="s">
        <v>61</v>
      </c>
      <c r="P38" t="s">
        <v>61</v>
      </c>
      <c r="Q38" t="s">
        <v>61</v>
      </c>
      <c r="R38" t="s">
        <v>61</v>
      </c>
      <c r="S38" t="s">
        <v>61</v>
      </c>
      <c r="T38" t="s">
        <v>61</v>
      </c>
      <c r="U38" t="s">
        <v>61</v>
      </c>
      <c r="V38" t="s">
        <v>61</v>
      </c>
      <c r="W38" t="s">
        <v>61</v>
      </c>
      <c r="X38" t="s">
        <v>61</v>
      </c>
      <c r="Y38" t="s">
        <v>61</v>
      </c>
      <c r="Z38" t="s">
        <v>61</v>
      </c>
      <c r="AA38">
        <v>2</v>
      </c>
      <c r="AB38">
        <v>8</v>
      </c>
      <c r="AC38" t="s">
        <v>61</v>
      </c>
      <c r="AD38">
        <v>68</v>
      </c>
      <c r="AE38" t="s">
        <v>61</v>
      </c>
      <c r="AF38" t="s">
        <v>61</v>
      </c>
      <c r="AG38" t="s">
        <v>61</v>
      </c>
      <c r="AH38" t="s">
        <v>61</v>
      </c>
      <c r="AI38" t="s">
        <v>61</v>
      </c>
      <c r="AJ38" t="s">
        <v>61</v>
      </c>
      <c r="AK38" t="s">
        <v>61</v>
      </c>
      <c r="AL38" t="s">
        <v>61</v>
      </c>
      <c r="AM38" t="s">
        <v>61</v>
      </c>
      <c r="AN38" t="s">
        <v>61</v>
      </c>
      <c r="AO38" t="s">
        <v>61</v>
      </c>
      <c r="AP38" t="s">
        <v>61</v>
      </c>
      <c r="AQ38" t="s">
        <v>61</v>
      </c>
      <c r="AR38" t="s">
        <v>61</v>
      </c>
      <c r="AS38" t="s">
        <v>61</v>
      </c>
      <c r="AT38" t="s">
        <v>61</v>
      </c>
      <c r="AU38" t="s">
        <v>1398</v>
      </c>
      <c r="AV38" t="s">
        <v>61</v>
      </c>
      <c r="AW38" t="s">
        <v>61</v>
      </c>
      <c r="AX38" t="s">
        <v>61</v>
      </c>
    </row>
    <row r="39" spans="1:50" x14ac:dyDescent="0.3">
      <c r="A39" t="s">
        <v>1188</v>
      </c>
      <c r="B39" t="s">
        <v>142</v>
      </c>
      <c r="C39" t="s">
        <v>66</v>
      </c>
      <c r="D39" t="s">
        <v>1082</v>
      </c>
      <c r="E39" t="s">
        <v>1398</v>
      </c>
      <c r="F39" t="s">
        <v>48</v>
      </c>
      <c r="G39" t="s">
        <v>89</v>
      </c>
      <c r="H39" t="s">
        <v>1416</v>
      </c>
      <c r="I39" t="s">
        <v>1193</v>
      </c>
      <c r="J39" t="s">
        <v>1193</v>
      </c>
      <c r="K39" t="s">
        <v>61</v>
      </c>
      <c r="L39" t="s">
        <v>61</v>
      </c>
      <c r="M39" t="s">
        <v>61</v>
      </c>
      <c r="N39" t="s">
        <v>61</v>
      </c>
      <c r="O39" t="s">
        <v>61</v>
      </c>
      <c r="P39" t="s">
        <v>61</v>
      </c>
      <c r="Q39" t="s">
        <v>61</v>
      </c>
      <c r="R39" t="s">
        <v>61</v>
      </c>
      <c r="S39" t="s">
        <v>61</v>
      </c>
      <c r="T39" t="s">
        <v>61</v>
      </c>
      <c r="U39" t="s">
        <v>61</v>
      </c>
      <c r="V39" t="s">
        <v>61</v>
      </c>
      <c r="W39" t="s">
        <v>61</v>
      </c>
      <c r="X39" t="s">
        <v>1398</v>
      </c>
      <c r="Y39" t="s">
        <v>61</v>
      </c>
      <c r="Z39" t="s">
        <v>61</v>
      </c>
      <c r="AA39">
        <v>0</v>
      </c>
      <c r="AB39">
        <v>8</v>
      </c>
      <c r="AC39" t="s">
        <v>61</v>
      </c>
      <c r="AD39">
        <v>8</v>
      </c>
      <c r="AE39" t="s">
        <v>1398</v>
      </c>
      <c r="AF39" t="s">
        <v>1398</v>
      </c>
      <c r="AG39" t="s">
        <v>61</v>
      </c>
      <c r="AH39" t="s">
        <v>61</v>
      </c>
      <c r="AI39" t="s">
        <v>61</v>
      </c>
      <c r="AJ39" t="s">
        <v>61</v>
      </c>
      <c r="AK39" t="s">
        <v>61</v>
      </c>
      <c r="AL39" t="s">
        <v>61</v>
      </c>
      <c r="AM39" t="s">
        <v>61</v>
      </c>
      <c r="AN39" t="s">
        <v>61</v>
      </c>
      <c r="AO39" t="s">
        <v>1398</v>
      </c>
      <c r="AP39" t="s">
        <v>61</v>
      </c>
      <c r="AQ39" t="s">
        <v>61</v>
      </c>
      <c r="AR39" t="s">
        <v>61</v>
      </c>
      <c r="AS39" t="s">
        <v>61</v>
      </c>
      <c r="AT39" t="s">
        <v>61</v>
      </c>
      <c r="AU39" t="s">
        <v>61</v>
      </c>
      <c r="AV39" t="s">
        <v>61</v>
      </c>
      <c r="AW39" t="s">
        <v>61</v>
      </c>
      <c r="AX39" t="s">
        <v>61</v>
      </c>
    </row>
    <row r="40" spans="1:50" x14ac:dyDescent="0.3">
      <c r="A40" t="s">
        <v>1188</v>
      </c>
      <c r="B40" t="s">
        <v>1123</v>
      </c>
      <c r="C40" t="s">
        <v>66</v>
      </c>
      <c r="D40" t="s">
        <v>1082</v>
      </c>
      <c r="E40" t="s">
        <v>61</v>
      </c>
      <c r="F40" t="s">
        <v>48</v>
      </c>
      <c r="G40" t="s">
        <v>89</v>
      </c>
      <c r="H40" t="s">
        <v>1416</v>
      </c>
      <c r="I40" t="s">
        <v>1203</v>
      </c>
      <c r="J40" t="s">
        <v>162</v>
      </c>
      <c r="K40" t="s">
        <v>61</v>
      </c>
      <c r="L40" t="s">
        <v>61</v>
      </c>
      <c r="M40" t="s">
        <v>61</v>
      </c>
      <c r="N40" t="s">
        <v>61</v>
      </c>
      <c r="O40" t="s">
        <v>61</v>
      </c>
      <c r="P40" t="s">
        <v>61</v>
      </c>
      <c r="Q40" t="s">
        <v>61</v>
      </c>
      <c r="R40" t="s">
        <v>61</v>
      </c>
      <c r="S40" t="s">
        <v>61</v>
      </c>
      <c r="T40" t="s">
        <v>61</v>
      </c>
      <c r="U40" t="s">
        <v>61</v>
      </c>
      <c r="V40" t="s">
        <v>61</v>
      </c>
      <c r="W40" t="s">
        <v>61</v>
      </c>
      <c r="X40" t="s">
        <v>61</v>
      </c>
      <c r="Y40" t="s">
        <v>61</v>
      </c>
      <c r="Z40" t="s">
        <v>61</v>
      </c>
      <c r="AA40">
        <v>0</v>
      </c>
      <c r="AB40">
        <v>3</v>
      </c>
      <c r="AC40" t="s">
        <v>61</v>
      </c>
      <c r="AD40">
        <v>3</v>
      </c>
      <c r="AE40" t="s">
        <v>61</v>
      </c>
      <c r="AF40" t="s">
        <v>61</v>
      </c>
      <c r="AG40" t="s">
        <v>61</v>
      </c>
      <c r="AH40" t="s">
        <v>1398</v>
      </c>
      <c r="AI40" t="s">
        <v>61</v>
      </c>
      <c r="AJ40" t="s">
        <v>61</v>
      </c>
      <c r="AK40" t="s">
        <v>61</v>
      </c>
      <c r="AL40" t="s">
        <v>61</v>
      </c>
      <c r="AM40" t="s">
        <v>61</v>
      </c>
      <c r="AN40" t="s">
        <v>61</v>
      </c>
      <c r="AO40" t="s">
        <v>61</v>
      </c>
      <c r="AP40" t="s">
        <v>61</v>
      </c>
      <c r="AQ40" t="s">
        <v>61</v>
      </c>
      <c r="AR40" t="s">
        <v>61</v>
      </c>
      <c r="AS40" t="s">
        <v>61</v>
      </c>
      <c r="AT40" t="s">
        <v>61</v>
      </c>
      <c r="AU40" t="s">
        <v>61</v>
      </c>
      <c r="AV40" t="s">
        <v>61</v>
      </c>
      <c r="AW40" t="s">
        <v>61</v>
      </c>
      <c r="AX40" t="s">
        <v>61</v>
      </c>
    </row>
    <row r="41" spans="1:50" x14ac:dyDescent="0.3">
      <c r="A41" t="s">
        <v>1188</v>
      </c>
      <c r="B41" t="s">
        <v>371</v>
      </c>
      <c r="C41" t="s">
        <v>66</v>
      </c>
      <c r="D41" t="s">
        <v>1322</v>
      </c>
      <c r="E41" t="s">
        <v>1398</v>
      </c>
      <c r="F41" t="s">
        <v>48</v>
      </c>
      <c r="G41" t="s">
        <v>89</v>
      </c>
      <c r="H41" t="s">
        <v>1416</v>
      </c>
      <c r="I41" t="s">
        <v>1203</v>
      </c>
      <c r="J41" t="s">
        <v>1203</v>
      </c>
      <c r="K41" t="s">
        <v>61</v>
      </c>
      <c r="L41" t="s">
        <v>61</v>
      </c>
      <c r="M41" t="s">
        <v>61</v>
      </c>
      <c r="N41" t="s">
        <v>61</v>
      </c>
      <c r="O41" t="s">
        <v>61</v>
      </c>
      <c r="P41" t="s">
        <v>61</v>
      </c>
      <c r="Q41" t="s">
        <v>1398</v>
      </c>
      <c r="R41" t="s">
        <v>61</v>
      </c>
      <c r="S41" t="s">
        <v>61</v>
      </c>
      <c r="T41" t="s">
        <v>1398</v>
      </c>
      <c r="U41" t="s">
        <v>61</v>
      </c>
      <c r="V41" t="s">
        <v>61</v>
      </c>
      <c r="W41" t="s">
        <v>61</v>
      </c>
      <c r="X41" t="s">
        <v>61</v>
      </c>
      <c r="Y41" t="s">
        <v>61</v>
      </c>
      <c r="Z41" t="s">
        <v>61</v>
      </c>
      <c r="AA41">
        <v>0</v>
      </c>
      <c r="AB41">
        <v>9</v>
      </c>
      <c r="AC41" t="s">
        <v>61</v>
      </c>
      <c r="AD41">
        <v>9</v>
      </c>
      <c r="AE41" t="s">
        <v>1398</v>
      </c>
      <c r="AF41" t="s">
        <v>1398</v>
      </c>
      <c r="AG41" t="s">
        <v>61</v>
      </c>
      <c r="AH41" t="s">
        <v>61</v>
      </c>
      <c r="AI41" t="s">
        <v>61</v>
      </c>
      <c r="AJ41" t="s">
        <v>61</v>
      </c>
      <c r="AK41" t="s">
        <v>61</v>
      </c>
      <c r="AL41" t="s">
        <v>61</v>
      </c>
      <c r="AM41" t="s">
        <v>61</v>
      </c>
      <c r="AN41" t="s">
        <v>61</v>
      </c>
      <c r="AO41" t="s">
        <v>61</v>
      </c>
      <c r="AP41" t="s">
        <v>1398</v>
      </c>
      <c r="AQ41" t="s">
        <v>61</v>
      </c>
      <c r="AR41" t="s">
        <v>61</v>
      </c>
      <c r="AS41" t="s">
        <v>61</v>
      </c>
      <c r="AT41" t="s">
        <v>61</v>
      </c>
      <c r="AU41" t="s">
        <v>61</v>
      </c>
      <c r="AV41" t="s">
        <v>61</v>
      </c>
      <c r="AW41" t="s">
        <v>61</v>
      </c>
      <c r="AX41" t="s">
        <v>61</v>
      </c>
    </row>
    <row r="42" spans="1:50" x14ac:dyDescent="0.3">
      <c r="A42" t="s">
        <v>1188</v>
      </c>
      <c r="B42" t="s">
        <v>280</v>
      </c>
      <c r="C42" t="s">
        <v>66</v>
      </c>
      <c r="D42" t="s">
        <v>1323</v>
      </c>
      <c r="E42" t="s">
        <v>1398</v>
      </c>
      <c r="F42" t="s">
        <v>48</v>
      </c>
      <c r="G42" t="s">
        <v>39</v>
      </c>
      <c r="H42" t="s">
        <v>1415</v>
      </c>
      <c r="I42" t="s">
        <v>1192</v>
      </c>
      <c r="J42" t="s">
        <v>162</v>
      </c>
      <c r="K42" t="s">
        <v>1398</v>
      </c>
      <c r="L42" t="s">
        <v>61</v>
      </c>
      <c r="M42" t="s">
        <v>61</v>
      </c>
      <c r="N42" t="s">
        <v>1398</v>
      </c>
      <c r="O42" t="s">
        <v>61</v>
      </c>
      <c r="P42" t="s">
        <v>61</v>
      </c>
      <c r="Q42" t="s">
        <v>61</v>
      </c>
      <c r="R42" t="s">
        <v>61</v>
      </c>
      <c r="S42" t="s">
        <v>61</v>
      </c>
      <c r="T42" t="s">
        <v>61</v>
      </c>
      <c r="U42" t="s">
        <v>61</v>
      </c>
      <c r="V42" t="s">
        <v>61</v>
      </c>
      <c r="W42" t="s">
        <v>61</v>
      </c>
      <c r="X42" t="s">
        <v>61</v>
      </c>
      <c r="Y42" t="s">
        <v>61</v>
      </c>
      <c r="Z42" t="s">
        <v>61</v>
      </c>
      <c r="AA42">
        <v>1</v>
      </c>
      <c r="AB42">
        <v>14</v>
      </c>
      <c r="AC42" t="s">
        <v>61</v>
      </c>
      <c r="AD42">
        <v>44</v>
      </c>
      <c r="AE42" t="s">
        <v>61</v>
      </c>
      <c r="AF42" t="s">
        <v>61</v>
      </c>
      <c r="AG42" t="s">
        <v>61</v>
      </c>
      <c r="AH42" t="s">
        <v>61</v>
      </c>
      <c r="AI42" t="s">
        <v>61</v>
      </c>
      <c r="AJ42" t="s">
        <v>61</v>
      </c>
      <c r="AK42" t="s">
        <v>61</v>
      </c>
      <c r="AL42" t="s">
        <v>61</v>
      </c>
      <c r="AM42" t="s">
        <v>61</v>
      </c>
      <c r="AN42" t="s">
        <v>61</v>
      </c>
      <c r="AO42" t="s">
        <v>61</v>
      </c>
      <c r="AP42" t="s">
        <v>61</v>
      </c>
      <c r="AQ42" t="s">
        <v>61</v>
      </c>
      <c r="AR42" t="s">
        <v>61</v>
      </c>
      <c r="AS42" t="s">
        <v>61</v>
      </c>
      <c r="AT42" t="s">
        <v>1398</v>
      </c>
      <c r="AU42" t="s">
        <v>1398</v>
      </c>
      <c r="AV42" t="s">
        <v>61</v>
      </c>
      <c r="AW42" t="s">
        <v>1398</v>
      </c>
      <c r="AX42" t="s">
        <v>1333</v>
      </c>
    </row>
    <row r="43" spans="1:50" x14ac:dyDescent="0.3">
      <c r="A43" t="s">
        <v>1188</v>
      </c>
      <c r="B43" t="s">
        <v>1055</v>
      </c>
      <c r="C43" t="s">
        <v>66</v>
      </c>
      <c r="D43" t="s">
        <v>231</v>
      </c>
      <c r="E43" t="s">
        <v>61</v>
      </c>
      <c r="F43" t="s">
        <v>74</v>
      </c>
      <c r="G43" t="s">
        <v>39</v>
      </c>
      <c r="H43" t="s">
        <v>1416</v>
      </c>
      <c r="I43" t="s">
        <v>1193</v>
      </c>
      <c r="J43" t="s">
        <v>1193</v>
      </c>
      <c r="K43" t="s">
        <v>61</v>
      </c>
      <c r="L43" t="s">
        <v>61</v>
      </c>
      <c r="M43" t="s">
        <v>61</v>
      </c>
      <c r="N43" t="s">
        <v>61</v>
      </c>
      <c r="O43" t="s">
        <v>61</v>
      </c>
      <c r="P43" t="s">
        <v>61</v>
      </c>
      <c r="Q43" t="s">
        <v>61</v>
      </c>
      <c r="R43" t="s">
        <v>61</v>
      </c>
      <c r="S43" t="s">
        <v>61</v>
      </c>
      <c r="T43" t="s">
        <v>61</v>
      </c>
      <c r="U43" t="s">
        <v>61</v>
      </c>
      <c r="V43" t="s">
        <v>61</v>
      </c>
      <c r="W43" t="s">
        <v>61</v>
      </c>
      <c r="X43" t="s">
        <v>61</v>
      </c>
      <c r="Y43" t="s">
        <v>61</v>
      </c>
      <c r="Z43" t="s">
        <v>61</v>
      </c>
      <c r="AA43">
        <v>0</v>
      </c>
      <c r="AB43">
        <v>2</v>
      </c>
      <c r="AC43" t="s">
        <v>61</v>
      </c>
      <c r="AD43">
        <v>2</v>
      </c>
      <c r="AE43" t="s">
        <v>1398</v>
      </c>
      <c r="AF43" t="s">
        <v>1398</v>
      </c>
      <c r="AG43" t="s">
        <v>61</v>
      </c>
      <c r="AH43" t="s">
        <v>61</v>
      </c>
      <c r="AI43" t="s">
        <v>61</v>
      </c>
      <c r="AJ43" t="s">
        <v>61</v>
      </c>
      <c r="AK43" t="s">
        <v>61</v>
      </c>
      <c r="AL43" t="s">
        <v>61</v>
      </c>
      <c r="AM43" t="s">
        <v>61</v>
      </c>
      <c r="AN43" t="s">
        <v>61</v>
      </c>
      <c r="AO43" t="s">
        <v>61</v>
      </c>
      <c r="AP43" t="s">
        <v>61</v>
      </c>
      <c r="AQ43" t="s">
        <v>61</v>
      </c>
      <c r="AR43" t="s">
        <v>61</v>
      </c>
      <c r="AS43" t="s">
        <v>61</v>
      </c>
      <c r="AT43" t="s">
        <v>61</v>
      </c>
      <c r="AU43" t="s">
        <v>61</v>
      </c>
      <c r="AV43" t="s">
        <v>61</v>
      </c>
      <c r="AW43" t="s">
        <v>61</v>
      </c>
      <c r="AX43" t="s">
        <v>61</v>
      </c>
    </row>
    <row r="44" spans="1:50" x14ac:dyDescent="0.3">
      <c r="A44" t="s">
        <v>1188</v>
      </c>
      <c r="B44" t="s">
        <v>142</v>
      </c>
      <c r="C44" t="s">
        <v>66</v>
      </c>
      <c r="D44" t="s">
        <v>65</v>
      </c>
      <c r="E44" t="s">
        <v>61</v>
      </c>
      <c r="F44" t="s">
        <v>48</v>
      </c>
      <c r="G44" t="s">
        <v>39</v>
      </c>
      <c r="H44" t="s">
        <v>1415</v>
      </c>
      <c r="I44" t="s">
        <v>1192</v>
      </c>
      <c r="J44" t="s">
        <v>162</v>
      </c>
      <c r="K44" t="s">
        <v>61</v>
      </c>
      <c r="L44" t="s">
        <v>61</v>
      </c>
      <c r="M44" t="s">
        <v>61</v>
      </c>
      <c r="N44" t="s">
        <v>61</v>
      </c>
      <c r="O44" t="s">
        <v>61</v>
      </c>
      <c r="P44" t="s">
        <v>61</v>
      </c>
      <c r="Q44" t="s">
        <v>61</v>
      </c>
      <c r="R44" t="s">
        <v>61</v>
      </c>
      <c r="S44" t="s">
        <v>61</v>
      </c>
      <c r="T44" t="s">
        <v>61</v>
      </c>
      <c r="U44" t="s">
        <v>61</v>
      </c>
      <c r="V44" t="s">
        <v>61</v>
      </c>
      <c r="W44" t="s">
        <v>61</v>
      </c>
      <c r="X44" t="s">
        <v>61</v>
      </c>
      <c r="Y44" t="s">
        <v>61</v>
      </c>
      <c r="Z44" t="s">
        <v>61</v>
      </c>
      <c r="AA44">
        <v>6</v>
      </c>
      <c r="AB44">
        <v>0</v>
      </c>
      <c r="AC44" t="s">
        <v>61</v>
      </c>
      <c r="AD44">
        <v>180</v>
      </c>
      <c r="AE44" t="s">
        <v>61</v>
      </c>
      <c r="AF44" t="s">
        <v>61</v>
      </c>
      <c r="AG44" t="s">
        <v>61</v>
      </c>
      <c r="AH44" t="s">
        <v>61</v>
      </c>
      <c r="AI44" t="s">
        <v>61</v>
      </c>
      <c r="AJ44" t="s">
        <v>61</v>
      </c>
      <c r="AK44" t="s">
        <v>61</v>
      </c>
      <c r="AL44" t="s">
        <v>61</v>
      </c>
      <c r="AM44" t="s">
        <v>61</v>
      </c>
      <c r="AN44" t="s">
        <v>61</v>
      </c>
      <c r="AO44" t="s">
        <v>61</v>
      </c>
      <c r="AP44" t="s">
        <v>61</v>
      </c>
      <c r="AQ44" t="s">
        <v>61</v>
      </c>
      <c r="AR44" t="s">
        <v>61</v>
      </c>
      <c r="AS44" t="s">
        <v>61</v>
      </c>
      <c r="AT44" t="s">
        <v>61</v>
      </c>
      <c r="AU44" t="s">
        <v>61</v>
      </c>
      <c r="AV44" t="s">
        <v>61</v>
      </c>
      <c r="AW44" t="s">
        <v>1398</v>
      </c>
      <c r="AX44" t="s">
        <v>1345</v>
      </c>
    </row>
    <row r="45" spans="1:50" x14ac:dyDescent="0.3">
      <c r="A45" t="s">
        <v>1188</v>
      </c>
      <c r="B45" t="s">
        <v>280</v>
      </c>
      <c r="C45" t="s">
        <v>40</v>
      </c>
      <c r="D45" t="s">
        <v>40</v>
      </c>
      <c r="E45" t="s">
        <v>1398</v>
      </c>
      <c r="F45" t="s">
        <v>48</v>
      </c>
      <c r="G45" t="s">
        <v>39</v>
      </c>
      <c r="H45" t="s">
        <v>1416</v>
      </c>
      <c r="I45" t="s">
        <v>1203</v>
      </c>
      <c r="J45" t="s">
        <v>1203</v>
      </c>
      <c r="K45" t="s">
        <v>61</v>
      </c>
      <c r="L45" t="s">
        <v>61</v>
      </c>
      <c r="M45" t="s">
        <v>61</v>
      </c>
      <c r="N45" t="s">
        <v>61</v>
      </c>
      <c r="O45" t="s">
        <v>61</v>
      </c>
      <c r="P45" t="s">
        <v>61</v>
      </c>
      <c r="Q45" t="s">
        <v>61</v>
      </c>
      <c r="R45" t="s">
        <v>61</v>
      </c>
      <c r="S45" t="s">
        <v>61</v>
      </c>
      <c r="T45" t="s">
        <v>1398</v>
      </c>
      <c r="U45" t="s">
        <v>61</v>
      </c>
      <c r="V45" t="s">
        <v>61</v>
      </c>
      <c r="W45" t="s">
        <v>61</v>
      </c>
      <c r="X45" t="s">
        <v>61</v>
      </c>
      <c r="Y45" t="s">
        <v>61</v>
      </c>
      <c r="Z45" t="s">
        <v>61</v>
      </c>
      <c r="AA45">
        <v>0</v>
      </c>
      <c r="AB45">
        <v>25</v>
      </c>
      <c r="AC45" t="s">
        <v>61</v>
      </c>
      <c r="AD45">
        <v>25</v>
      </c>
      <c r="AE45" t="s">
        <v>1398</v>
      </c>
      <c r="AF45" t="s">
        <v>1398</v>
      </c>
      <c r="AG45" t="s">
        <v>61</v>
      </c>
      <c r="AH45" t="s">
        <v>61</v>
      </c>
      <c r="AI45" t="s">
        <v>61</v>
      </c>
      <c r="AJ45" t="s">
        <v>61</v>
      </c>
      <c r="AK45" t="s">
        <v>61</v>
      </c>
      <c r="AL45" t="s">
        <v>61</v>
      </c>
      <c r="AM45" t="s">
        <v>61</v>
      </c>
      <c r="AN45" t="s">
        <v>61</v>
      </c>
      <c r="AO45" t="s">
        <v>61</v>
      </c>
      <c r="AP45" t="s">
        <v>61</v>
      </c>
      <c r="AQ45" t="s">
        <v>61</v>
      </c>
      <c r="AR45" t="s">
        <v>61</v>
      </c>
      <c r="AS45" t="s">
        <v>61</v>
      </c>
      <c r="AT45" t="s">
        <v>61</v>
      </c>
      <c r="AU45" t="s">
        <v>61</v>
      </c>
      <c r="AV45" t="s">
        <v>61</v>
      </c>
      <c r="AW45" t="s">
        <v>61</v>
      </c>
      <c r="AX45" t="s">
        <v>61</v>
      </c>
    </row>
    <row r="46" spans="1:50" x14ac:dyDescent="0.3">
      <c r="A46" t="s">
        <v>1188</v>
      </c>
      <c r="B46" t="s">
        <v>143</v>
      </c>
      <c r="C46" t="s">
        <v>66</v>
      </c>
      <c r="D46" t="s">
        <v>1324</v>
      </c>
      <c r="E46" t="s">
        <v>1398</v>
      </c>
      <c r="F46" t="s">
        <v>48</v>
      </c>
      <c r="G46" t="s">
        <v>39</v>
      </c>
      <c r="H46" t="s">
        <v>1416</v>
      </c>
      <c r="I46" t="s">
        <v>1193</v>
      </c>
      <c r="J46" t="s">
        <v>162</v>
      </c>
      <c r="K46" t="s">
        <v>61</v>
      </c>
      <c r="L46" t="s">
        <v>61</v>
      </c>
      <c r="M46" t="s">
        <v>61</v>
      </c>
      <c r="N46" t="s">
        <v>61</v>
      </c>
      <c r="O46" t="s">
        <v>61</v>
      </c>
      <c r="P46" t="s">
        <v>61</v>
      </c>
      <c r="Q46" t="s">
        <v>61</v>
      </c>
      <c r="R46" t="s">
        <v>61</v>
      </c>
      <c r="S46" t="s">
        <v>61</v>
      </c>
      <c r="T46" t="s">
        <v>1398</v>
      </c>
      <c r="U46" t="s">
        <v>61</v>
      </c>
      <c r="V46" t="s">
        <v>61</v>
      </c>
      <c r="W46" t="s">
        <v>61</v>
      </c>
      <c r="X46" t="s">
        <v>1398</v>
      </c>
      <c r="Y46" t="s">
        <v>61</v>
      </c>
      <c r="Z46" t="s">
        <v>61</v>
      </c>
      <c r="AA46">
        <v>0</v>
      </c>
      <c r="AB46">
        <v>12</v>
      </c>
      <c r="AC46" t="s">
        <v>61</v>
      </c>
      <c r="AD46">
        <v>12</v>
      </c>
      <c r="AE46" t="s">
        <v>61</v>
      </c>
      <c r="AF46" t="s">
        <v>61</v>
      </c>
      <c r="AG46" t="s">
        <v>61</v>
      </c>
      <c r="AH46" t="s">
        <v>61</v>
      </c>
      <c r="AI46" t="s">
        <v>61</v>
      </c>
      <c r="AJ46" t="s">
        <v>61</v>
      </c>
      <c r="AK46" t="s">
        <v>61</v>
      </c>
      <c r="AL46" t="s">
        <v>61</v>
      </c>
      <c r="AM46" t="s">
        <v>61</v>
      </c>
      <c r="AN46" t="s">
        <v>1398</v>
      </c>
      <c r="AO46" t="s">
        <v>61</v>
      </c>
      <c r="AP46" t="s">
        <v>61</v>
      </c>
      <c r="AQ46" t="s">
        <v>61</v>
      </c>
      <c r="AR46" t="s">
        <v>61</v>
      </c>
      <c r="AS46" t="s">
        <v>61</v>
      </c>
      <c r="AT46" t="s">
        <v>61</v>
      </c>
      <c r="AU46" t="s">
        <v>61</v>
      </c>
      <c r="AV46" t="s">
        <v>61</v>
      </c>
      <c r="AW46" t="s">
        <v>61</v>
      </c>
      <c r="AX46" t="s">
        <v>61</v>
      </c>
    </row>
    <row r="47" spans="1:50" x14ac:dyDescent="0.3">
      <c r="A47" t="s">
        <v>1188</v>
      </c>
      <c r="B47" t="s">
        <v>143</v>
      </c>
      <c r="C47" t="s">
        <v>66</v>
      </c>
      <c r="D47" t="s">
        <v>1325</v>
      </c>
      <c r="E47" t="s">
        <v>61</v>
      </c>
      <c r="F47" t="s">
        <v>74</v>
      </c>
      <c r="G47" t="s">
        <v>39</v>
      </c>
      <c r="H47" t="s">
        <v>1415</v>
      </c>
      <c r="I47" t="s">
        <v>1192</v>
      </c>
      <c r="J47" t="s">
        <v>162</v>
      </c>
      <c r="K47" t="s">
        <v>61</v>
      </c>
      <c r="L47" t="s">
        <v>61</v>
      </c>
      <c r="M47" t="s">
        <v>61</v>
      </c>
      <c r="N47" t="s">
        <v>61</v>
      </c>
      <c r="O47" t="s">
        <v>61</v>
      </c>
      <c r="P47" t="s">
        <v>61</v>
      </c>
      <c r="Q47" t="s">
        <v>61</v>
      </c>
      <c r="R47" t="s">
        <v>61</v>
      </c>
      <c r="S47" t="s">
        <v>61</v>
      </c>
      <c r="T47" t="s">
        <v>61</v>
      </c>
      <c r="U47" t="s">
        <v>61</v>
      </c>
      <c r="V47" t="s">
        <v>61</v>
      </c>
      <c r="W47" t="s">
        <v>61</v>
      </c>
      <c r="X47" t="s">
        <v>61</v>
      </c>
      <c r="Y47" t="s">
        <v>61</v>
      </c>
      <c r="Z47" t="s">
        <v>61</v>
      </c>
      <c r="AA47">
        <v>5</v>
      </c>
      <c r="AB47">
        <v>7</v>
      </c>
      <c r="AC47" t="s">
        <v>61</v>
      </c>
      <c r="AD47">
        <v>157</v>
      </c>
      <c r="AE47" t="s">
        <v>61</v>
      </c>
      <c r="AF47" t="s">
        <v>61</v>
      </c>
      <c r="AG47" t="s">
        <v>61</v>
      </c>
      <c r="AH47" t="s">
        <v>61</v>
      </c>
      <c r="AI47" t="s">
        <v>61</v>
      </c>
      <c r="AJ47" t="s">
        <v>61</v>
      </c>
      <c r="AK47" t="s">
        <v>61</v>
      </c>
      <c r="AL47" t="s">
        <v>61</v>
      </c>
      <c r="AM47" t="s">
        <v>61</v>
      </c>
      <c r="AN47" t="s">
        <v>61</v>
      </c>
      <c r="AO47" t="s">
        <v>61</v>
      </c>
      <c r="AP47" t="s">
        <v>61</v>
      </c>
      <c r="AQ47" t="s">
        <v>61</v>
      </c>
      <c r="AR47" t="s">
        <v>61</v>
      </c>
      <c r="AS47" t="s">
        <v>61</v>
      </c>
      <c r="AT47" t="s">
        <v>61</v>
      </c>
      <c r="AU47" t="s">
        <v>61</v>
      </c>
      <c r="AV47" t="s">
        <v>61</v>
      </c>
      <c r="AW47" t="s">
        <v>1398</v>
      </c>
      <c r="AX47" t="s">
        <v>1346</v>
      </c>
    </row>
    <row r="48" spans="1:50" x14ac:dyDescent="0.3">
      <c r="A48" t="s">
        <v>1188</v>
      </c>
      <c r="B48" t="s">
        <v>1123</v>
      </c>
      <c r="C48" t="s">
        <v>40</v>
      </c>
      <c r="D48" t="s">
        <v>40</v>
      </c>
      <c r="E48" t="s">
        <v>1398</v>
      </c>
      <c r="F48" t="s">
        <v>48</v>
      </c>
      <c r="G48" t="s">
        <v>89</v>
      </c>
      <c r="H48" t="s">
        <v>1416</v>
      </c>
      <c r="I48" t="s">
        <v>1203</v>
      </c>
      <c r="J48" t="s">
        <v>1203</v>
      </c>
      <c r="K48" t="s">
        <v>61</v>
      </c>
      <c r="L48" t="s">
        <v>61</v>
      </c>
      <c r="M48" t="s">
        <v>61</v>
      </c>
      <c r="N48" t="s">
        <v>61</v>
      </c>
      <c r="O48" t="s">
        <v>61</v>
      </c>
      <c r="P48" t="s">
        <v>61</v>
      </c>
      <c r="Q48" t="s">
        <v>61</v>
      </c>
      <c r="R48" t="s">
        <v>61</v>
      </c>
      <c r="S48" t="s">
        <v>61</v>
      </c>
      <c r="T48" t="s">
        <v>61</v>
      </c>
      <c r="U48" t="s">
        <v>61</v>
      </c>
      <c r="V48" t="s">
        <v>1398</v>
      </c>
      <c r="W48" t="s">
        <v>61</v>
      </c>
      <c r="X48" t="s">
        <v>61</v>
      </c>
      <c r="Y48" t="s">
        <v>61</v>
      </c>
      <c r="Z48" t="s">
        <v>61</v>
      </c>
      <c r="AA48">
        <v>0</v>
      </c>
      <c r="AB48">
        <v>18</v>
      </c>
      <c r="AC48" t="s">
        <v>61</v>
      </c>
      <c r="AD48">
        <v>18</v>
      </c>
      <c r="AE48" t="s">
        <v>1398</v>
      </c>
      <c r="AF48" t="s">
        <v>1398</v>
      </c>
      <c r="AG48" t="s">
        <v>61</v>
      </c>
      <c r="AH48" t="s">
        <v>61</v>
      </c>
      <c r="AI48" t="s">
        <v>61</v>
      </c>
      <c r="AJ48" t="s">
        <v>61</v>
      </c>
      <c r="AK48" t="s">
        <v>61</v>
      </c>
      <c r="AL48" t="s">
        <v>61</v>
      </c>
      <c r="AM48" t="s">
        <v>61</v>
      </c>
      <c r="AN48" t="s">
        <v>61</v>
      </c>
      <c r="AO48" t="s">
        <v>61</v>
      </c>
      <c r="AP48" t="s">
        <v>1398</v>
      </c>
      <c r="AQ48" t="s">
        <v>61</v>
      </c>
      <c r="AR48" t="s">
        <v>61</v>
      </c>
      <c r="AS48" t="s">
        <v>61</v>
      </c>
      <c r="AT48" t="s">
        <v>61</v>
      </c>
      <c r="AU48" t="s">
        <v>61</v>
      </c>
      <c r="AV48" t="s">
        <v>61</v>
      </c>
      <c r="AW48" t="s">
        <v>61</v>
      </c>
      <c r="AX48" t="s">
        <v>61</v>
      </c>
    </row>
    <row r="49" spans="1:50" x14ac:dyDescent="0.3">
      <c r="A49" t="s">
        <v>1188</v>
      </c>
      <c r="B49" t="s">
        <v>216</v>
      </c>
      <c r="C49" t="s">
        <v>66</v>
      </c>
      <c r="D49" t="s">
        <v>65</v>
      </c>
      <c r="E49" t="s">
        <v>1398</v>
      </c>
      <c r="F49" t="s">
        <v>74</v>
      </c>
      <c r="G49" t="s">
        <v>89</v>
      </c>
      <c r="H49" t="s">
        <v>1416</v>
      </c>
      <c r="I49" t="s">
        <v>1193</v>
      </c>
      <c r="J49" t="s">
        <v>1193</v>
      </c>
      <c r="K49" t="s">
        <v>61</v>
      </c>
      <c r="L49" t="s">
        <v>61</v>
      </c>
      <c r="M49" t="s">
        <v>61</v>
      </c>
      <c r="N49" t="s">
        <v>61</v>
      </c>
      <c r="O49" t="s">
        <v>61</v>
      </c>
      <c r="P49" t="s">
        <v>61</v>
      </c>
      <c r="Q49" t="s">
        <v>61</v>
      </c>
      <c r="R49" t="s">
        <v>61</v>
      </c>
      <c r="S49" t="s">
        <v>1398</v>
      </c>
      <c r="T49" t="s">
        <v>61</v>
      </c>
      <c r="U49" t="s">
        <v>61</v>
      </c>
      <c r="V49" t="s">
        <v>61</v>
      </c>
      <c r="W49" t="s">
        <v>61</v>
      </c>
      <c r="X49" t="s">
        <v>61</v>
      </c>
      <c r="Y49" t="s">
        <v>61</v>
      </c>
      <c r="Z49" t="s">
        <v>61</v>
      </c>
      <c r="AA49">
        <v>0</v>
      </c>
      <c r="AB49">
        <v>3</v>
      </c>
      <c r="AC49" t="s">
        <v>61</v>
      </c>
      <c r="AD49">
        <v>3</v>
      </c>
      <c r="AE49" t="s">
        <v>1398</v>
      </c>
      <c r="AF49" t="s">
        <v>1398</v>
      </c>
      <c r="AG49" t="s">
        <v>61</v>
      </c>
      <c r="AH49" t="s">
        <v>61</v>
      </c>
      <c r="AI49" t="s">
        <v>61</v>
      </c>
      <c r="AJ49" t="s">
        <v>61</v>
      </c>
      <c r="AK49" t="s">
        <v>61</v>
      </c>
      <c r="AL49" t="s">
        <v>61</v>
      </c>
      <c r="AM49" t="s">
        <v>61</v>
      </c>
      <c r="AN49" t="s">
        <v>61</v>
      </c>
      <c r="AO49" t="s">
        <v>1398</v>
      </c>
      <c r="AP49" t="s">
        <v>61</v>
      </c>
      <c r="AQ49" t="s">
        <v>61</v>
      </c>
      <c r="AR49" t="s">
        <v>61</v>
      </c>
      <c r="AS49" t="s">
        <v>61</v>
      </c>
      <c r="AT49" t="s">
        <v>61</v>
      </c>
      <c r="AU49" t="s">
        <v>61</v>
      </c>
      <c r="AV49" t="s">
        <v>61</v>
      </c>
      <c r="AW49" t="s">
        <v>61</v>
      </c>
      <c r="AX49" t="s">
        <v>61</v>
      </c>
    </row>
    <row r="50" spans="1:50" x14ac:dyDescent="0.3">
      <c r="A50" t="s">
        <v>1188</v>
      </c>
      <c r="B50" t="s">
        <v>371</v>
      </c>
      <c r="C50" t="s">
        <v>66</v>
      </c>
      <c r="D50" t="s">
        <v>1239</v>
      </c>
      <c r="E50" t="s">
        <v>61</v>
      </c>
      <c r="F50" t="s">
        <v>48</v>
      </c>
      <c r="G50" t="s">
        <v>89</v>
      </c>
      <c r="H50" t="s">
        <v>1416</v>
      </c>
      <c r="I50" t="s">
        <v>1203</v>
      </c>
      <c r="J50" t="s">
        <v>162</v>
      </c>
      <c r="K50" t="s">
        <v>61</v>
      </c>
      <c r="L50" t="s">
        <v>61</v>
      </c>
      <c r="M50" t="s">
        <v>61</v>
      </c>
      <c r="N50" t="s">
        <v>61</v>
      </c>
      <c r="O50" t="s">
        <v>61</v>
      </c>
      <c r="P50" t="s">
        <v>61</v>
      </c>
      <c r="Q50" t="s">
        <v>61</v>
      </c>
      <c r="R50" t="s">
        <v>61</v>
      </c>
      <c r="S50" t="s">
        <v>61</v>
      </c>
      <c r="T50" t="s">
        <v>61</v>
      </c>
      <c r="U50" t="s">
        <v>61</v>
      </c>
      <c r="V50" t="s">
        <v>61</v>
      </c>
      <c r="W50" t="s">
        <v>61</v>
      </c>
      <c r="X50" t="s">
        <v>61</v>
      </c>
      <c r="Y50" t="s">
        <v>61</v>
      </c>
      <c r="Z50" t="s">
        <v>61</v>
      </c>
      <c r="AA50">
        <v>0</v>
      </c>
      <c r="AB50">
        <v>25</v>
      </c>
      <c r="AC50" t="s">
        <v>61</v>
      </c>
      <c r="AD50">
        <v>25</v>
      </c>
      <c r="AE50" t="s">
        <v>61</v>
      </c>
      <c r="AF50" t="s">
        <v>61</v>
      </c>
      <c r="AG50" t="s">
        <v>61</v>
      </c>
      <c r="AH50" t="s">
        <v>61</v>
      </c>
      <c r="AI50" t="s">
        <v>61</v>
      </c>
      <c r="AJ50" t="s">
        <v>61</v>
      </c>
      <c r="AK50" t="s">
        <v>61</v>
      </c>
      <c r="AL50" t="s">
        <v>61</v>
      </c>
      <c r="AM50" t="s">
        <v>61</v>
      </c>
      <c r="AN50" t="s">
        <v>61</v>
      </c>
      <c r="AO50" t="s">
        <v>61</v>
      </c>
      <c r="AP50" t="s">
        <v>61</v>
      </c>
      <c r="AQ50" t="s">
        <v>61</v>
      </c>
      <c r="AR50" t="s">
        <v>61</v>
      </c>
      <c r="AS50" t="s">
        <v>61</v>
      </c>
      <c r="AT50" t="s">
        <v>61</v>
      </c>
      <c r="AU50" t="s">
        <v>61</v>
      </c>
      <c r="AV50" t="s">
        <v>61</v>
      </c>
      <c r="AW50" t="s">
        <v>1398</v>
      </c>
      <c r="AX50" t="s">
        <v>1404</v>
      </c>
    </row>
    <row r="51" spans="1:50" x14ac:dyDescent="0.3">
      <c r="A51" t="s">
        <v>1188</v>
      </c>
      <c r="B51" t="s">
        <v>37</v>
      </c>
      <c r="C51" t="s">
        <v>66</v>
      </c>
      <c r="D51" t="s">
        <v>462</v>
      </c>
      <c r="E51" t="s">
        <v>1398</v>
      </c>
      <c r="F51" t="s">
        <v>48</v>
      </c>
      <c r="G51" t="s">
        <v>39</v>
      </c>
      <c r="H51" t="s">
        <v>1416</v>
      </c>
      <c r="I51" t="s">
        <v>1193</v>
      </c>
      <c r="J51" t="s">
        <v>1193</v>
      </c>
      <c r="K51" t="s">
        <v>61</v>
      </c>
      <c r="L51" t="s">
        <v>61</v>
      </c>
      <c r="M51" t="s">
        <v>61</v>
      </c>
      <c r="N51" t="s">
        <v>61</v>
      </c>
      <c r="O51" t="s">
        <v>61</v>
      </c>
      <c r="P51" t="s">
        <v>61</v>
      </c>
      <c r="Q51" t="s">
        <v>61</v>
      </c>
      <c r="R51" t="s">
        <v>61</v>
      </c>
      <c r="S51" t="s">
        <v>61</v>
      </c>
      <c r="T51" t="s">
        <v>1398</v>
      </c>
      <c r="U51" t="s">
        <v>61</v>
      </c>
      <c r="V51" t="s">
        <v>61</v>
      </c>
      <c r="W51" t="s">
        <v>61</v>
      </c>
      <c r="X51" t="s">
        <v>61</v>
      </c>
      <c r="Y51" t="s">
        <v>61</v>
      </c>
      <c r="Z51" t="s">
        <v>61</v>
      </c>
      <c r="AA51">
        <v>0</v>
      </c>
      <c r="AB51">
        <v>14</v>
      </c>
      <c r="AC51" t="s">
        <v>61</v>
      </c>
      <c r="AD51">
        <v>14</v>
      </c>
      <c r="AE51" t="s">
        <v>1398</v>
      </c>
      <c r="AF51" t="s">
        <v>1398</v>
      </c>
      <c r="AG51" t="s">
        <v>61</v>
      </c>
      <c r="AH51" t="s">
        <v>61</v>
      </c>
      <c r="AI51" t="s">
        <v>61</v>
      </c>
      <c r="AJ51" t="s">
        <v>61</v>
      </c>
      <c r="AK51" t="s">
        <v>61</v>
      </c>
      <c r="AL51" t="s">
        <v>61</v>
      </c>
      <c r="AM51" t="s">
        <v>61</v>
      </c>
      <c r="AN51" t="s">
        <v>61</v>
      </c>
      <c r="AO51" t="s">
        <v>61</v>
      </c>
      <c r="AP51" t="s">
        <v>61</v>
      </c>
      <c r="AQ51" t="s">
        <v>61</v>
      </c>
      <c r="AR51" t="s">
        <v>61</v>
      </c>
      <c r="AS51" t="s">
        <v>61</v>
      </c>
      <c r="AT51" t="s">
        <v>61</v>
      </c>
      <c r="AU51" t="s">
        <v>61</v>
      </c>
      <c r="AV51" t="s">
        <v>61</v>
      </c>
      <c r="AW51" t="s">
        <v>61</v>
      </c>
      <c r="AX51" t="s">
        <v>61</v>
      </c>
    </row>
    <row r="52" spans="1:50" x14ac:dyDescent="0.3">
      <c r="A52" t="s">
        <v>1188</v>
      </c>
      <c r="B52" t="s">
        <v>216</v>
      </c>
      <c r="C52" t="s">
        <v>66</v>
      </c>
      <c r="D52" t="s">
        <v>594</v>
      </c>
      <c r="E52" t="s">
        <v>1398</v>
      </c>
      <c r="F52" t="s">
        <v>48</v>
      </c>
      <c r="G52" t="s">
        <v>89</v>
      </c>
      <c r="H52" t="s">
        <v>1416</v>
      </c>
      <c r="I52" t="s">
        <v>1350</v>
      </c>
      <c r="J52" t="s">
        <v>1350</v>
      </c>
      <c r="K52" t="s">
        <v>1398</v>
      </c>
      <c r="L52" t="s">
        <v>61</v>
      </c>
      <c r="M52" t="s">
        <v>1398</v>
      </c>
      <c r="N52" t="s">
        <v>61</v>
      </c>
      <c r="O52" t="s">
        <v>61</v>
      </c>
      <c r="P52" t="s">
        <v>61</v>
      </c>
      <c r="Q52" t="s">
        <v>61</v>
      </c>
      <c r="R52" t="s">
        <v>61</v>
      </c>
      <c r="S52" t="s">
        <v>61</v>
      </c>
      <c r="T52" t="s">
        <v>1398</v>
      </c>
      <c r="U52" t="s">
        <v>61</v>
      </c>
      <c r="V52" t="s">
        <v>61</v>
      </c>
      <c r="W52" t="s">
        <v>61</v>
      </c>
      <c r="X52" t="s">
        <v>61</v>
      </c>
      <c r="Y52" t="s">
        <v>61</v>
      </c>
      <c r="Z52" t="s">
        <v>61</v>
      </c>
      <c r="AA52">
        <v>0</v>
      </c>
      <c r="AB52">
        <v>1</v>
      </c>
      <c r="AC52" t="s">
        <v>61</v>
      </c>
      <c r="AD52">
        <v>1</v>
      </c>
      <c r="AE52" t="s">
        <v>61</v>
      </c>
      <c r="AF52" t="s">
        <v>61</v>
      </c>
      <c r="AG52" t="s">
        <v>61</v>
      </c>
      <c r="AH52" t="s">
        <v>61</v>
      </c>
      <c r="AI52" t="s">
        <v>61</v>
      </c>
      <c r="AJ52" t="s">
        <v>61</v>
      </c>
      <c r="AK52" t="s">
        <v>61</v>
      </c>
      <c r="AL52" t="s">
        <v>61</v>
      </c>
      <c r="AM52" t="s">
        <v>61</v>
      </c>
      <c r="AN52" t="s">
        <v>61</v>
      </c>
      <c r="AO52" t="s">
        <v>1398</v>
      </c>
      <c r="AP52" t="s">
        <v>61</v>
      </c>
      <c r="AQ52" t="s">
        <v>61</v>
      </c>
      <c r="AR52" t="s">
        <v>61</v>
      </c>
      <c r="AS52" t="s">
        <v>61</v>
      </c>
      <c r="AT52" t="s">
        <v>61</v>
      </c>
      <c r="AU52" t="s">
        <v>61</v>
      </c>
      <c r="AV52" t="s">
        <v>61</v>
      </c>
      <c r="AW52" t="s">
        <v>61</v>
      </c>
      <c r="AX52" t="s">
        <v>61</v>
      </c>
    </row>
    <row r="53" spans="1:50" x14ac:dyDescent="0.3">
      <c r="A53" t="s">
        <v>1188</v>
      </c>
      <c r="B53" t="s">
        <v>1055</v>
      </c>
      <c r="C53" t="s">
        <v>66</v>
      </c>
      <c r="D53" t="s">
        <v>1323</v>
      </c>
      <c r="E53" t="s">
        <v>1398</v>
      </c>
      <c r="F53" t="s">
        <v>48</v>
      </c>
      <c r="G53" t="s">
        <v>39</v>
      </c>
      <c r="H53" t="s">
        <v>1415</v>
      </c>
      <c r="I53" t="s">
        <v>1193</v>
      </c>
      <c r="J53" t="s">
        <v>1203</v>
      </c>
      <c r="K53" t="s">
        <v>1398</v>
      </c>
      <c r="L53" t="s">
        <v>61</v>
      </c>
      <c r="M53" t="s">
        <v>61</v>
      </c>
      <c r="N53" t="s">
        <v>61</v>
      </c>
      <c r="O53" t="s">
        <v>61</v>
      </c>
      <c r="P53" t="s">
        <v>61</v>
      </c>
      <c r="Q53" t="s">
        <v>61</v>
      </c>
      <c r="R53" t="s">
        <v>61</v>
      </c>
      <c r="S53" t="s">
        <v>61</v>
      </c>
      <c r="T53" t="s">
        <v>1398</v>
      </c>
      <c r="U53" t="s">
        <v>61</v>
      </c>
      <c r="V53" t="s">
        <v>61</v>
      </c>
      <c r="W53" t="s">
        <v>61</v>
      </c>
      <c r="X53" t="s">
        <v>61</v>
      </c>
      <c r="Y53" t="s">
        <v>61</v>
      </c>
      <c r="Z53" t="s">
        <v>61</v>
      </c>
      <c r="AA53">
        <v>1</v>
      </c>
      <c r="AB53">
        <v>19</v>
      </c>
      <c r="AC53" t="s">
        <v>61</v>
      </c>
      <c r="AD53">
        <v>49</v>
      </c>
      <c r="AE53" t="s">
        <v>61</v>
      </c>
      <c r="AF53" t="s">
        <v>61</v>
      </c>
      <c r="AG53" t="s">
        <v>61</v>
      </c>
      <c r="AH53" t="s">
        <v>61</v>
      </c>
      <c r="AI53" t="s">
        <v>61</v>
      </c>
      <c r="AJ53" t="s">
        <v>61</v>
      </c>
      <c r="AK53" t="s">
        <v>1398</v>
      </c>
      <c r="AL53" t="s">
        <v>61</v>
      </c>
      <c r="AM53" t="s">
        <v>61</v>
      </c>
      <c r="AN53" t="s">
        <v>61</v>
      </c>
      <c r="AO53" t="s">
        <v>61</v>
      </c>
      <c r="AP53" t="s">
        <v>61</v>
      </c>
      <c r="AQ53" t="s">
        <v>1398</v>
      </c>
      <c r="AR53" t="s">
        <v>61</v>
      </c>
      <c r="AS53" t="s">
        <v>61</v>
      </c>
      <c r="AT53" t="s">
        <v>61</v>
      </c>
      <c r="AU53" t="s">
        <v>61</v>
      </c>
      <c r="AV53" t="s">
        <v>61</v>
      </c>
      <c r="AW53" t="s">
        <v>61</v>
      </c>
      <c r="AX53" t="s">
        <v>61</v>
      </c>
    </row>
    <row r="54" spans="1:50" x14ac:dyDescent="0.3">
      <c r="A54" t="s">
        <v>1188</v>
      </c>
      <c r="B54" t="s">
        <v>371</v>
      </c>
      <c r="C54" t="s">
        <v>40</v>
      </c>
      <c r="D54" t="s">
        <v>40</v>
      </c>
      <c r="E54" t="s">
        <v>1398</v>
      </c>
      <c r="F54" t="s">
        <v>48</v>
      </c>
      <c r="G54" t="s">
        <v>89</v>
      </c>
      <c r="H54" t="s">
        <v>1416</v>
      </c>
      <c r="I54" t="s">
        <v>1203</v>
      </c>
      <c r="J54" t="s">
        <v>1203</v>
      </c>
      <c r="K54" t="s">
        <v>61</v>
      </c>
      <c r="L54" t="s">
        <v>61</v>
      </c>
      <c r="M54" t="s">
        <v>61</v>
      </c>
      <c r="N54" t="s">
        <v>61</v>
      </c>
      <c r="O54" t="s">
        <v>61</v>
      </c>
      <c r="P54" t="s">
        <v>61</v>
      </c>
      <c r="Q54" t="s">
        <v>61</v>
      </c>
      <c r="R54" t="s">
        <v>61</v>
      </c>
      <c r="S54" t="s">
        <v>61</v>
      </c>
      <c r="T54" t="s">
        <v>1398</v>
      </c>
      <c r="U54" t="s">
        <v>61</v>
      </c>
      <c r="V54" t="s">
        <v>61</v>
      </c>
      <c r="W54" t="s">
        <v>61</v>
      </c>
      <c r="X54" t="s">
        <v>61</v>
      </c>
      <c r="Y54" t="s">
        <v>61</v>
      </c>
      <c r="Z54" t="s">
        <v>61</v>
      </c>
      <c r="AA54">
        <v>0</v>
      </c>
      <c r="AB54">
        <v>22</v>
      </c>
      <c r="AC54" t="s">
        <v>61</v>
      </c>
      <c r="AD54">
        <v>22</v>
      </c>
      <c r="AE54" t="s">
        <v>61</v>
      </c>
      <c r="AF54" t="s">
        <v>61</v>
      </c>
      <c r="AG54" t="s">
        <v>61</v>
      </c>
      <c r="AH54" t="s">
        <v>61</v>
      </c>
      <c r="AI54" t="s">
        <v>61</v>
      </c>
      <c r="AJ54" t="s">
        <v>61</v>
      </c>
      <c r="AK54" t="s">
        <v>61</v>
      </c>
      <c r="AL54" t="s">
        <v>61</v>
      </c>
      <c r="AM54" t="s">
        <v>61</v>
      </c>
      <c r="AN54" t="s">
        <v>61</v>
      </c>
      <c r="AO54" t="s">
        <v>61</v>
      </c>
      <c r="AP54" t="s">
        <v>61</v>
      </c>
      <c r="AQ54" t="s">
        <v>61</v>
      </c>
      <c r="AR54" t="s">
        <v>61</v>
      </c>
      <c r="AS54" t="s">
        <v>61</v>
      </c>
      <c r="AT54" t="s">
        <v>61</v>
      </c>
      <c r="AU54" t="s">
        <v>61</v>
      </c>
      <c r="AV54" t="s">
        <v>61</v>
      </c>
      <c r="AW54" t="s">
        <v>1398</v>
      </c>
      <c r="AX54" t="s">
        <v>1404</v>
      </c>
    </row>
    <row r="55" spans="1:50" x14ac:dyDescent="0.3">
      <c r="A55" t="s">
        <v>1188</v>
      </c>
      <c r="B55" t="s">
        <v>1320</v>
      </c>
      <c r="C55" t="s">
        <v>40</v>
      </c>
      <c r="D55" t="s">
        <v>40</v>
      </c>
      <c r="E55" t="s">
        <v>1398</v>
      </c>
      <c r="F55" t="s">
        <v>48</v>
      </c>
      <c r="G55" t="s">
        <v>39</v>
      </c>
      <c r="H55" t="s">
        <v>1416</v>
      </c>
      <c r="I55" t="s">
        <v>1193</v>
      </c>
      <c r="J55" t="s">
        <v>1193</v>
      </c>
      <c r="K55" t="s">
        <v>61</v>
      </c>
      <c r="L55" t="s">
        <v>61</v>
      </c>
      <c r="M55" t="s">
        <v>61</v>
      </c>
      <c r="N55" t="s">
        <v>61</v>
      </c>
      <c r="O55" t="s">
        <v>61</v>
      </c>
      <c r="P55" t="s">
        <v>61</v>
      </c>
      <c r="Q55" t="s">
        <v>1398</v>
      </c>
      <c r="R55" t="s">
        <v>61</v>
      </c>
      <c r="S55" t="s">
        <v>61</v>
      </c>
      <c r="T55" t="s">
        <v>61</v>
      </c>
      <c r="U55" t="s">
        <v>61</v>
      </c>
      <c r="V55" t="s">
        <v>61</v>
      </c>
      <c r="W55" t="s">
        <v>61</v>
      </c>
      <c r="X55" t="s">
        <v>61</v>
      </c>
      <c r="Y55" t="s">
        <v>61</v>
      </c>
      <c r="Z55" t="s">
        <v>61</v>
      </c>
      <c r="AA55">
        <v>0</v>
      </c>
      <c r="AB55">
        <v>5</v>
      </c>
      <c r="AC55" t="s">
        <v>61</v>
      </c>
      <c r="AD55">
        <v>5</v>
      </c>
      <c r="AE55" t="s">
        <v>1398</v>
      </c>
      <c r="AF55" t="s">
        <v>61</v>
      </c>
      <c r="AG55" t="s">
        <v>61</v>
      </c>
      <c r="AH55" t="s">
        <v>1398</v>
      </c>
      <c r="AI55" t="s">
        <v>61</v>
      </c>
      <c r="AJ55" t="s">
        <v>61</v>
      </c>
      <c r="AK55" t="s">
        <v>61</v>
      </c>
      <c r="AL55" t="s">
        <v>61</v>
      </c>
      <c r="AM55" t="s">
        <v>61</v>
      </c>
      <c r="AN55" t="s">
        <v>61</v>
      </c>
      <c r="AO55" t="s">
        <v>1398</v>
      </c>
      <c r="AP55" t="s">
        <v>61</v>
      </c>
      <c r="AQ55" t="s">
        <v>61</v>
      </c>
      <c r="AR55" t="s">
        <v>61</v>
      </c>
      <c r="AS55" t="s">
        <v>61</v>
      </c>
      <c r="AT55" t="s">
        <v>61</v>
      </c>
      <c r="AU55" t="s">
        <v>61</v>
      </c>
      <c r="AV55" t="s">
        <v>61</v>
      </c>
      <c r="AW55" t="s">
        <v>61</v>
      </c>
      <c r="AX55" t="s">
        <v>61</v>
      </c>
    </row>
    <row r="56" spans="1:50" x14ac:dyDescent="0.3">
      <c r="A56" t="s">
        <v>1188</v>
      </c>
      <c r="B56" t="s">
        <v>1321</v>
      </c>
      <c r="C56" t="s">
        <v>66</v>
      </c>
      <c r="D56" t="s">
        <v>462</v>
      </c>
      <c r="E56" t="s">
        <v>1398</v>
      </c>
      <c r="F56" t="s">
        <v>48</v>
      </c>
      <c r="G56" t="s">
        <v>89</v>
      </c>
      <c r="H56" t="s">
        <v>1415</v>
      </c>
      <c r="I56" t="s">
        <v>1193</v>
      </c>
      <c r="J56" t="s">
        <v>1193</v>
      </c>
      <c r="K56" t="s">
        <v>61</v>
      </c>
      <c r="L56" t="s">
        <v>61</v>
      </c>
      <c r="M56" t="s">
        <v>61</v>
      </c>
      <c r="N56" t="s">
        <v>61</v>
      </c>
      <c r="O56" t="s">
        <v>61</v>
      </c>
      <c r="P56" t="s">
        <v>61</v>
      </c>
      <c r="Q56" t="s">
        <v>61</v>
      </c>
      <c r="R56" t="s">
        <v>61</v>
      </c>
      <c r="S56" t="s">
        <v>1398</v>
      </c>
      <c r="T56" t="s">
        <v>61</v>
      </c>
      <c r="U56" t="s">
        <v>61</v>
      </c>
      <c r="V56" t="s">
        <v>61</v>
      </c>
      <c r="W56" t="s">
        <v>61</v>
      </c>
      <c r="X56" t="s">
        <v>61</v>
      </c>
      <c r="Y56" t="s">
        <v>61</v>
      </c>
      <c r="Z56" t="s">
        <v>61</v>
      </c>
      <c r="AA56">
        <v>11</v>
      </c>
      <c r="AB56">
        <v>0</v>
      </c>
      <c r="AC56" t="s">
        <v>61</v>
      </c>
      <c r="AD56">
        <v>330</v>
      </c>
      <c r="AE56" t="s">
        <v>61</v>
      </c>
      <c r="AF56" t="s">
        <v>61</v>
      </c>
      <c r="AG56" t="s">
        <v>61</v>
      </c>
      <c r="AH56" t="s">
        <v>61</v>
      </c>
      <c r="AI56" t="s">
        <v>61</v>
      </c>
      <c r="AJ56" t="s">
        <v>61</v>
      </c>
      <c r="AK56" t="s">
        <v>61</v>
      </c>
      <c r="AL56" t="s">
        <v>61</v>
      </c>
      <c r="AM56" t="s">
        <v>61</v>
      </c>
      <c r="AN56" t="s">
        <v>61</v>
      </c>
      <c r="AO56" t="s">
        <v>61</v>
      </c>
      <c r="AP56" t="s">
        <v>61</v>
      </c>
      <c r="AQ56" t="s">
        <v>61</v>
      </c>
      <c r="AR56" t="s">
        <v>61</v>
      </c>
      <c r="AS56" t="s">
        <v>61</v>
      </c>
      <c r="AT56" t="s">
        <v>61</v>
      </c>
      <c r="AU56" t="s">
        <v>61</v>
      </c>
      <c r="AV56" t="s">
        <v>61</v>
      </c>
      <c r="AW56" t="s">
        <v>1398</v>
      </c>
      <c r="AX56" t="s">
        <v>1353</v>
      </c>
    </row>
    <row r="57" spans="1:50" x14ac:dyDescent="0.3">
      <c r="A57" t="s">
        <v>1188</v>
      </c>
      <c r="B57" t="s">
        <v>142</v>
      </c>
      <c r="C57" t="s">
        <v>66</v>
      </c>
      <c r="D57" t="s">
        <v>159</v>
      </c>
      <c r="E57" t="s">
        <v>1398</v>
      </c>
      <c r="F57" t="s">
        <v>74</v>
      </c>
      <c r="G57" t="s">
        <v>89</v>
      </c>
      <c r="H57" t="s">
        <v>1415</v>
      </c>
      <c r="I57" t="s">
        <v>1193</v>
      </c>
      <c r="J57" t="s">
        <v>162</v>
      </c>
      <c r="K57" t="s">
        <v>61</v>
      </c>
      <c r="L57" t="s">
        <v>61</v>
      </c>
      <c r="M57" t="s">
        <v>61</v>
      </c>
      <c r="N57" t="s">
        <v>1398</v>
      </c>
      <c r="O57" t="s">
        <v>61</v>
      </c>
      <c r="P57" t="s">
        <v>61</v>
      </c>
      <c r="Q57" t="s">
        <v>61</v>
      </c>
      <c r="R57" t="s">
        <v>1398</v>
      </c>
      <c r="S57" t="s">
        <v>61</v>
      </c>
      <c r="T57" t="s">
        <v>61</v>
      </c>
      <c r="U57" t="s">
        <v>61</v>
      </c>
      <c r="V57" t="s">
        <v>61</v>
      </c>
      <c r="W57" t="s">
        <v>61</v>
      </c>
      <c r="X57" t="s">
        <v>61</v>
      </c>
      <c r="Y57" t="s">
        <v>61</v>
      </c>
      <c r="Z57" t="s">
        <v>61</v>
      </c>
      <c r="AA57">
        <v>4</v>
      </c>
      <c r="AB57">
        <v>2</v>
      </c>
      <c r="AC57" t="s">
        <v>61</v>
      </c>
      <c r="AD57">
        <v>122</v>
      </c>
      <c r="AE57" t="s">
        <v>61</v>
      </c>
      <c r="AF57" t="s">
        <v>61</v>
      </c>
      <c r="AG57" t="s">
        <v>61</v>
      </c>
      <c r="AH57" t="s">
        <v>1398</v>
      </c>
      <c r="AI57" t="s">
        <v>61</v>
      </c>
      <c r="AJ57" t="s">
        <v>61</v>
      </c>
      <c r="AK57" t="s">
        <v>61</v>
      </c>
      <c r="AL57" t="s">
        <v>61</v>
      </c>
      <c r="AM57" t="s">
        <v>61</v>
      </c>
      <c r="AN57" t="s">
        <v>61</v>
      </c>
      <c r="AO57" t="s">
        <v>61</v>
      </c>
      <c r="AP57" t="s">
        <v>61</v>
      </c>
      <c r="AQ57" t="s">
        <v>61</v>
      </c>
      <c r="AR57" t="s">
        <v>61</v>
      </c>
      <c r="AS57" t="s">
        <v>61</v>
      </c>
      <c r="AT57" t="s">
        <v>61</v>
      </c>
      <c r="AU57" t="s">
        <v>61</v>
      </c>
      <c r="AV57" t="s">
        <v>61</v>
      </c>
      <c r="AW57" t="s">
        <v>1398</v>
      </c>
      <c r="AX57" t="s">
        <v>1356</v>
      </c>
    </row>
    <row r="58" spans="1:50" x14ac:dyDescent="0.3">
      <c r="A58" t="s">
        <v>1188</v>
      </c>
      <c r="B58" t="s">
        <v>1123</v>
      </c>
      <c r="C58" t="s">
        <v>40</v>
      </c>
      <c r="D58" t="s">
        <v>40</v>
      </c>
      <c r="E58" t="s">
        <v>1398</v>
      </c>
      <c r="F58" t="s">
        <v>74</v>
      </c>
      <c r="G58" t="s">
        <v>89</v>
      </c>
      <c r="H58" t="s">
        <v>1415</v>
      </c>
      <c r="I58" t="s">
        <v>1192</v>
      </c>
      <c r="J58" t="s">
        <v>162</v>
      </c>
      <c r="K58" t="s">
        <v>61</v>
      </c>
      <c r="L58" t="s">
        <v>61</v>
      </c>
      <c r="M58" t="s">
        <v>61</v>
      </c>
      <c r="N58" t="s">
        <v>61</v>
      </c>
      <c r="O58" t="s">
        <v>61</v>
      </c>
      <c r="P58" t="s">
        <v>61</v>
      </c>
      <c r="Q58" t="s">
        <v>1398</v>
      </c>
      <c r="R58" t="s">
        <v>61</v>
      </c>
      <c r="S58" t="s">
        <v>61</v>
      </c>
      <c r="T58" t="s">
        <v>61</v>
      </c>
      <c r="U58" t="s">
        <v>61</v>
      </c>
      <c r="V58" t="s">
        <v>61</v>
      </c>
      <c r="W58" t="s">
        <v>61</v>
      </c>
      <c r="X58" t="s">
        <v>61</v>
      </c>
      <c r="Y58" t="s">
        <v>61</v>
      </c>
      <c r="Z58" t="s">
        <v>61</v>
      </c>
      <c r="AA58">
        <v>3</v>
      </c>
      <c r="AB58">
        <v>16</v>
      </c>
      <c r="AC58" t="s">
        <v>61</v>
      </c>
      <c r="AD58">
        <v>106</v>
      </c>
      <c r="AE58" t="s">
        <v>61</v>
      </c>
      <c r="AF58" t="s">
        <v>61</v>
      </c>
      <c r="AG58" t="s">
        <v>61</v>
      </c>
      <c r="AH58" t="s">
        <v>61</v>
      </c>
      <c r="AI58" t="s">
        <v>61</v>
      </c>
      <c r="AJ58" t="s">
        <v>61</v>
      </c>
      <c r="AK58" t="s">
        <v>61</v>
      </c>
      <c r="AL58" t="s">
        <v>61</v>
      </c>
      <c r="AM58" t="s">
        <v>61</v>
      </c>
      <c r="AN58" t="s">
        <v>61</v>
      </c>
      <c r="AO58" t="s">
        <v>61</v>
      </c>
      <c r="AP58" t="s">
        <v>61</v>
      </c>
      <c r="AQ58" t="s">
        <v>61</v>
      </c>
      <c r="AR58" t="s">
        <v>61</v>
      </c>
      <c r="AS58" t="s">
        <v>61</v>
      </c>
      <c r="AT58" t="s">
        <v>61</v>
      </c>
      <c r="AU58" t="s">
        <v>1398</v>
      </c>
      <c r="AV58" t="s">
        <v>61</v>
      </c>
      <c r="AW58" t="s">
        <v>1398</v>
      </c>
      <c r="AX58" t="s">
        <v>1410</v>
      </c>
    </row>
    <row r="59" spans="1:50" x14ac:dyDescent="0.3">
      <c r="A59" t="s">
        <v>1188</v>
      </c>
      <c r="B59" t="s">
        <v>747</v>
      </c>
      <c r="C59" t="s">
        <v>66</v>
      </c>
      <c r="D59" t="s">
        <v>462</v>
      </c>
      <c r="E59" t="s">
        <v>1398</v>
      </c>
      <c r="F59" t="s">
        <v>48</v>
      </c>
      <c r="G59" t="s">
        <v>39</v>
      </c>
      <c r="H59" t="s">
        <v>1416</v>
      </c>
      <c r="I59" t="s">
        <v>1368</v>
      </c>
      <c r="J59" t="s">
        <v>1368</v>
      </c>
      <c r="K59" t="s">
        <v>61</v>
      </c>
      <c r="L59" t="s">
        <v>61</v>
      </c>
      <c r="M59" t="s">
        <v>61</v>
      </c>
      <c r="N59" t="s">
        <v>61</v>
      </c>
      <c r="O59" t="s">
        <v>1398</v>
      </c>
      <c r="P59" t="s">
        <v>1398</v>
      </c>
      <c r="Q59" t="s">
        <v>61</v>
      </c>
      <c r="R59" t="s">
        <v>61</v>
      </c>
      <c r="S59" t="s">
        <v>61</v>
      </c>
      <c r="T59" t="s">
        <v>61</v>
      </c>
      <c r="U59" t="s">
        <v>61</v>
      </c>
      <c r="V59" t="s">
        <v>61</v>
      </c>
      <c r="W59" t="s">
        <v>61</v>
      </c>
      <c r="X59" t="s">
        <v>61</v>
      </c>
      <c r="Y59" t="s">
        <v>61</v>
      </c>
      <c r="Z59" t="s">
        <v>61</v>
      </c>
      <c r="AA59">
        <v>0</v>
      </c>
      <c r="AB59">
        <v>15</v>
      </c>
      <c r="AC59" t="s">
        <v>61</v>
      </c>
      <c r="AD59">
        <v>15</v>
      </c>
      <c r="AE59" t="s">
        <v>1398</v>
      </c>
      <c r="AF59" t="s">
        <v>61</v>
      </c>
      <c r="AG59" t="s">
        <v>1398</v>
      </c>
      <c r="AH59" t="s">
        <v>61</v>
      </c>
      <c r="AI59" t="s">
        <v>61</v>
      </c>
      <c r="AJ59" t="s">
        <v>61</v>
      </c>
      <c r="AK59" t="s">
        <v>61</v>
      </c>
      <c r="AL59" t="s">
        <v>61</v>
      </c>
      <c r="AM59" t="s">
        <v>61</v>
      </c>
      <c r="AN59" t="s">
        <v>61</v>
      </c>
      <c r="AO59" t="s">
        <v>1398</v>
      </c>
      <c r="AP59" t="s">
        <v>61</v>
      </c>
      <c r="AQ59" t="s">
        <v>61</v>
      </c>
      <c r="AR59" t="s">
        <v>61</v>
      </c>
      <c r="AS59" t="s">
        <v>61</v>
      </c>
      <c r="AT59" t="s">
        <v>61</v>
      </c>
      <c r="AU59" t="s">
        <v>61</v>
      </c>
      <c r="AV59" t="s">
        <v>61</v>
      </c>
      <c r="AW59" t="s">
        <v>1398</v>
      </c>
      <c r="AX59" t="s">
        <v>1369</v>
      </c>
    </row>
    <row r="60" spans="1:50" x14ac:dyDescent="0.3">
      <c r="A60" t="s">
        <v>1188</v>
      </c>
      <c r="B60" t="s">
        <v>280</v>
      </c>
      <c r="C60" t="s">
        <v>66</v>
      </c>
      <c r="D60" t="s">
        <v>1082</v>
      </c>
      <c r="E60" t="s">
        <v>61</v>
      </c>
      <c r="F60" t="s">
        <v>48</v>
      </c>
      <c r="G60" t="s">
        <v>89</v>
      </c>
      <c r="H60" t="s">
        <v>1415</v>
      </c>
      <c r="I60" t="s">
        <v>1192</v>
      </c>
      <c r="J60" t="s">
        <v>1194</v>
      </c>
      <c r="K60" t="s">
        <v>1398</v>
      </c>
      <c r="L60" t="s">
        <v>61</v>
      </c>
      <c r="M60" t="s">
        <v>61</v>
      </c>
      <c r="N60" t="s">
        <v>61</v>
      </c>
      <c r="O60" t="s">
        <v>61</v>
      </c>
      <c r="P60" t="s">
        <v>61</v>
      </c>
      <c r="Q60" t="s">
        <v>61</v>
      </c>
      <c r="R60" t="s">
        <v>61</v>
      </c>
      <c r="S60" t="s">
        <v>61</v>
      </c>
      <c r="T60" t="s">
        <v>61</v>
      </c>
      <c r="U60" t="s">
        <v>61</v>
      </c>
      <c r="V60" t="s">
        <v>61</v>
      </c>
      <c r="W60" t="s">
        <v>61</v>
      </c>
      <c r="X60" t="s">
        <v>61</v>
      </c>
      <c r="Y60" t="s">
        <v>61</v>
      </c>
      <c r="Z60" t="s">
        <v>61</v>
      </c>
      <c r="AA60">
        <v>7</v>
      </c>
      <c r="AB60">
        <v>19</v>
      </c>
      <c r="AC60" t="s">
        <v>61</v>
      </c>
      <c r="AD60">
        <v>229</v>
      </c>
      <c r="AE60" t="s">
        <v>61</v>
      </c>
      <c r="AF60" t="s">
        <v>61</v>
      </c>
      <c r="AG60" t="s">
        <v>61</v>
      </c>
      <c r="AH60" t="s">
        <v>61</v>
      </c>
      <c r="AI60" t="s">
        <v>61</v>
      </c>
      <c r="AJ60" t="s">
        <v>61</v>
      </c>
      <c r="AK60" t="s">
        <v>61</v>
      </c>
      <c r="AL60" t="s">
        <v>61</v>
      </c>
      <c r="AM60" t="s">
        <v>61</v>
      </c>
      <c r="AN60" t="s">
        <v>61</v>
      </c>
      <c r="AO60" t="s">
        <v>61</v>
      </c>
      <c r="AP60" t="s">
        <v>1398</v>
      </c>
      <c r="AQ60" t="s">
        <v>61</v>
      </c>
      <c r="AR60" t="s">
        <v>61</v>
      </c>
      <c r="AS60" t="s">
        <v>61</v>
      </c>
      <c r="AT60" t="s">
        <v>61</v>
      </c>
      <c r="AU60" t="s">
        <v>61</v>
      </c>
      <c r="AV60" t="s">
        <v>61</v>
      </c>
      <c r="AW60" t="s">
        <v>1398</v>
      </c>
      <c r="AX60" t="s">
        <v>1370</v>
      </c>
    </row>
    <row r="61" spans="1:50" x14ac:dyDescent="0.3">
      <c r="A61" t="s">
        <v>1188</v>
      </c>
      <c r="B61" t="s">
        <v>1380</v>
      </c>
      <c r="C61" t="s">
        <v>66</v>
      </c>
      <c r="D61" t="s">
        <v>1239</v>
      </c>
      <c r="E61" t="s">
        <v>61</v>
      </c>
      <c r="F61" t="s">
        <v>48</v>
      </c>
      <c r="G61" t="s">
        <v>89</v>
      </c>
      <c r="H61" t="s">
        <v>1415</v>
      </c>
      <c r="I61" t="s">
        <v>491</v>
      </c>
      <c r="J61" t="s">
        <v>1194</v>
      </c>
      <c r="K61" t="s">
        <v>1398</v>
      </c>
      <c r="L61" t="s">
        <v>61</v>
      </c>
      <c r="M61" t="s">
        <v>61</v>
      </c>
      <c r="N61" t="s">
        <v>61</v>
      </c>
      <c r="O61" t="s">
        <v>61</v>
      </c>
      <c r="P61" t="s">
        <v>61</v>
      </c>
      <c r="Q61" t="s">
        <v>61</v>
      </c>
      <c r="R61" t="s">
        <v>61</v>
      </c>
      <c r="S61" t="s">
        <v>61</v>
      </c>
      <c r="T61" t="s">
        <v>61</v>
      </c>
      <c r="U61" t="s">
        <v>61</v>
      </c>
      <c r="V61" t="s">
        <v>61</v>
      </c>
      <c r="W61" t="s">
        <v>61</v>
      </c>
      <c r="X61" t="s">
        <v>61</v>
      </c>
      <c r="Y61" t="s">
        <v>61</v>
      </c>
      <c r="Z61" t="s">
        <v>61</v>
      </c>
      <c r="AA61">
        <v>2</v>
      </c>
      <c r="AB61">
        <v>17</v>
      </c>
      <c r="AC61" t="s">
        <v>61</v>
      </c>
      <c r="AD61">
        <v>77</v>
      </c>
      <c r="AE61" t="s">
        <v>61</v>
      </c>
      <c r="AF61" t="s">
        <v>61</v>
      </c>
      <c r="AG61" t="s">
        <v>61</v>
      </c>
      <c r="AH61" t="s">
        <v>61</v>
      </c>
      <c r="AI61" t="s">
        <v>61</v>
      </c>
      <c r="AJ61" t="s">
        <v>61</v>
      </c>
      <c r="AK61" t="s">
        <v>61</v>
      </c>
      <c r="AL61" t="s">
        <v>61</v>
      </c>
      <c r="AM61" t="s">
        <v>61</v>
      </c>
      <c r="AN61" t="s">
        <v>61</v>
      </c>
      <c r="AO61" t="s">
        <v>61</v>
      </c>
      <c r="AP61" t="s">
        <v>61</v>
      </c>
      <c r="AQ61" t="s">
        <v>61</v>
      </c>
      <c r="AR61" t="s">
        <v>61</v>
      </c>
      <c r="AS61" t="s">
        <v>61</v>
      </c>
      <c r="AT61" t="s">
        <v>1398</v>
      </c>
      <c r="AU61" t="s">
        <v>61</v>
      </c>
      <c r="AV61" t="s">
        <v>61</v>
      </c>
      <c r="AW61" t="s">
        <v>61</v>
      </c>
      <c r="AX61" t="s">
        <v>61</v>
      </c>
    </row>
    <row r="62" spans="1:50" x14ac:dyDescent="0.3">
      <c r="A62" t="s">
        <v>1188</v>
      </c>
      <c r="B62" t="s">
        <v>1381</v>
      </c>
      <c r="C62" t="s">
        <v>66</v>
      </c>
      <c r="D62" t="s">
        <v>462</v>
      </c>
      <c r="E62" t="s">
        <v>1398</v>
      </c>
      <c r="F62" t="s">
        <v>74</v>
      </c>
      <c r="G62" t="s">
        <v>1386</v>
      </c>
      <c r="H62" t="s">
        <v>1416</v>
      </c>
      <c r="I62" t="s">
        <v>1379</v>
      </c>
      <c r="J62" t="s">
        <v>1379</v>
      </c>
      <c r="K62" t="s">
        <v>61</v>
      </c>
      <c r="L62" t="s">
        <v>61</v>
      </c>
      <c r="M62" t="s">
        <v>61</v>
      </c>
      <c r="N62" t="s">
        <v>61</v>
      </c>
      <c r="O62" t="s">
        <v>61</v>
      </c>
      <c r="P62" t="s">
        <v>61</v>
      </c>
      <c r="Q62" t="s">
        <v>1398</v>
      </c>
      <c r="R62" t="s">
        <v>61</v>
      </c>
      <c r="S62" t="s">
        <v>61</v>
      </c>
      <c r="T62" t="s">
        <v>61</v>
      </c>
      <c r="U62" t="s">
        <v>61</v>
      </c>
      <c r="V62" t="s">
        <v>61</v>
      </c>
      <c r="W62" t="s">
        <v>61</v>
      </c>
      <c r="X62" t="s">
        <v>61</v>
      </c>
      <c r="Y62" t="s">
        <v>61</v>
      </c>
      <c r="Z62" t="s">
        <v>61</v>
      </c>
      <c r="AA62">
        <v>0</v>
      </c>
      <c r="AB62">
        <v>0</v>
      </c>
      <c r="AC62">
        <v>1.3</v>
      </c>
      <c r="AD62">
        <v>0</v>
      </c>
      <c r="AE62" t="s">
        <v>1398</v>
      </c>
      <c r="AF62" t="s">
        <v>61</v>
      </c>
      <c r="AG62" t="s">
        <v>61</v>
      </c>
      <c r="AH62" t="s">
        <v>61</v>
      </c>
      <c r="AI62" t="s">
        <v>1398</v>
      </c>
      <c r="AJ62" t="s">
        <v>61</v>
      </c>
      <c r="AK62" t="s">
        <v>61</v>
      </c>
      <c r="AL62" t="s">
        <v>61</v>
      </c>
      <c r="AM62" t="s">
        <v>61</v>
      </c>
      <c r="AN62" t="s">
        <v>61</v>
      </c>
      <c r="AO62" t="s">
        <v>61</v>
      </c>
      <c r="AP62" t="s">
        <v>61</v>
      </c>
      <c r="AQ62" t="s">
        <v>61</v>
      </c>
      <c r="AR62" t="s">
        <v>61</v>
      </c>
      <c r="AS62" t="s">
        <v>61</v>
      </c>
      <c r="AT62" t="s">
        <v>61</v>
      </c>
      <c r="AU62" t="s">
        <v>61</v>
      </c>
      <c r="AV62" t="s">
        <v>61</v>
      </c>
      <c r="AW62" t="s">
        <v>61</v>
      </c>
      <c r="AX62" t="s">
        <v>61</v>
      </c>
    </row>
    <row r="63" spans="1:50" x14ac:dyDescent="0.3">
      <c r="A63" t="s">
        <v>1188</v>
      </c>
      <c r="B63" t="s">
        <v>142</v>
      </c>
      <c r="C63" t="s">
        <v>66</v>
      </c>
      <c r="D63" t="s">
        <v>1382</v>
      </c>
      <c r="E63" t="s">
        <v>61</v>
      </c>
      <c r="F63" t="s">
        <v>74</v>
      </c>
      <c r="G63" t="s">
        <v>89</v>
      </c>
      <c r="H63" t="s">
        <v>1415</v>
      </c>
      <c r="I63" t="s">
        <v>1383</v>
      </c>
      <c r="J63" t="s">
        <v>1384</v>
      </c>
      <c r="K63" t="s">
        <v>1398</v>
      </c>
      <c r="L63" t="s">
        <v>61</v>
      </c>
      <c r="M63" t="s">
        <v>61</v>
      </c>
      <c r="N63" t="s">
        <v>61</v>
      </c>
      <c r="O63" t="s">
        <v>61</v>
      </c>
      <c r="P63" t="s">
        <v>61</v>
      </c>
      <c r="Q63" t="s">
        <v>61</v>
      </c>
      <c r="R63" t="s">
        <v>61</v>
      </c>
      <c r="S63" t="s">
        <v>61</v>
      </c>
      <c r="T63" t="s">
        <v>61</v>
      </c>
      <c r="U63" t="s">
        <v>61</v>
      </c>
      <c r="V63" t="s">
        <v>61</v>
      </c>
      <c r="W63" t="s">
        <v>61</v>
      </c>
      <c r="X63" t="s">
        <v>61</v>
      </c>
      <c r="Y63" t="s">
        <v>61</v>
      </c>
      <c r="Z63" t="s">
        <v>61</v>
      </c>
      <c r="AA63">
        <v>0</v>
      </c>
      <c r="AB63">
        <v>46</v>
      </c>
      <c r="AC63" t="s">
        <v>61</v>
      </c>
      <c r="AD63">
        <v>46</v>
      </c>
      <c r="AE63" t="s">
        <v>61</v>
      </c>
      <c r="AF63" t="s">
        <v>61</v>
      </c>
      <c r="AG63" t="s">
        <v>61</v>
      </c>
      <c r="AH63" t="s">
        <v>61</v>
      </c>
      <c r="AI63" t="s">
        <v>61</v>
      </c>
      <c r="AJ63" t="s">
        <v>61</v>
      </c>
      <c r="AK63" t="s">
        <v>61</v>
      </c>
      <c r="AL63" t="s">
        <v>61</v>
      </c>
      <c r="AM63" t="s">
        <v>61</v>
      </c>
      <c r="AN63" t="s">
        <v>61</v>
      </c>
      <c r="AO63" t="s">
        <v>61</v>
      </c>
      <c r="AP63" t="s">
        <v>61</v>
      </c>
      <c r="AQ63" t="s">
        <v>61</v>
      </c>
      <c r="AR63" t="s">
        <v>61</v>
      </c>
      <c r="AS63" t="s">
        <v>61</v>
      </c>
      <c r="AT63" t="s">
        <v>1398</v>
      </c>
      <c r="AU63" t="s">
        <v>61</v>
      </c>
      <c r="AV63" t="s">
        <v>61</v>
      </c>
      <c r="AW63" t="s">
        <v>61</v>
      </c>
      <c r="AX63" t="s">
        <v>61</v>
      </c>
    </row>
    <row r="64" spans="1:50" x14ac:dyDescent="0.3">
      <c r="A64" t="s">
        <v>1188</v>
      </c>
      <c r="B64" t="s">
        <v>747</v>
      </c>
      <c r="C64" t="s">
        <v>66</v>
      </c>
      <c r="D64" t="s">
        <v>1144</v>
      </c>
      <c r="E64" t="s">
        <v>1398</v>
      </c>
      <c r="F64" t="s">
        <v>48</v>
      </c>
      <c r="G64" t="s">
        <v>89</v>
      </c>
      <c r="H64" t="s">
        <v>1416</v>
      </c>
      <c r="I64" t="s">
        <v>1379</v>
      </c>
      <c r="J64" t="s">
        <v>1379</v>
      </c>
      <c r="K64" t="s">
        <v>61</v>
      </c>
      <c r="L64" t="s">
        <v>61</v>
      </c>
      <c r="M64" t="s">
        <v>61</v>
      </c>
      <c r="N64" t="s">
        <v>61</v>
      </c>
      <c r="O64" t="s">
        <v>61</v>
      </c>
      <c r="P64" t="s">
        <v>61</v>
      </c>
      <c r="Q64" t="s">
        <v>61</v>
      </c>
      <c r="R64" t="s">
        <v>61</v>
      </c>
      <c r="S64" t="s">
        <v>61</v>
      </c>
      <c r="T64" t="s">
        <v>61</v>
      </c>
      <c r="U64" t="s">
        <v>61</v>
      </c>
      <c r="V64" t="s">
        <v>61</v>
      </c>
      <c r="W64" t="s">
        <v>61</v>
      </c>
      <c r="X64" t="s">
        <v>61</v>
      </c>
      <c r="Y64" t="s">
        <v>61</v>
      </c>
      <c r="Z64" t="s">
        <v>1398</v>
      </c>
      <c r="AA64">
        <v>0</v>
      </c>
      <c r="AB64">
        <v>3</v>
      </c>
      <c r="AC64" t="s">
        <v>61</v>
      </c>
      <c r="AD64">
        <v>3</v>
      </c>
      <c r="AE64" t="s">
        <v>1398</v>
      </c>
      <c r="AF64" t="s">
        <v>61</v>
      </c>
      <c r="AG64" t="s">
        <v>1398</v>
      </c>
      <c r="AH64" t="s">
        <v>61</v>
      </c>
      <c r="AI64" t="s">
        <v>61</v>
      </c>
      <c r="AJ64" t="s">
        <v>61</v>
      </c>
      <c r="AK64" t="s">
        <v>61</v>
      </c>
      <c r="AL64" t="s">
        <v>61</v>
      </c>
      <c r="AM64" t="s">
        <v>61</v>
      </c>
      <c r="AN64" t="s">
        <v>61</v>
      </c>
      <c r="AO64" t="s">
        <v>61</v>
      </c>
      <c r="AP64" t="s">
        <v>61</v>
      </c>
      <c r="AQ64" t="s">
        <v>61</v>
      </c>
      <c r="AR64" t="s">
        <v>61</v>
      </c>
      <c r="AS64" t="s">
        <v>61</v>
      </c>
      <c r="AT64" t="s">
        <v>61</v>
      </c>
      <c r="AU64" t="s">
        <v>61</v>
      </c>
      <c r="AV64" t="s">
        <v>61</v>
      </c>
      <c r="AW64" t="s">
        <v>61</v>
      </c>
      <c r="AX64" t="s">
        <v>61</v>
      </c>
    </row>
    <row r="65" spans="1:50" x14ac:dyDescent="0.3">
      <c r="A65" t="s">
        <v>1188</v>
      </c>
      <c r="B65" t="s">
        <v>747</v>
      </c>
      <c r="C65" t="s">
        <v>66</v>
      </c>
      <c r="D65" t="s">
        <v>1144</v>
      </c>
      <c r="E65" t="s">
        <v>1398</v>
      </c>
      <c r="F65" t="s">
        <v>48</v>
      </c>
      <c r="G65" t="s">
        <v>89</v>
      </c>
      <c r="H65" t="s">
        <v>1416</v>
      </c>
      <c r="I65" t="s">
        <v>1379</v>
      </c>
      <c r="J65" t="s">
        <v>1379</v>
      </c>
      <c r="K65" t="s">
        <v>61</v>
      </c>
      <c r="L65" t="s">
        <v>61</v>
      </c>
      <c r="M65" t="s">
        <v>61</v>
      </c>
      <c r="N65" t="s">
        <v>61</v>
      </c>
      <c r="O65" t="s">
        <v>61</v>
      </c>
      <c r="P65" t="s">
        <v>61</v>
      </c>
      <c r="Q65" t="s">
        <v>61</v>
      </c>
      <c r="R65" t="s">
        <v>61</v>
      </c>
      <c r="S65" t="s">
        <v>61</v>
      </c>
      <c r="T65" t="s">
        <v>61</v>
      </c>
      <c r="U65" t="s">
        <v>61</v>
      </c>
      <c r="V65" t="s">
        <v>61</v>
      </c>
      <c r="W65" t="s">
        <v>61</v>
      </c>
      <c r="X65" t="s">
        <v>61</v>
      </c>
      <c r="Y65" t="s">
        <v>61</v>
      </c>
      <c r="Z65" t="s">
        <v>1398</v>
      </c>
      <c r="AA65">
        <v>0</v>
      </c>
      <c r="AB65">
        <v>5</v>
      </c>
      <c r="AC65" t="s">
        <v>61</v>
      </c>
      <c r="AD65">
        <v>5</v>
      </c>
      <c r="AE65" t="s">
        <v>1398</v>
      </c>
      <c r="AF65" t="s">
        <v>61</v>
      </c>
      <c r="AG65" t="s">
        <v>1398</v>
      </c>
      <c r="AH65" t="s">
        <v>61</v>
      </c>
      <c r="AI65" t="s">
        <v>61</v>
      </c>
      <c r="AJ65" t="s">
        <v>61</v>
      </c>
      <c r="AK65" t="s">
        <v>61</v>
      </c>
      <c r="AL65" t="s">
        <v>61</v>
      </c>
      <c r="AM65" t="s">
        <v>61</v>
      </c>
      <c r="AN65" t="s">
        <v>61</v>
      </c>
      <c r="AO65" t="s">
        <v>61</v>
      </c>
      <c r="AP65" t="s">
        <v>61</v>
      </c>
      <c r="AQ65" t="s">
        <v>61</v>
      </c>
      <c r="AR65" t="s">
        <v>61</v>
      </c>
      <c r="AS65" t="s">
        <v>61</v>
      </c>
      <c r="AT65" t="s">
        <v>61</v>
      </c>
      <c r="AU65" t="s">
        <v>61</v>
      </c>
      <c r="AV65" t="s">
        <v>61</v>
      </c>
      <c r="AW65" t="s">
        <v>61</v>
      </c>
      <c r="AX65" t="s">
        <v>61</v>
      </c>
    </row>
    <row r="66" spans="1:50" x14ac:dyDescent="0.3">
      <c r="A66" t="s">
        <v>1188</v>
      </c>
      <c r="B66" t="s">
        <v>1055</v>
      </c>
      <c r="C66" t="s">
        <v>66</v>
      </c>
      <c r="D66" t="s">
        <v>462</v>
      </c>
      <c r="E66" t="s">
        <v>61</v>
      </c>
      <c r="F66" t="s">
        <v>48</v>
      </c>
      <c r="G66" t="s">
        <v>39</v>
      </c>
      <c r="H66" t="s">
        <v>1416</v>
      </c>
      <c r="I66" t="s">
        <v>1379</v>
      </c>
      <c r="J66" t="s">
        <v>1379</v>
      </c>
      <c r="K66" t="s">
        <v>61</v>
      </c>
      <c r="L66" t="s">
        <v>61</v>
      </c>
      <c r="M66" t="s">
        <v>61</v>
      </c>
      <c r="N66" t="s">
        <v>61</v>
      </c>
      <c r="O66" t="s">
        <v>61</v>
      </c>
      <c r="P66" t="s">
        <v>61</v>
      </c>
      <c r="Q66" t="s">
        <v>61</v>
      </c>
      <c r="R66" t="s">
        <v>61</v>
      </c>
      <c r="S66" t="s">
        <v>1398</v>
      </c>
      <c r="T66" t="s">
        <v>61</v>
      </c>
      <c r="U66" t="s">
        <v>61</v>
      </c>
      <c r="V66" t="s">
        <v>61</v>
      </c>
      <c r="W66" t="s">
        <v>61</v>
      </c>
      <c r="X66" t="s">
        <v>61</v>
      </c>
      <c r="Y66" t="s">
        <v>61</v>
      </c>
      <c r="Z66" t="s">
        <v>61</v>
      </c>
      <c r="AA66">
        <v>0</v>
      </c>
      <c r="AB66">
        <v>0</v>
      </c>
      <c r="AC66">
        <v>13</v>
      </c>
      <c r="AD66">
        <v>0</v>
      </c>
      <c r="AE66" t="s">
        <v>1398</v>
      </c>
      <c r="AF66" t="s">
        <v>61</v>
      </c>
      <c r="AG66" t="s">
        <v>1398</v>
      </c>
      <c r="AH66" t="s">
        <v>61</v>
      </c>
      <c r="AI66" t="s">
        <v>61</v>
      </c>
      <c r="AJ66" t="s">
        <v>61</v>
      </c>
      <c r="AK66" t="s">
        <v>61</v>
      </c>
      <c r="AL66" t="s">
        <v>61</v>
      </c>
      <c r="AM66" t="s">
        <v>61</v>
      </c>
      <c r="AN66" t="s">
        <v>61</v>
      </c>
      <c r="AO66" t="s">
        <v>61</v>
      </c>
      <c r="AP66" t="s">
        <v>61</v>
      </c>
      <c r="AQ66" t="s">
        <v>61</v>
      </c>
      <c r="AR66" t="s">
        <v>61</v>
      </c>
      <c r="AS66" t="s">
        <v>61</v>
      </c>
      <c r="AT66" t="s">
        <v>61</v>
      </c>
      <c r="AU66" t="s">
        <v>61</v>
      </c>
      <c r="AV66" t="s">
        <v>61</v>
      </c>
      <c r="AW66" t="s">
        <v>1398</v>
      </c>
      <c r="AX66" t="s">
        <v>1387</v>
      </c>
    </row>
    <row r="67" spans="1:50" x14ac:dyDescent="0.3">
      <c r="A67" t="s">
        <v>1188</v>
      </c>
      <c r="B67" t="s">
        <v>1388</v>
      </c>
      <c r="C67" t="s">
        <v>66</v>
      </c>
      <c r="D67" t="s">
        <v>703</v>
      </c>
      <c r="E67" t="s">
        <v>1398</v>
      </c>
      <c r="F67" t="s">
        <v>48</v>
      </c>
      <c r="G67" t="s">
        <v>89</v>
      </c>
      <c r="H67" t="s">
        <v>1415</v>
      </c>
      <c r="I67" t="s">
        <v>1383</v>
      </c>
      <c r="J67" t="s">
        <v>1194</v>
      </c>
      <c r="K67" t="s">
        <v>1398</v>
      </c>
      <c r="L67" t="s">
        <v>61</v>
      </c>
      <c r="M67" t="s">
        <v>61</v>
      </c>
      <c r="N67" t="s">
        <v>61</v>
      </c>
      <c r="O67" t="s">
        <v>61</v>
      </c>
      <c r="P67" t="s">
        <v>61</v>
      </c>
      <c r="Q67" t="s">
        <v>61</v>
      </c>
      <c r="R67" t="s">
        <v>61</v>
      </c>
      <c r="S67" t="s">
        <v>61</v>
      </c>
      <c r="T67" t="s">
        <v>1398</v>
      </c>
      <c r="U67" t="s">
        <v>1398</v>
      </c>
      <c r="V67" t="s">
        <v>61</v>
      </c>
      <c r="W67" t="s">
        <v>61</v>
      </c>
      <c r="X67" t="s">
        <v>61</v>
      </c>
      <c r="Y67" t="s">
        <v>61</v>
      </c>
      <c r="Z67" t="s">
        <v>61</v>
      </c>
      <c r="AA67">
        <v>3</v>
      </c>
      <c r="AB67">
        <v>1</v>
      </c>
      <c r="AC67" t="s">
        <v>61</v>
      </c>
      <c r="AD67">
        <v>91</v>
      </c>
      <c r="AE67" t="s">
        <v>61</v>
      </c>
      <c r="AF67" t="s">
        <v>61</v>
      </c>
      <c r="AG67" t="s">
        <v>61</v>
      </c>
      <c r="AH67" t="s">
        <v>61</v>
      </c>
      <c r="AI67" t="s">
        <v>61</v>
      </c>
      <c r="AJ67" t="s">
        <v>61</v>
      </c>
      <c r="AK67" t="s">
        <v>61</v>
      </c>
      <c r="AL67" t="s">
        <v>61</v>
      </c>
      <c r="AM67" t="s">
        <v>61</v>
      </c>
      <c r="AN67" t="s">
        <v>61</v>
      </c>
      <c r="AO67" t="s">
        <v>61</v>
      </c>
      <c r="AP67" t="s">
        <v>61</v>
      </c>
      <c r="AQ67" t="s">
        <v>61</v>
      </c>
      <c r="AR67" t="s">
        <v>61</v>
      </c>
      <c r="AS67" t="s">
        <v>61</v>
      </c>
      <c r="AT67" t="s">
        <v>61</v>
      </c>
      <c r="AU67" t="s">
        <v>1398</v>
      </c>
      <c r="AV67" t="s">
        <v>61</v>
      </c>
      <c r="AW67" t="s">
        <v>61</v>
      </c>
      <c r="AX67" t="s">
        <v>61</v>
      </c>
    </row>
    <row r="72" spans="1:50" x14ac:dyDescent="0.3">
      <c r="L72" s="177" t="s">
        <v>1418</v>
      </c>
      <c r="M72" s="177"/>
      <c r="N72" s="177"/>
      <c r="O72" s="177"/>
      <c r="P72" s="177"/>
      <c r="Q72" s="177"/>
      <c r="R72" s="177"/>
      <c r="S72" s="177"/>
      <c r="T72" s="177"/>
      <c r="U72" s="177"/>
      <c r="V72" s="177"/>
      <c r="W72" s="177"/>
      <c r="X72" s="177"/>
      <c r="Y72" s="177"/>
      <c r="Z72" s="177"/>
      <c r="AE72" s="178" t="s">
        <v>1420</v>
      </c>
      <c r="AF72" s="178"/>
      <c r="AG72" s="178"/>
      <c r="AH72" s="178"/>
      <c r="AI72" s="178"/>
      <c r="AJ72" s="178"/>
      <c r="AK72" s="178"/>
      <c r="AL72" s="178"/>
      <c r="AM72" s="178"/>
      <c r="AN72" s="178"/>
      <c r="AO72" s="178"/>
      <c r="AP72" s="178"/>
      <c r="AQ72" s="178"/>
      <c r="AR72" s="178"/>
      <c r="AS72" s="178"/>
      <c r="AT72" s="178"/>
      <c r="AU72" s="178"/>
      <c r="AV72" s="178"/>
    </row>
    <row r="73" spans="1:50" x14ac:dyDescent="0.3">
      <c r="A73" t="s">
        <v>1171</v>
      </c>
      <c r="B73" t="s">
        <v>1172</v>
      </c>
      <c r="C73" t="s">
        <v>8</v>
      </c>
      <c r="D73" t="s">
        <v>7</v>
      </c>
      <c r="E73" t="s">
        <v>1167</v>
      </c>
      <c r="F73" t="s">
        <v>1408</v>
      </c>
      <c r="G73" t="s">
        <v>1170</v>
      </c>
      <c r="H73" t="s">
        <v>1407</v>
      </c>
      <c r="I73" t="s">
        <v>10</v>
      </c>
      <c r="J73" t="s">
        <v>1173</v>
      </c>
      <c r="K73" t="s">
        <v>1245</v>
      </c>
      <c r="L73" t="s">
        <v>1248</v>
      </c>
      <c r="M73" t="s">
        <v>1249</v>
      </c>
      <c r="N73" t="s">
        <v>415</v>
      </c>
      <c r="O73" t="s">
        <v>1269</v>
      </c>
      <c r="P73" t="s">
        <v>1270</v>
      </c>
      <c r="Q73" t="s">
        <v>1271</v>
      </c>
      <c r="R73" t="s">
        <v>1175</v>
      </c>
      <c r="S73" t="s">
        <v>1342</v>
      </c>
      <c r="T73" t="s">
        <v>370</v>
      </c>
      <c r="U73" t="s">
        <v>1176</v>
      </c>
      <c r="V73" t="s">
        <v>1336</v>
      </c>
      <c r="W73" t="s">
        <v>1337</v>
      </c>
      <c r="X73" t="s">
        <v>1181</v>
      </c>
      <c r="Y73" t="s">
        <v>1340</v>
      </c>
      <c r="Z73" t="s">
        <v>1177</v>
      </c>
      <c r="AA73" t="s">
        <v>1185</v>
      </c>
      <c r="AB73" t="s">
        <v>1186</v>
      </c>
      <c r="AC73" t="s">
        <v>1187</v>
      </c>
      <c r="AD73" t="s">
        <v>1406</v>
      </c>
      <c r="AE73" t="s">
        <v>1195</v>
      </c>
      <c r="AF73" t="s">
        <v>1359</v>
      </c>
      <c r="AG73" t="s">
        <v>1360</v>
      </c>
      <c r="AH73" t="s">
        <v>1361</v>
      </c>
      <c r="AI73" t="s">
        <v>1362</v>
      </c>
      <c r="AJ73" t="s">
        <v>1491</v>
      </c>
      <c r="AK73" t="s">
        <v>1492</v>
      </c>
      <c r="AL73" t="s">
        <v>1493</v>
      </c>
      <c r="AM73" t="s">
        <v>1217</v>
      </c>
      <c r="AN73" t="s">
        <v>1216</v>
      </c>
      <c r="AO73" t="s">
        <v>1197</v>
      </c>
      <c r="AP73" t="s">
        <v>1210</v>
      </c>
      <c r="AQ73" t="s">
        <v>1334</v>
      </c>
      <c r="AR73" t="s">
        <v>1202</v>
      </c>
      <c r="AS73" t="s">
        <v>1212</v>
      </c>
      <c r="AT73" t="s">
        <v>343</v>
      </c>
      <c r="AU73" t="s">
        <v>1215</v>
      </c>
      <c r="AV73" t="s">
        <v>1250</v>
      </c>
      <c r="AW73" t="s">
        <v>1206</v>
      </c>
      <c r="AX73" t="s">
        <v>1328</v>
      </c>
    </row>
    <row r="74" spans="1:50" x14ac:dyDescent="0.3">
      <c r="A74" t="s">
        <v>1189</v>
      </c>
      <c r="B74" t="s">
        <v>174</v>
      </c>
      <c r="C74" t="s">
        <v>40</v>
      </c>
      <c r="D74" t="s">
        <v>40</v>
      </c>
      <c r="E74" t="s">
        <v>1398</v>
      </c>
      <c r="F74" t="s">
        <v>48</v>
      </c>
      <c r="G74" t="s">
        <v>89</v>
      </c>
      <c r="H74" t="s">
        <v>1415</v>
      </c>
      <c r="I74" t="s">
        <v>1203</v>
      </c>
      <c r="J74" t="s">
        <v>1203</v>
      </c>
      <c r="K74" t="s">
        <v>61</v>
      </c>
      <c r="L74" t="s">
        <v>61</v>
      </c>
      <c r="M74" t="s">
        <v>61</v>
      </c>
      <c r="N74" t="s">
        <v>61</v>
      </c>
      <c r="O74" t="s">
        <v>1398</v>
      </c>
      <c r="P74" t="s">
        <v>61</v>
      </c>
      <c r="Q74" t="s">
        <v>61</v>
      </c>
      <c r="R74" t="s">
        <v>61</v>
      </c>
      <c r="S74" t="s">
        <v>61</v>
      </c>
      <c r="T74" t="s">
        <v>1398</v>
      </c>
      <c r="U74" t="s">
        <v>61</v>
      </c>
      <c r="V74" t="s">
        <v>61</v>
      </c>
      <c r="W74" t="s">
        <v>61</v>
      </c>
      <c r="X74" t="s">
        <v>61</v>
      </c>
      <c r="Y74" t="s">
        <v>61</v>
      </c>
      <c r="Z74" t="s">
        <v>61</v>
      </c>
      <c r="AA74">
        <v>2</v>
      </c>
      <c r="AB74">
        <v>3</v>
      </c>
      <c r="AC74" t="s">
        <v>61</v>
      </c>
      <c r="AD74">
        <v>63</v>
      </c>
      <c r="AE74" t="s">
        <v>61</v>
      </c>
      <c r="AF74" t="s">
        <v>61</v>
      </c>
      <c r="AG74" t="s">
        <v>61</v>
      </c>
      <c r="AH74" t="s">
        <v>61</v>
      </c>
      <c r="AI74" t="s">
        <v>61</v>
      </c>
      <c r="AJ74" t="s">
        <v>61</v>
      </c>
      <c r="AK74" t="s">
        <v>61</v>
      </c>
      <c r="AL74" t="s">
        <v>61</v>
      </c>
      <c r="AM74" t="s">
        <v>61</v>
      </c>
      <c r="AN74" t="s">
        <v>61</v>
      </c>
      <c r="AO74" t="s">
        <v>61</v>
      </c>
      <c r="AP74" t="s">
        <v>61</v>
      </c>
      <c r="AQ74" t="s">
        <v>61</v>
      </c>
      <c r="AR74" t="s">
        <v>61</v>
      </c>
      <c r="AS74" t="s">
        <v>61</v>
      </c>
      <c r="AT74" t="s">
        <v>61</v>
      </c>
      <c r="AU74" t="s">
        <v>61</v>
      </c>
      <c r="AV74" t="s">
        <v>61</v>
      </c>
      <c r="AW74" t="s">
        <v>1398</v>
      </c>
      <c r="AX74" t="s">
        <v>1399</v>
      </c>
    </row>
    <row r="75" spans="1:50" x14ac:dyDescent="0.3">
      <c r="A75" t="s">
        <v>1189</v>
      </c>
      <c r="B75" t="s">
        <v>445</v>
      </c>
      <c r="C75" t="s">
        <v>40</v>
      </c>
      <c r="D75" t="s">
        <v>40</v>
      </c>
      <c r="E75" t="s">
        <v>61</v>
      </c>
      <c r="F75" t="s">
        <v>74</v>
      </c>
      <c r="G75" t="s">
        <v>89</v>
      </c>
      <c r="H75" t="s">
        <v>1415</v>
      </c>
      <c r="I75" t="s">
        <v>1192</v>
      </c>
      <c r="J75" t="s">
        <v>1192</v>
      </c>
      <c r="K75" t="s">
        <v>61</v>
      </c>
      <c r="L75" t="s">
        <v>61</v>
      </c>
      <c r="M75" t="s">
        <v>61</v>
      </c>
      <c r="N75" t="s">
        <v>61</v>
      </c>
      <c r="O75" t="s">
        <v>61</v>
      </c>
      <c r="P75" t="s">
        <v>61</v>
      </c>
      <c r="Q75" t="s">
        <v>61</v>
      </c>
      <c r="R75" t="s">
        <v>61</v>
      </c>
      <c r="S75" t="s">
        <v>61</v>
      </c>
      <c r="T75" t="s">
        <v>61</v>
      </c>
      <c r="U75" t="s">
        <v>61</v>
      </c>
      <c r="V75" t="s">
        <v>61</v>
      </c>
      <c r="W75" t="s">
        <v>61</v>
      </c>
      <c r="X75" t="s">
        <v>61</v>
      </c>
      <c r="Y75" t="s">
        <v>61</v>
      </c>
      <c r="Z75" t="s">
        <v>61</v>
      </c>
      <c r="AA75">
        <v>2</v>
      </c>
      <c r="AB75">
        <v>0</v>
      </c>
      <c r="AC75" t="s">
        <v>61</v>
      </c>
      <c r="AD75">
        <v>60</v>
      </c>
      <c r="AE75" t="s">
        <v>61</v>
      </c>
      <c r="AF75" t="s">
        <v>61</v>
      </c>
      <c r="AG75" t="s">
        <v>61</v>
      </c>
      <c r="AH75" t="s">
        <v>61</v>
      </c>
      <c r="AI75" t="s">
        <v>61</v>
      </c>
      <c r="AJ75" t="s">
        <v>61</v>
      </c>
      <c r="AK75" t="s">
        <v>61</v>
      </c>
      <c r="AL75" t="s">
        <v>61</v>
      </c>
      <c r="AM75" t="s">
        <v>61</v>
      </c>
      <c r="AN75" t="s">
        <v>1398</v>
      </c>
      <c r="AO75" t="s">
        <v>61</v>
      </c>
      <c r="AP75" t="s">
        <v>61</v>
      </c>
      <c r="AQ75" t="s">
        <v>61</v>
      </c>
      <c r="AR75" t="s">
        <v>61</v>
      </c>
      <c r="AS75" t="s">
        <v>61</v>
      </c>
      <c r="AT75" t="s">
        <v>61</v>
      </c>
      <c r="AU75" t="s">
        <v>61</v>
      </c>
      <c r="AV75" t="s">
        <v>61</v>
      </c>
      <c r="AW75" t="s">
        <v>61</v>
      </c>
      <c r="AX75" t="s">
        <v>61</v>
      </c>
    </row>
    <row r="76" spans="1:50" x14ac:dyDescent="0.3">
      <c r="A76" t="s">
        <v>1189</v>
      </c>
      <c r="B76" t="s">
        <v>325</v>
      </c>
      <c r="C76" t="s">
        <v>66</v>
      </c>
      <c r="D76" t="s">
        <v>231</v>
      </c>
      <c r="E76" t="s">
        <v>61</v>
      </c>
      <c r="F76" t="s">
        <v>74</v>
      </c>
      <c r="G76" t="s">
        <v>89</v>
      </c>
      <c r="H76" t="s">
        <v>1416</v>
      </c>
      <c r="I76" t="s">
        <v>1192</v>
      </c>
      <c r="J76" t="s">
        <v>1192</v>
      </c>
      <c r="K76" t="s">
        <v>1398</v>
      </c>
      <c r="L76" t="s">
        <v>61</v>
      </c>
      <c r="M76" t="s">
        <v>61</v>
      </c>
      <c r="N76" t="s">
        <v>61</v>
      </c>
      <c r="O76" t="s">
        <v>61</v>
      </c>
      <c r="P76" t="s">
        <v>61</v>
      </c>
      <c r="Q76" t="s">
        <v>61</v>
      </c>
      <c r="R76" t="s">
        <v>61</v>
      </c>
      <c r="S76" t="s">
        <v>61</v>
      </c>
      <c r="T76" t="s">
        <v>61</v>
      </c>
      <c r="U76" t="s">
        <v>61</v>
      </c>
      <c r="V76" t="s">
        <v>61</v>
      </c>
      <c r="W76" t="s">
        <v>61</v>
      </c>
      <c r="X76" t="s">
        <v>61</v>
      </c>
      <c r="Y76" t="s">
        <v>61</v>
      </c>
      <c r="Z76" t="s">
        <v>61</v>
      </c>
      <c r="AA76">
        <v>0</v>
      </c>
      <c r="AB76">
        <v>2</v>
      </c>
      <c r="AC76" t="s">
        <v>61</v>
      </c>
      <c r="AD76">
        <v>2</v>
      </c>
      <c r="AE76" t="s">
        <v>61</v>
      </c>
      <c r="AF76" t="s">
        <v>61</v>
      </c>
      <c r="AG76" t="s">
        <v>61</v>
      </c>
      <c r="AH76" t="s">
        <v>61</v>
      </c>
      <c r="AI76" t="s">
        <v>61</v>
      </c>
      <c r="AJ76" t="s">
        <v>61</v>
      </c>
      <c r="AK76" t="s">
        <v>61</v>
      </c>
      <c r="AL76" t="s">
        <v>61</v>
      </c>
      <c r="AM76" t="s">
        <v>61</v>
      </c>
      <c r="AN76" t="s">
        <v>61</v>
      </c>
      <c r="AO76" t="s">
        <v>1398</v>
      </c>
      <c r="AP76" t="s">
        <v>61</v>
      </c>
      <c r="AQ76" t="s">
        <v>61</v>
      </c>
      <c r="AR76" t="s">
        <v>61</v>
      </c>
      <c r="AS76" t="s">
        <v>61</v>
      </c>
      <c r="AT76" t="s">
        <v>61</v>
      </c>
      <c r="AU76" t="s">
        <v>61</v>
      </c>
      <c r="AV76" t="s">
        <v>61</v>
      </c>
      <c r="AW76" t="s">
        <v>1398</v>
      </c>
      <c r="AX76" t="s">
        <v>1329</v>
      </c>
    </row>
    <row r="77" spans="1:50" x14ac:dyDescent="0.3">
      <c r="A77" t="s">
        <v>1189</v>
      </c>
      <c r="B77" t="s">
        <v>325</v>
      </c>
      <c r="C77" t="s">
        <v>66</v>
      </c>
      <c r="D77" t="s">
        <v>231</v>
      </c>
      <c r="E77" t="s">
        <v>61</v>
      </c>
      <c r="F77" t="s">
        <v>74</v>
      </c>
      <c r="G77" t="s">
        <v>39</v>
      </c>
      <c r="H77" t="s">
        <v>1416</v>
      </c>
      <c r="I77" t="s">
        <v>1203</v>
      </c>
      <c r="J77" t="s">
        <v>1203</v>
      </c>
      <c r="K77" t="s">
        <v>61</v>
      </c>
      <c r="L77" t="s">
        <v>61</v>
      </c>
      <c r="M77" t="s">
        <v>61</v>
      </c>
      <c r="N77" t="s">
        <v>61</v>
      </c>
      <c r="O77" t="s">
        <v>61</v>
      </c>
      <c r="P77" t="s">
        <v>61</v>
      </c>
      <c r="Q77" t="s">
        <v>61</v>
      </c>
      <c r="R77" t="s">
        <v>61</v>
      </c>
      <c r="S77" t="s">
        <v>61</v>
      </c>
      <c r="T77" t="s">
        <v>61</v>
      </c>
      <c r="U77" t="s">
        <v>61</v>
      </c>
      <c r="V77" t="s">
        <v>61</v>
      </c>
      <c r="W77" t="s">
        <v>61</v>
      </c>
      <c r="X77" t="s">
        <v>61</v>
      </c>
      <c r="Y77" t="s">
        <v>61</v>
      </c>
      <c r="Z77" t="s">
        <v>61</v>
      </c>
      <c r="AA77">
        <v>0</v>
      </c>
      <c r="AB77">
        <v>4</v>
      </c>
      <c r="AC77" t="s">
        <v>61</v>
      </c>
      <c r="AD77">
        <v>4</v>
      </c>
      <c r="AE77" t="s">
        <v>1398</v>
      </c>
      <c r="AF77" t="s">
        <v>1398</v>
      </c>
      <c r="AG77" t="s">
        <v>61</v>
      </c>
      <c r="AH77" t="s">
        <v>61</v>
      </c>
      <c r="AI77" t="s">
        <v>61</v>
      </c>
      <c r="AJ77" t="s">
        <v>61</v>
      </c>
      <c r="AK77" t="s">
        <v>61</v>
      </c>
      <c r="AL77" t="s">
        <v>61</v>
      </c>
      <c r="AM77" t="s">
        <v>61</v>
      </c>
      <c r="AN77" t="s">
        <v>61</v>
      </c>
      <c r="AO77" t="s">
        <v>61</v>
      </c>
      <c r="AP77" t="s">
        <v>1398</v>
      </c>
      <c r="AQ77" t="s">
        <v>61</v>
      </c>
      <c r="AR77" t="s">
        <v>61</v>
      </c>
      <c r="AS77" t="s">
        <v>61</v>
      </c>
      <c r="AT77" t="s">
        <v>61</v>
      </c>
      <c r="AU77" t="s">
        <v>61</v>
      </c>
      <c r="AV77" t="s">
        <v>61</v>
      </c>
      <c r="AW77" t="s">
        <v>1398</v>
      </c>
      <c r="AX77" t="s">
        <v>1402</v>
      </c>
    </row>
    <row r="78" spans="1:50" x14ac:dyDescent="0.3">
      <c r="A78" t="s">
        <v>1189</v>
      </c>
      <c r="B78" t="s">
        <v>445</v>
      </c>
      <c r="C78" t="s">
        <v>66</v>
      </c>
      <c r="D78" t="s">
        <v>462</v>
      </c>
      <c r="E78" t="s">
        <v>1398</v>
      </c>
      <c r="F78" t="s">
        <v>48</v>
      </c>
      <c r="G78" t="s">
        <v>39</v>
      </c>
      <c r="H78" t="s">
        <v>1416</v>
      </c>
      <c r="I78" t="s">
        <v>1192</v>
      </c>
      <c r="J78" t="s">
        <v>1203</v>
      </c>
      <c r="K78" t="s">
        <v>1398</v>
      </c>
      <c r="L78" t="s">
        <v>1398</v>
      </c>
      <c r="M78" t="s">
        <v>61</v>
      </c>
      <c r="N78" t="s">
        <v>61</v>
      </c>
      <c r="O78" t="s">
        <v>61</v>
      </c>
      <c r="P78" t="s">
        <v>61</v>
      </c>
      <c r="Q78" t="s">
        <v>61</v>
      </c>
      <c r="R78" t="s">
        <v>61</v>
      </c>
      <c r="S78" t="s">
        <v>61</v>
      </c>
      <c r="T78" t="s">
        <v>61</v>
      </c>
      <c r="U78" t="s">
        <v>61</v>
      </c>
      <c r="V78" t="s">
        <v>61</v>
      </c>
      <c r="W78" t="s">
        <v>61</v>
      </c>
      <c r="X78" t="s">
        <v>61</v>
      </c>
      <c r="Y78" t="s">
        <v>61</v>
      </c>
      <c r="Z78" t="s">
        <v>61</v>
      </c>
      <c r="AA78">
        <v>0</v>
      </c>
      <c r="AB78">
        <v>0</v>
      </c>
      <c r="AC78">
        <v>4</v>
      </c>
      <c r="AD78">
        <v>0</v>
      </c>
      <c r="AE78" t="s">
        <v>61</v>
      </c>
      <c r="AF78" t="s">
        <v>61</v>
      </c>
      <c r="AG78" t="s">
        <v>61</v>
      </c>
      <c r="AH78" t="s">
        <v>61</v>
      </c>
      <c r="AI78" t="s">
        <v>61</v>
      </c>
      <c r="AJ78" t="s">
        <v>61</v>
      </c>
      <c r="AK78" t="s">
        <v>61</v>
      </c>
      <c r="AL78" t="s">
        <v>61</v>
      </c>
      <c r="AM78" t="s">
        <v>61</v>
      </c>
      <c r="AN78" t="s">
        <v>61</v>
      </c>
      <c r="AO78" t="s">
        <v>61</v>
      </c>
      <c r="AP78" t="s">
        <v>61</v>
      </c>
      <c r="AQ78" t="s">
        <v>61</v>
      </c>
      <c r="AR78" t="s">
        <v>1398</v>
      </c>
      <c r="AS78" t="s">
        <v>1398</v>
      </c>
      <c r="AT78" t="s">
        <v>61</v>
      </c>
      <c r="AU78" t="s">
        <v>61</v>
      </c>
      <c r="AV78" t="s">
        <v>61</v>
      </c>
      <c r="AW78" t="s">
        <v>1398</v>
      </c>
      <c r="AX78" t="s">
        <v>1331</v>
      </c>
    </row>
    <row r="79" spans="1:50" x14ac:dyDescent="0.3">
      <c r="A79" t="s">
        <v>1189</v>
      </c>
      <c r="B79" t="s">
        <v>446</v>
      </c>
      <c r="C79" t="s">
        <v>66</v>
      </c>
      <c r="D79" t="s">
        <v>299</v>
      </c>
      <c r="E79" t="s">
        <v>61</v>
      </c>
      <c r="F79" t="s">
        <v>74</v>
      </c>
      <c r="G79" t="s">
        <v>39</v>
      </c>
      <c r="H79" t="s">
        <v>1416</v>
      </c>
      <c r="I79" t="s">
        <v>1193</v>
      </c>
      <c r="J79" t="s">
        <v>1203</v>
      </c>
      <c r="K79" t="s">
        <v>61</v>
      </c>
      <c r="L79" t="s">
        <v>61</v>
      </c>
      <c r="M79" t="s">
        <v>61</v>
      </c>
      <c r="N79" t="s">
        <v>61</v>
      </c>
      <c r="O79" t="s">
        <v>61</v>
      </c>
      <c r="P79" t="s">
        <v>61</v>
      </c>
      <c r="Q79" t="s">
        <v>61</v>
      </c>
      <c r="R79" t="s">
        <v>61</v>
      </c>
      <c r="S79" t="s">
        <v>61</v>
      </c>
      <c r="T79" t="s">
        <v>61</v>
      </c>
      <c r="U79" t="s">
        <v>61</v>
      </c>
      <c r="V79" t="s">
        <v>61</v>
      </c>
      <c r="W79" t="s">
        <v>61</v>
      </c>
      <c r="X79" t="s">
        <v>61</v>
      </c>
      <c r="Y79" t="s">
        <v>61</v>
      </c>
      <c r="Z79" t="s">
        <v>61</v>
      </c>
      <c r="AA79">
        <v>0</v>
      </c>
      <c r="AB79">
        <v>14</v>
      </c>
      <c r="AC79" t="s">
        <v>61</v>
      </c>
      <c r="AD79">
        <v>14</v>
      </c>
      <c r="AE79" t="s">
        <v>61</v>
      </c>
      <c r="AF79" t="s">
        <v>61</v>
      </c>
      <c r="AG79" t="s">
        <v>61</v>
      </c>
      <c r="AH79" t="s">
        <v>61</v>
      </c>
      <c r="AI79" t="s">
        <v>61</v>
      </c>
      <c r="AJ79" t="s">
        <v>61</v>
      </c>
      <c r="AK79" t="s">
        <v>61</v>
      </c>
      <c r="AL79" t="s">
        <v>61</v>
      </c>
      <c r="AM79" t="s">
        <v>61</v>
      </c>
      <c r="AN79" t="s">
        <v>61</v>
      </c>
      <c r="AO79" t="s">
        <v>61</v>
      </c>
      <c r="AP79" t="s">
        <v>61</v>
      </c>
      <c r="AQ79" t="s">
        <v>1398</v>
      </c>
      <c r="AR79" t="s">
        <v>61</v>
      </c>
      <c r="AS79" t="s">
        <v>61</v>
      </c>
      <c r="AT79" t="s">
        <v>61</v>
      </c>
      <c r="AU79" t="s">
        <v>61</v>
      </c>
      <c r="AV79" t="s">
        <v>61</v>
      </c>
      <c r="AW79" t="s">
        <v>1398</v>
      </c>
      <c r="AX79" t="s">
        <v>1409</v>
      </c>
    </row>
    <row r="80" spans="1:50" x14ac:dyDescent="0.3">
      <c r="A80" t="s">
        <v>1189</v>
      </c>
      <c r="B80" t="s">
        <v>1316</v>
      </c>
      <c r="C80" t="s">
        <v>40</v>
      </c>
      <c r="D80" t="s">
        <v>40</v>
      </c>
      <c r="E80" t="s">
        <v>1398</v>
      </c>
      <c r="F80" t="s">
        <v>74</v>
      </c>
      <c r="G80" t="s">
        <v>39</v>
      </c>
      <c r="H80" t="s">
        <v>1416</v>
      </c>
      <c r="I80" t="s">
        <v>1192</v>
      </c>
      <c r="J80" t="s">
        <v>1193</v>
      </c>
      <c r="K80" t="s">
        <v>61</v>
      </c>
      <c r="L80" t="s">
        <v>61</v>
      </c>
      <c r="M80" t="s">
        <v>61</v>
      </c>
      <c r="N80" t="s">
        <v>61</v>
      </c>
      <c r="O80" t="s">
        <v>61</v>
      </c>
      <c r="P80" t="s">
        <v>61</v>
      </c>
      <c r="Q80" t="s">
        <v>61</v>
      </c>
      <c r="R80" t="s">
        <v>61</v>
      </c>
      <c r="S80" t="s">
        <v>61</v>
      </c>
      <c r="T80" t="s">
        <v>1398</v>
      </c>
      <c r="U80" t="s">
        <v>61</v>
      </c>
      <c r="V80" t="s">
        <v>1398</v>
      </c>
      <c r="W80" t="s">
        <v>61</v>
      </c>
      <c r="X80" t="s">
        <v>61</v>
      </c>
      <c r="Y80" t="s">
        <v>61</v>
      </c>
      <c r="Z80" t="s">
        <v>61</v>
      </c>
      <c r="AA80">
        <v>0</v>
      </c>
      <c r="AB80">
        <v>9</v>
      </c>
      <c r="AC80" t="s">
        <v>61</v>
      </c>
      <c r="AD80">
        <v>9</v>
      </c>
      <c r="AE80" t="s">
        <v>1398</v>
      </c>
      <c r="AF80" t="s">
        <v>1398</v>
      </c>
      <c r="AG80" t="s">
        <v>61</v>
      </c>
      <c r="AH80" t="s">
        <v>61</v>
      </c>
      <c r="AI80" t="s">
        <v>61</v>
      </c>
      <c r="AJ80" t="s">
        <v>61</v>
      </c>
      <c r="AK80" t="s">
        <v>61</v>
      </c>
      <c r="AL80" t="s">
        <v>61</v>
      </c>
      <c r="AM80" t="s">
        <v>61</v>
      </c>
      <c r="AN80" t="s">
        <v>61</v>
      </c>
      <c r="AO80" t="s">
        <v>61</v>
      </c>
      <c r="AP80" t="s">
        <v>61</v>
      </c>
      <c r="AQ80" t="s">
        <v>61</v>
      </c>
      <c r="AR80" t="s">
        <v>61</v>
      </c>
      <c r="AS80" t="s">
        <v>61</v>
      </c>
      <c r="AT80" t="s">
        <v>61</v>
      </c>
      <c r="AU80" t="s">
        <v>61</v>
      </c>
      <c r="AV80" t="s">
        <v>61</v>
      </c>
      <c r="AW80" t="s">
        <v>61</v>
      </c>
      <c r="AX80" t="s">
        <v>61</v>
      </c>
    </row>
    <row r="81" spans="1:50" x14ac:dyDescent="0.3">
      <c r="A81" t="s">
        <v>1189</v>
      </c>
      <c r="B81" t="s">
        <v>732</v>
      </c>
      <c r="C81" t="s">
        <v>66</v>
      </c>
      <c r="D81" t="s">
        <v>65</v>
      </c>
      <c r="E81" t="s">
        <v>1398</v>
      </c>
      <c r="F81" t="s">
        <v>74</v>
      </c>
      <c r="G81" t="s">
        <v>89</v>
      </c>
      <c r="H81" t="s">
        <v>1416</v>
      </c>
      <c r="I81" t="s">
        <v>1193</v>
      </c>
      <c r="J81" t="s">
        <v>1193</v>
      </c>
      <c r="K81" t="s">
        <v>1398</v>
      </c>
      <c r="L81" t="s">
        <v>61</v>
      </c>
      <c r="M81" t="s">
        <v>61</v>
      </c>
      <c r="N81" t="s">
        <v>1398</v>
      </c>
      <c r="O81" t="s">
        <v>61</v>
      </c>
      <c r="P81" t="s">
        <v>61</v>
      </c>
      <c r="Q81" t="s">
        <v>61</v>
      </c>
      <c r="R81" t="s">
        <v>61</v>
      </c>
      <c r="S81" t="s">
        <v>61</v>
      </c>
      <c r="T81" t="s">
        <v>61</v>
      </c>
      <c r="U81" t="s">
        <v>61</v>
      </c>
      <c r="V81" t="s">
        <v>61</v>
      </c>
      <c r="W81" t="s">
        <v>61</v>
      </c>
      <c r="X81" t="s">
        <v>61</v>
      </c>
      <c r="Y81" t="s">
        <v>61</v>
      </c>
      <c r="Z81" t="s">
        <v>61</v>
      </c>
      <c r="AA81">
        <v>0</v>
      </c>
      <c r="AB81">
        <v>3</v>
      </c>
      <c r="AC81" t="s">
        <v>61</v>
      </c>
      <c r="AD81">
        <v>3</v>
      </c>
      <c r="AE81" t="s">
        <v>1398</v>
      </c>
      <c r="AF81" t="s">
        <v>61</v>
      </c>
      <c r="AG81" t="s">
        <v>1398</v>
      </c>
      <c r="AH81" t="s">
        <v>61</v>
      </c>
      <c r="AI81" t="s">
        <v>61</v>
      </c>
      <c r="AJ81" t="s">
        <v>61</v>
      </c>
      <c r="AK81" t="s">
        <v>61</v>
      </c>
      <c r="AL81" t="s">
        <v>61</v>
      </c>
      <c r="AM81" t="s">
        <v>61</v>
      </c>
      <c r="AN81" t="s">
        <v>61</v>
      </c>
      <c r="AO81" t="s">
        <v>1398</v>
      </c>
      <c r="AP81" t="s">
        <v>61</v>
      </c>
      <c r="AQ81" t="s">
        <v>61</v>
      </c>
      <c r="AR81" t="s">
        <v>61</v>
      </c>
      <c r="AS81" t="s">
        <v>61</v>
      </c>
      <c r="AT81" t="s">
        <v>61</v>
      </c>
      <c r="AU81" t="s">
        <v>61</v>
      </c>
      <c r="AV81" t="s">
        <v>61</v>
      </c>
      <c r="AW81" t="s">
        <v>61</v>
      </c>
      <c r="AX81" t="s">
        <v>61</v>
      </c>
    </row>
    <row r="82" spans="1:50" x14ac:dyDescent="0.3">
      <c r="A82" t="s">
        <v>1189</v>
      </c>
      <c r="B82" t="s">
        <v>759</v>
      </c>
      <c r="C82" t="s">
        <v>66</v>
      </c>
      <c r="D82" t="s">
        <v>1239</v>
      </c>
      <c r="E82" t="s">
        <v>61</v>
      </c>
      <c r="F82" t="s">
        <v>74</v>
      </c>
      <c r="G82" t="s">
        <v>39</v>
      </c>
      <c r="H82" t="s">
        <v>1415</v>
      </c>
      <c r="I82" t="s">
        <v>1193</v>
      </c>
      <c r="J82" t="s">
        <v>1192</v>
      </c>
      <c r="K82" t="s">
        <v>1398</v>
      </c>
      <c r="L82" t="s">
        <v>61</v>
      </c>
      <c r="M82" t="s">
        <v>61</v>
      </c>
      <c r="N82" t="s">
        <v>61</v>
      </c>
      <c r="O82" t="s">
        <v>61</v>
      </c>
      <c r="P82" t="s">
        <v>61</v>
      </c>
      <c r="Q82" t="s">
        <v>61</v>
      </c>
      <c r="R82" t="s">
        <v>61</v>
      </c>
      <c r="S82" t="s">
        <v>61</v>
      </c>
      <c r="T82" t="s">
        <v>61</v>
      </c>
      <c r="U82" t="s">
        <v>61</v>
      </c>
      <c r="V82" t="s">
        <v>61</v>
      </c>
      <c r="W82" t="s">
        <v>61</v>
      </c>
      <c r="X82" t="s">
        <v>61</v>
      </c>
      <c r="Y82" t="s">
        <v>61</v>
      </c>
      <c r="Z82" t="s">
        <v>61</v>
      </c>
      <c r="AA82">
        <v>2</v>
      </c>
      <c r="AB82">
        <v>8</v>
      </c>
      <c r="AC82" t="s">
        <v>61</v>
      </c>
      <c r="AD82">
        <v>68</v>
      </c>
      <c r="AE82" t="s">
        <v>61</v>
      </c>
      <c r="AF82" t="s">
        <v>61</v>
      </c>
      <c r="AG82" t="s">
        <v>61</v>
      </c>
      <c r="AH82" t="s">
        <v>61</v>
      </c>
      <c r="AI82" t="s">
        <v>61</v>
      </c>
      <c r="AJ82" t="s">
        <v>1398</v>
      </c>
      <c r="AK82" t="s">
        <v>61</v>
      </c>
      <c r="AL82" t="s">
        <v>61</v>
      </c>
      <c r="AM82" t="s">
        <v>61</v>
      </c>
      <c r="AN82" t="s">
        <v>61</v>
      </c>
      <c r="AO82" t="s">
        <v>61</v>
      </c>
      <c r="AP82" t="s">
        <v>61</v>
      </c>
      <c r="AQ82" t="s">
        <v>61</v>
      </c>
      <c r="AR82" t="s">
        <v>61</v>
      </c>
      <c r="AS82" t="s">
        <v>61</v>
      </c>
      <c r="AT82" t="s">
        <v>61</v>
      </c>
      <c r="AU82" t="s">
        <v>61</v>
      </c>
      <c r="AV82" t="s">
        <v>61</v>
      </c>
      <c r="AW82" t="s">
        <v>61</v>
      </c>
      <c r="AX82" t="s">
        <v>61</v>
      </c>
    </row>
    <row r="83" spans="1:50" x14ac:dyDescent="0.3">
      <c r="A83" t="s">
        <v>1189</v>
      </c>
      <c r="B83" t="s">
        <v>325</v>
      </c>
      <c r="C83" t="s">
        <v>66</v>
      </c>
      <c r="D83" t="s">
        <v>1326</v>
      </c>
      <c r="E83" t="s">
        <v>61</v>
      </c>
      <c r="F83" t="s">
        <v>48</v>
      </c>
      <c r="G83" t="s">
        <v>89</v>
      </c>
      <c r="H83" t="s">
        <v>1416</v>
      </c>
      <c r="I83" t="s">
        <v>1192</v>
      </c>
      <c r="J83" t="s">
        <v>1192</v>
      </c>
      <c r="K83" t="s">
        <v>1398</v>
      </c>
      <c r="L83" t="s">
        <v>61</v>
      </c>
      <c r="M83" t="s">
        <v>61</v>
      </c>
      <c r="N83" t="s">
        <v>61</v>
      </c>
      <c r="O83" t="s">
        <v>61</v>
      </c>
      <c r="P83" t="s">
        <v>61</v>
      </c>
      <c r="Q83" t="s">
        <v>61</v>
      </c>
      <c r="R83" t="s">
        <v>61</v>
      </c>
      <c r="S83" t="s">
        <v>61</v>
      </c>
      <c r="T83" t="s">
        <v>61</v>
      </c>
      <c r="U83" t="s">
        <v>61</v>
      </c>
      <c r="V83" t="s">
        <v>61</v>
      </c>
      <c r="W83" t="s">
        <v>61</v>
      </c>
      <c r="X83" t="s">
        <v>61</v>
      </c>
      <c r="Y83" t="s">
        <v>61</v>
      </c>
      <c r="Z83" t="s">
        <v>61</v>
      </c>
      <c r="AA83">
        <v>0</v>
      </c>
      <c r="AB83">
        <v>2</v>
      </c>
      <c r="AC83" t="s">
        <v>61</v>
      </c>
      <c r="AD83">
        <v>2</v>
      </c>
      <c r="AE83" t="s">
        <v>61</v>
      </c>
      <c r="AF83" t="s">
        <v>61</v>
      </c>
      <c r="AG83" t="s">
        <v>61</v>
      </c>
      <c r="AH83" t="s">
        <v>61</v>
      </c>
      <c r="AI83" t="s">
        <v>61</v>
      </c>
      <c r="AJ83" t="s">
        <v>61</v>
      </c>
      <c r="AK83" t="s">
        <v>61</v>
      </c>
      <c r="AL83" t="s">
        <v>1398</v>
      </c>
      <c r="AM83" t="s">
        <v>61</v>
      </c>
      <c r="AN83" t="s">
        <v>61</v>
      </c>
      <c r="AO83" t="s">
        <v>61</v>
      </c>
      <c r="AP83" t="s">
        <v>61</v>
      </c>
      <c r="AQ83" t="s">
        <v>61</v>
      </c>
      <c r="AR83" t="s">
        <v>61</v>
      </c>
      <c r="AS83" t="s">
        <v>61</v>
      </c>
      <c r="AT83" t="s">
        <v>61</v>
      </c>
      <c r="AU83" t="s">
        <v>61</v>
      </c>
      <c r="AV83" t="s">
        <v>61</v>
      </c>
      <c r="AW83" t="s">
        <v>61</v>
      </c>
      <c r="AX83" t="s">
        <v>61</v>
      </c>
    </row>
    <row r="84" spans="1:50" x14ac:dyDescent="0.3">
      <c r="A84" t="s">
        <v>1189</v>
      </c>
      <c r="B84" t="s">
        <v>711</v>
      </c>
      <c r="C84" t="s">
        <v>66</v>
      </c>
      <c r="D84" t="s">
        <v>1327</v>
      </c>
      <c r="E84" t="s">
        <v>1398</v>
      </c>
      <c r="F84" t="s">
        <v>48</v>
      </c>
      <c r="G84" t="s">
        <v>39</v>
      </c>
      <c r="H84" t="s">
        <v>1415</v>
      </c>
      <c r="I84" t="s">
        <v>1203</v>
      </c>
      <c r="J84" t="s">
        <v>1203</v>
      </c>
      <c r="K84" t="s">
        <v>61</v>
      </c>
      <c r="L84" t="s">
        <v>61</v>
      </c>
      <c r="M84" t="s">
        <v>61</v>
      </c>
      <c r="N84" t="s">
        <v>61</v>
      </c>
      <c r="O84" t="s">
        <v>61</v>
      </c>
      <c r="P84" t="s">
        <v>61</v>
      </c>
      <c r="Q84" t="s">
        <v>61</v>
      </c>
      <c r="R84" t="s">
        <v>61</v>
      </c>
      <c r="S84" t="s">
        <v>61</v>
      </c>
      <c r="T84" t="s">
        <v>61</v>
      </c>
      <c r="U84" t="s">
        <v>61</v>
      </c>
      <c r="V84" t="s">
        <v>61</v>
      </c>
      <c r="W84" t="s">
        <v>61</v>
      </c>
      <c r="X84" t="s">
        <v>61</v>
      </c>
      <c r="Y84" t="s">
        <v>61</v>
      </c>
      <c r="Z84" t="s">
        <v>1398</v>
      </c>
      <c r="AA84">
        <v>6</v>
      </c>
      <c r="AB84">
        <v>0</v>
      </c>
      <c r="AC84" t="s">
        <v>61</v>
      </c>
      <c r="AD84">
        <v>180</v>
      </c>
      <c r="AE84" t="s">
        <v>61</v>
      </c>
      <c r="AF84" t="s">
        <v>61</v>
      </c>
      <c r="AG84" t="s">
        <v>61</v>
      </c>
      <c r="AH84" t="s">
        <v>61</v>
      </c>
      <c r="AI84" t="s">
        <v>61</v>
      </c>
      <c r="AJ84" t="s">
        <v>61</v>
      </c>
      <c r="AK84" t="s">
        <v>61</v>
      </c>
      <c r="AL84" t="s">
        <v>61</v>
      </c>
      <c r="AM84" t="s">
        <v>61</v>
      </c>
      <c r="AN84" t="s">
        <v>61</v>
      </c>
      <c r="AO84" t="s">
        <v>61</v>
      </c>
      <c r="AP84" t="s">
        <v>61</v>
      </c>
      <c r="AQ84" t="s">
        <v>61</v>
      </c>
      <c r="AR84" t="s">
        <v>61</v>
      </c>
      <c r="AS84" t="s">
        <v>61</v>
      </c>
      <c r="AT84" t="s">
        <v>61</v>
      </c>
      <c r="AU84" t="s">
        <v>61</v>
      </c>
      <c r="AV84" t="s">
        <v>61</v>
      </c>
      <c r="AW84" t="s">
        <v>1398</v>
      </c>
      <c r="AX84" t="s">
        <v>1352</v>
      </c>
    </row>
    <row r="85" spans="1:50" x14ac:dyDescent="0.3">
      <c r="A85" t="s">
        <v>1189</v>
      </c>
      <c r="B85" t="s">
        <v>577</v>
      </c>
      <c r="C85" t="s">
        <v>66</v>
      </c>
      <c r="D85" t="s">
        <v>231</v>
      </c>
      <c r="E85" t="s">
        <v>61</v>
      </c>
      <c r="F85" t="s">
        <v>74</v>
      </c>
      <c r="G85" t="s">
        <v>89</v>
      </c>
      <c r="H85" t="s">
        <v>1415</v>
      </c>
      <c r="I85" t="s">
        <v>1203</v>
      </c>
      <c r="J85" t="s">
        <v>1203</v>
      </c>
      <c r="K85" t="s">
        <v>1398</v>
      </c>
      <c r="L85" t="s">
        <v>61</v>
      </c>
      <c r="M85" t="s">
        <v>61</v>
      </c>
      <c r="N85" t="s">
        <v>61</v>
      </c>
      <c r="O85" t="s">
        <v>61</v>
      </c>
      <c r="P85" t="s">
        <v>61</v>
      </c>
      <c r="Q85" t="s">
        <v>61</v>
      </c>
      <c r="R85" t="s">
        <v>61</v>
      </c>
      <c r="S85" t="s">
        <v>61</v>
      </c>
      <c r="T85" t="s">
        <v>61</v>
      </c>
      <c r="U85" t="s">
        <v>61</v>
      </c>
      <c r="V85" t="s">
        <v>61</v>
      </c>
      <c r="W85" t="s">
        <v>61</v>
      </c>
      <c r="X85" t="s">
        <v>61</v>
      </c>
      <c r="Y85" t="s">
        <v>61</v>
      </c>
      <c r="Z85" t="s">
        <v>61</v>
      </c>
      <c r="AA85">
        <v>3</v>
      </c>
      <c r="AB85">
        <v>10</v>
      </c>
      <c r="AC85" t="s">
        <v>61</v>
      </c>
      <c r="AD85">
        <v>100</v>
      </c>
      <c r="AE85" t="s">
        <v>61</v>
      </c>
      <c r="AF85" t="s">
        <v>61</v>
      </c>
      <c r="AG85" t="s">
        <v>61</v>
      </c>
      <c r="AH85" t="s">
        <v>61</v>
      </c>
      <c r="AI85" t="s">
        <v>61</v>
      </c>
      <c r="AJ85" t="s">
        <v>61</v>
      </c>
      <c r="AK85" t="s">
        <v>1398</v>
      </c>
      <c r="AL85" t="s">
        <v>61</v>
      </c>
      <c r="AM85" t="s">
        <v>61</v>
      </c>
      <c r="AN85" t="s">
        <v>61</v>
      </c>
      <c r="AO85" t="s">
        <v>1398</v>
      </c>
      <c r="AP85" t="s">
        <v>1398</v>
      </c>
      <c r="AQ85" t="s">
        <v>61</v>
      </c>
      <c r="AR85" t="s">
        <v>61</v>
      </c>
      <c r="AS85" t="s">
        <v>61</v>
      </c>
      <c r="AT85" t="s">
        <v>61</v>
      </c>
      <c r="AU85" t="s">
        <v>61</v>
      </c>
      <c r="AV85" t="s">
        <v>61</v>
      </c>
      <c r="AW85" t="s">
        <v>61</v>
      </c>
      <c r="AX85" t="s">
        <v>61</v>
      </c>
    </row>
    <row r="86" spans="1:50" x14ac:dyDescent="0.3">
      <c r="A86" t="s">
        <v>1189</v>
      </c>
      <c r="B86" t="s">
        <v>891</v>
      </c>
      <c r="C86" t="s">
        <v>66</v>
      </c>
      <c r="D86" t="s">
        <v>231</v>
      </c>
      <c r="E86" t="s">
        <v>61</v>
      </c>
      <c r="F86" t="s">
        <v>48</v>
      </c>
      <c r="G86" t="s">
        <v>39</v>
      </c>
      <c r="H86" t="s">
        <v>1416</v>
      </c>
      <c r="I86" t="s">
        <v>1193</v>
      </c>
      <c r="J86" t="s">
        <v>1193</v>
      </c>
      <c r="K86" t="s">
        <v>61</v>
      </c>
      <c r="L86" t="s">
        <v>61</v>
      </c>
      <c r="M86" t="s">
        <v>61</v>
      </c>
      <c r="N86" t="s">
        <v>61</v>
      </c>
      <c r="O86" t="s">
        <v>61</v>
      </c>
      <c r="P86" t="s">
        <v>61</v>
      </c>
      <c r="Q86" t="s">
        <v>61</v>
      </c>
      <c r="R86" t="s">
        <v>61</v>
      </c>
      <c r="S86" t="s">
        <v>61</v>
      </c>
      <c r="T86" t="s">
        <v>61</v>
      </c>
      <c r="U86" t="s">
        <v>61</v>
      </c>
      <c r="V86" t="s">
        <v>61</v>
      </c>
      <c r="W86" t="s">
        <v>61</v>
      </c>
      <c r="X86" t="s">
        <v>61</v>
      </c>
      <c r="Y86" t="s">
        <v>61</v>
      </c>
      <c r="Z86" t="s">
        <v>61</v>
      </c>
      <c r="AA86">
        <v>0</v>
      </c>
      <c r="AB86">
        <v>3</v>
      </c>
      <c r="AC86" t="s">
        <v>61</v>
      </c>
      <c r="AD86">
        <v>3</v>
      </c>
      <c r="AE86" t="s">
        <v>1398</v>
      </c>
      <c r="AF86" t="s">
        <v>1398</v>
      </c>
      <c r="AG86" t="s">
        <v>61</v>
      </c>
      <c r="AH86" t="s">
        <v>61</v>
      </c>
      <c r="AI86" t="s">
        <v>61</v>
      </c>
      <c r="AJ86" t="s">
        <v>61</v>
      </c>
      <c r="AK86" t="s">
        <v>61</v>
      </c>
      <c r="AL86" t="s">
        <v>61</v>
      </c>
      <c r="AM86" t="s">
        <v>61</v>
      </c>
      <c r="AN86" t="s">
        <v>61</v>
      </c>
      <c r="AO86" t="s">
        <v>61</v>
      </c>
      <c r="AP86" t="s">
        <v>61</v>
      </c>
      <c r="AQ86" t="s">
        <v>61</v>
      </c>
      <c r="AR86" t="s">
        <v>61</v>
      </c>
      <c r="AS86" t="s">
        <v>61</v>
      </c>
      <c r="AT86" t="s">
        <v>61</v>
      </c>
      <c r="AU86" t="s">
        <v>61</v>
      </c>
      <c r="AV86" t="s">
        <v>61</v>
      </c>
      <c r="AW86" t="s">
        <v>61</v>
      </c>
      <c r="AX86" t="s">
        <v>61</v>
      </c>
    </row>
    <row r="87" spans="1:50" x14ac:dyDescent="0.3">
      <c r="A87" t="s">
        <v>1189</v>
      </c>
      <c r="B87" t="s">
        <v>445</v>
      </c>
      <c r="C87" t="s">
        <v>40</v>
      </c>
      <c r="D87" t="s">
        <v>40</v>
      </c>
      <c r="E87" t="s">
        <v>61</v>
      </c>
      <c r="F87" t="s">
        <v>74</v>
      </c>
      <c r="G87" t="s">
        <v>89</v>
      </c>
      <c r="H87" t="s">
        <v>1415</v>
      </c>
      <c r="I87" t="s">
        <v>1203</v>
      </c>
      <c r="J87" t="s">
        <v>1203</v>
      </c>
      <c r="K87" t="s">
        <v>61</v>
      </c>
      <c r="L87" t="s">
        <v>61</v>
      </c>
      <c r="M87" t="s">
        <v>61</v>
      </c>
      <c r="N87" t="s">
        <v>61</v>
      </c>
      <c r="O87" t="s">
        <v>61</v>
      </c>
      <c r="P87" t="s">
        <v>61</v>
      </c>
      <c r="Q87" t="s">
        <v>61</v>
      </c>
      <c r="R87" t="s">
        <v>61</v>
      </c>
      <c r="S87" t="s">
        <v>61</v>
      </c>
      <c r="T87" t="s">
        <v>61</v>
      </c>
      <c r="U87" t="s">
        <v>61</v>
      </c>
      <c r="V87" t="s">
        <v>61</v>
      </c>
      <c r="W87" t="s">
        <v>61</v>
      </c>
      <c r="X87" t="s">
        <v>61</v>
      </c>
      <c r="Y87" t="s">
        <v>61</v>
      </c>
      <c r="Z87" t="s">
        <v>61</v>
      </c>
      <c r="AA87">
        <v>2</v>
      </c>
      <c r="AB87">
        <v>15</v>
      </c>
      <c r="AC87" t="s">
        <v>61</v>
      </c>
      <c r="AD87">
        <v>75</v>
      </c>
      <c r="AE87" t="s">
        <v>61</v>
      </c>
      <c r="AF87" t="s">
        <v>61</v>
      </c>
      <c r="AG87" t="s">
        <v>61</v>
      </c>
      <c r="AH87" t="s">
        <v>61</v>
      </c>
      <c r="AI87" t="s">
        <v>61</v>
      </c>
      <c r="AJ87" t="s">
        <v>61</v>
      </c>
      <c r="AK87" t="s">
        <v>1398</v>
      </c>
      <c r="AL87" t="s">
        <v>61</v>
      </c>
      <c r="AM87" t="s">
        <v>61</v>
      </c>
      <c r="AN87" t="s">
        <v>1398</v>
      </c>
      <c r="AO87" t="s">
        <v>61</v>
      </c>
      <c r="AP87" t="s">
        <v>1398</v>
      </c>
      <c r="AQ87" t="s">
        <v>61</v>
      </c>
      <c r="AR87" t="s">
        <v>61</v>
      </c>
      <c r="AS87" t="s">
        <v>61</v>
      </c>
      <c r="AT87" t="s">
        <v>61</v>
      </c>
      <c r="AU87" t="s">
        <v>61</v>
      </c>
      <c r="AV87" t="s">
        <v>61</v>
      </c>
      <c r="AW87" t="s">
        <v>61</v>
      </c>
      <c r="AX87" t="s">
        <v>61</v>
      </c>
    </row>
    <row r="88" spans="1:50" x14ac:dyDescent="0.3">
      <c r="A88" t="s">
        <v>1189</v>
      </c>
      <c r="B88" t="s">
        <v>86</v>
      </c>
      <c r="C88" t="s">
        <v>40</v>
      </c>
      <c r="D88" t="s">
        <v>40</v>
      </c>
      <c r="E88" t="s">
        <v>1398</v>
      </c>
      <c r="F88" t="s">
        <v>48</v>
      </c>
      <c r="G88" t="s">
        <v>89</v>
      </c>
      <c r="H88" t="s">
        <v>1415</v>
      </c>
      <c r="I88" t="s">
        <v>1203</v>
      </c>
      <c r="J88" t="s">
        <v>1194</v>
      </c>
      <c r="K88" t="s">
        <v>1398</v>
      </c>
      <c r="L88" t="s">
        <v>61</v>
      </c>
      <c r="M88" t="s">
        <v>61</v>
      </c>
      <c r="N88" t="s">
        <v>61</v>
      </c>
      <c r="O88" t="s">
        <v>61</v>
      </c>
      <c r="P88" t="s">
        <v>61</v>
      </c>
      <c r="Q88" t="s">
        <v>61</v>
      </c>
      <c r="R88" t="s">
        <v>61</v>
      </c>
      <c r="S88" t="s">
        <v>61</v>
      </c>
      <c r="T88" t="s">
        <v>61</v>
      </c>
      <c r="U88" t="s">
        <v>61</v>
      </c>
      <c r="V88" t="s">
        <v>61</v>
      </c>
      <c r="W88" t="s">
        <v>61</v>
      </c>
      <c r="X88" t="s">
        <v>61</v>
      </c>
      <c r="Y88" t="s">
        <v>61</v>
      </c>
      <c r="Z88" t="s">
        <v>1398</v>
      </c>
      <c r="AA88">
        <v>1</v>
      </c>
      <c r="AB88">
        <v>19</v>
      </c>
      <c r="AC88" t="s">
        <v>61</v>
      </c>
      <c r="AD88">
        <v>49</v>
      </c>
      <c r="AE88" t="s">
        <v>61</v>
      </c>
      <c r="AF88" t="s">
        <v>61</v>
      </c>
      <c r="AG88" t="s">
        <v>61</v>
      </c>
      <c r="AH88" t="s">
        <v>61</v>
      </c>
      <c r="AI88" t="s">
        <v>1398</v>
      </c>
      <c r="AJ88" t="s">
        <v>61</v>
      </c>
      <c r="AK88" t="s">
        <v>61</v>
      </c>
      <c r="AL88" t="s">
        <v>61</v>
      </c>
      <c r="AM88" t="s">
        <v>61</v>
      </c>
      <c r="AN88" t="s">
        <v>61</v>
      </c>
      <c r="AO88" t="s">
        <v>61</v>
      </c>
      <c r="AP88" t="s">
        <v>61</v>
      </c>
      <c r="AQ88" t="s">
        <v>61</v>
      </c>
      <c r="AR88" t="s">
        <v>61</v>
      </c>
      <c r="AS88" t="s">
        <v>61</v>
      </c>
      <c r="AT88" t="s">
        <v>1398</v>
      </c>
      <c r="AU88" t="s">
        <v>1398</v>
      </c>
      <c r="AV88" t="s">
        <v>61</v>
      </c>
      <c r="AW88" t="s">
        <v>61</v>
      </c>
      <c r="AX88" t="s">
        <v>61</v>
      </c>
    </row>
    <row r="89" spans="1:50" x14ac:dyDescent="0.3">
      <c r="A89" t="s">
        <v>1189</v>
      </c>
      <c r="B89" t="s">
        <v>882</v>
      </c>
      <c r="C89" t="s">
        <v>66</v>
      </c>
      <c r="D89" t="s">
        <v>1144</v>
      </c>
      <c r="E89" t="s">
        <v>1398</v>
      </c>
      <c r="F89" t="s">
        <v>74</v>
      </c>
      <c r="G89" t="s">
        <v>89</v>
      </c>
      <c r="H89" t="s">
        <v>1415</v>
      </c>
      <c r="I89" t="s">
        <v>1203</v>
      </c>
      <c r="J89" t="s">
        <v>1203</v>
      </c>
      <c r="K89" t="s">
        <v>61</v>
      </c>
      <c r="L89" t="s">
        <v>61</v>
      </c>
      <c r="M89" t="s">
        <v>61</v>
      </c>
      <c r="N89" t="s">
        <v>61</v>
      </c>
      <c r="O89" t="s">
        <v>61</v>
      </c>
      <c r="P89" t="s">
        <v>61</v>
      </c>
      <c r="Q89" t="s">
        <v>61</v>
      </c>
      <c r="R89" t="s">
        <v>61</v>
      </c>
      <c r="S89" t="s">
        <v>61</v>
      </c>
      <c r="T89" t="s">
        <v>61</v>
      </c>
      <c r="U89" t="s">
        <v>61</v>
      </c>
      <c r="V89" t="s">
        <v>61</v>
      </c>
      <c r="W89" t="s">
        <v>1398</v>
      </c>
      <c r="X89" t="s">
        <v>61</v>
      </c>
      <c r="Y89" t="s">
        <v>61</v>
      </c>
      <c r="Z89" t="s">
        <v>61</v>
      </c>
      <c r="AA89">
        <v>5</v>
      </c>
      <c r="AB89">
        <v>15</v>
      </c>
      <c r="AC89" t="s">
        <v>61</v>
      </c>
      <c r="AD89">
        <v>165</v>
      </c>
      <c r="AE89" t="s">
        <v>61</v>
      </c>
      <c r="AF89" t="s">
        <v>61</v>
      </c>
      <c r="AG89" t="s">
        <v>61</v>
      </c>
      <c r="AH89" t="s">
        <v>61</v>
      </c>
      <c r="AI89" t="s">
        <v>61</v>
      </c>
      <c r="AJ89" t="s">
        <v>61</v>
      </c>
      <c r="AK89" t="s">
        <v>61</v>
      </c>
      <c r="AL89" t="s">
        <v>61</v>
      </c>
      <c r="AM89" t="s">
        <v>61</v>
      </c>
      <c r="AN89" t="s">
        <v>61</v>
      </c>
      <c r="AO89" t="s">
        <v>1398</v>
      </c>
      <c r="AP89" t="s">
        <v>61</v>
      </c>
      <c r="AQ89" t="s">
        <v>61</v>
      </c>
      <c r="AR89" t="s">
        <v>61</v>
      </c>
      <c r="AS89" t="s">
        <v>61</v>
      </c>
      <c r="AT89" t="s">
        <v>61</v>
      </c>
      <c r="AU89" t="s">
        <v>61</v>
      </c>
      <c r="AV89" t="s">
        <v>61</v>
      </c>
      <c r="AW89" t="s">
        <v>1398</v>
      </c>
      <c r="AX89" t="s">
        <v>1355</v>
      </c>
    </row>
    <row r="90" spans="1:50" x14ac:dyDescent="0.3">
      <c r="A90" t="s">
        <v>1189</v>
      </c>
      <c r="B90" t="s">
        <v>124</v>
      </c>
      <c r="C90" t="s">
        <v>40</v>
      </c>
      <c r="D90" t="s">
        <v>40</v>
      </c>
      <c r="E90" t="s">
        <v>1398</v>
      </c>
      <c r="F90" t="s">
        <v>74</v>
      </c>
      <c r="G90" t="s">
        <v>39</v>
      </c>
      <c r="H90" t="s">
        <v>1415</v>
      </c>
      <c r="I90" t="s">
        <v>1203</v>
      </c>
      <c r="J90" t="s">
        <v>162</v>
      </c>
      <c r="K90" t="s">
        <v>1398</v>
      </c>
      <c r="L90" t="s">
        <v>61</v>
      </c>
      <c r="M90" t="s">
        <v>61</v>
      </c>
      <c r="N90" t="s">
        <v>61</v>
      </c>
      <c r="O90" t="s">
        <v>61</v>
      </c>
      <c r="P90" t="s">
        <v>61</v>
      </c>
      <c r="Q90" t="s">
        <v>61</v>
      </c>
      <c r="R90" t="s">
        <v>61</v>
      </c>
      <c r="S90" t="s">
        <v>61</v>
      </c>
      <c r="T90" t="s">
        <v>61</v>
      </c>
      <c r="U90" t="s">
        <v>61</v>
      </c>
      <c r="V90" t="s">
        <v>1398</v>
      </c>
      <c r="W90" t="s">
        <v>61</v>
      </c>
      <c r="X90" t="s">
        <v>61</v>
      </c>
      <c r="Y90" t="s">
        <v>61</v>
      </c>
      <c r="Z90" t="s">
        <v>61</v>
      </c>
      <c r="AA90">
        <v>3</v>
      </c>
      <c r="AB90">
        <v>21</v>
      </c>
      <c r="AC90" t="s">
        <v>61</v>
      </c>
      <c r="AD90">
        <v>111</v>
      </c>
      <c r="AE90" t="s">
        <v>61</v>
      </c>
      <c r="AF90" t="s">
        <v>61</v>
      </c>
      <c r="AG90" t="s">
        <v>61</v>
      </c>
      <c r="AH90" t="s">
        <v>61</v>
      </c>
      <c r="AI90" t="s">
        <v>61</v>
      </c>
      <c r="AJ90" t="s">
        <v>61</v>
      </c>
      <c r="AK90" t="s">
        <v>61</v>
      </c>
      <c r="AL90" t="s">
        <v>61</v>
      </c>
      <c r="AM90" t="s">
        <v>61</v>
      </c>
      <c r="AN90" t="s">
        <v>61</v>
      </c>
      <c r="AO90" t="s">
        <v>61</v>
      </c>
      <c r="AP90" t="s">
        <v>61</v>
      </c>
      <c r="AQ90" t="s">
        <v>61</v>
      </c>
      <c r="AR90" t="s">
        <v>61</v>
      </c>
      <c r="AS90" t="s">
        <v>61</v>
      </c>
      <c r="AT90" t="s">
        <v>1398</v>
      </c>
      <c r="AU90" t="s">
        <v>1398</v>
      </c>
      <c r="AV90" t="s">
        <v>61</v>
      </c>
      <c r="AW90" t="s">
        <v>61</v>
      </c>
      <c r="AX90" t="s">
        <v>61</v>
      </c>
    </row>
    <row r="91" spans="1:50" x14ac:dyDescent="0.3">
      <c r="A91" t="s">
        <v>1189</v>
      </c>
      <c r="B91" t="s">
        <v>1367</v>
      </c>
      <c r="C91" t="s">
        <v>66</v>
      </c>
      <c r="D91" t="s">
        <v>1240</v>
      </c>
      <c r="E91" t="s">
        <v>61</v>
      </c>
      <c r="F91" t="s">
        <v>74</v>
      </c>
      <c r="G91" t="s">
        <v>89</v>
      </c>
      <c r="H91" t="s">
        <v>1416</v>
      </c>
      <c r="I91" t="s">
        <v>1368</v>
      </c>
      <c r="J91" t="s">
        <v>1368</v>
      </c>
      <c r="K91" t="s">
        <v>1398</v>
      </c>
      <c r="L91" t="s">
        <v>61</v>
      </c>
      <c r="M91" t="s">
        <v>61</v>
      </c>
      <c r="N91" t="s">
        <v>61</v>
      </c>
      <c r="O91" t="s">
        <v>61</v>
      </c>
      <c r="P91" t="s">
        <v>61</v>
      </c>
      <c r="Q91" t="s">
        <v>61</v>
      </c>
      <c r="R91" t="s">
        <v>61</v>
      </c>
      <c r="S91" t="s">
        <v>61</v>
      </c>
      <c r="T91" t="s">
        <v>61</v>
      </c>
      <c r="U91" t="s">
        <v>61</v>
      </c>
      <c r="V91" t="s">
        <v>61</v>
      </c>
      <c r="W91" t="s">
        <v>61</v>
      </c>
      <c r="X91" t="s">
        <v>61</v>
      </c>
      <c r="Y91" t="s">
        <v>61</v>
      </c>
      <c r="Z91" t="s">
        <v>61</v>
      </c>
      <c r="AA91">
        <v>0</v>
      </c>
      <c r="AB91">
        <v>13</v>
      </c>
      <c r="AC91" t="s">
        <v>61</v>
      </c>
      <c r="AD91">
        <v>13</v>
      </c>
      <c r="AE91" t="s">
        <v>1398</v>
      </c>
      <c r="AF91" t="s">
        <v>61</v>
      </c>
      <c r="AG91" t="s">
        <v>61</v>
      </c>
      <c r="AH91" t="s">
        <v>61</v>
      </c>
      <c r="AI91" t="s">
        <v>61</v>
      </c>
      <c r="AJ91" t="s">
        <v>61</v>
      </c>
      <c r="AK91" t="s">
        <v>61</v>
      </c>
      <c r="AL91" t="s">
        <v>61</v>
      </c>
      <c r="AM91" t="s">
        <v>61</v>
      </c>
      <c r="AN91" t="s">
        <v>61</v>
      </c>
      <c r="AO91" t="s">
        <v>1398</v>
      </c>
      <c r="AP91" t="s">
        <v>61</v>
      </c>
      <c r="AQ91" t="s">
        <v>1398</v>
      </c>
      <c r="AR91" t="s">
        <v>61</v>
      </c>
      <c r="AS91" t="s">
        <v>61</v>
      </c>
      <c r="AT91" t="s">
        <v>61</v>
      </c>
      <c r="AU91" t="s">
        <v>61</v>
      </c>
      <c r="AV91" t="s">
        <v>61</v>
      </c>
      <c r="AW91" t="s">
        <v>61</v>
      </c>
      <c r="AX91" t="s">
        <v>61</v>
      </c>
    </row>
    <row r="92" spans="1:50" x14ac:dyDescent="0.3">
      <c r="A92" t="s">
        <v>1189</v>
      </c>
      <c r="B92" t="s">
        <v>1373</v>
      </c>
      <c r="C92" t="s">
        <v>66</v>
      </c>
      <c r="D92" t="s">
        <v>1374</v>
      </c>
      <c r="E92" t="s">
        <v>1398</v>
      </c>
      <c r="F92" t="s">
        <v>48</v>
      </c>
      <c r="G92" t="s">
        <v>89</v>
      </c>
      <c r="H92" t="s">
        <v>1416</v>
      </c>
      <c r="I92" t="s">
        <v>491</v>
      </c>
      <c r="J92" t="s">
        <v>1377</v>
      </c>
      <c r="K92" t="s">
        <v>1398</v>
      </c>
      <c r="L92" t="s">
        <v>61</v>
      </c>
      <c r="M92" t="s">
        <v>61</v>
      </c>
      <c r="N92" t="s">
        <v>61</v>
      </c>
      <c r="O92" t="s">
        <v>61</v>
      </c>
      <c r="P92" t="s">
        <v>61</v>
      </c>
      <c r="Q92" t="s">
        <v>61</v>
      </c>
      <c r="R92" t="s">
        <v>61</v>
      </c>
      <c r="S92" t="s">
        <v>61</v>
      </c>
      <c r="T92" t="s">
        <v>61</v>
      </c>
      <c r="U92" t="s">
        <v>61</v>
      </c>
      <c r="V92" t="s">
        <v>1398</v>
      </c>
      <c r="W92" t="s">
        <v>61</v>
      </c>
      <c r="X92" t="s">
        <v>61</v>
      </c>
      <c r="Y92" t="s">
        <v>61</v>
      </c>
      <c r="Z92" t="s">
        <v>61</v>
      </c>
      <c r="AA92">
        <v>0</v>
      </c>
      <c r="AB92">
        <v>26</v>
      </c>
      <c r="AC92" t="s">
        <v>61</v>
      </c>
      <c r="AD92">
        <v>26</v>
      </c>
      <c r="AE92" t="s">
        <v>1398</v>
      </c>
      <c r="AF92" t="s">
        <v>1398</v>
      </c>
      <c r="AG92" t="s">
        <v>61</v>
      </c>
      <c r="AH92" t="s">
        <v>61</v>
      </c>
      <c r="AI92" t="s">
        <v>61</v>
      </c>
      <c r="AJ92" t="s">
        <v>61</v>
      </c>
      <c r="AK92" t="s">
        <v>61</v>
      </c>
      <c r="AL92" t="s">
        <v>61</v>
      </c>
      <c r="AM92" t="s">
        <v>61</v>
      </c>
      <c r="AN92" t="s">
        <v>61</v>
      </c>
      <c r="AO92" t="s">
        <v>61</v>
      </c>
      <c r="AP92" t="s">
        <v>61</v>
      </c>
      <c r="AQ92" t="s">
        <v>61</v>
      </c>
      <c r="AR92" t="s">
        <v>61</v>
      </c>
      <c r="AS92" t="s">
        <v>61</v>
      </c>
      <c r="AT92" t="s">
        <v>61</v>
      </c>
      <c r="AU92" t="s">
        <v>61</v>
      </c>
      <c r="AV92" t="s">
        <v>61</v>
      </c>
      <c r="AW92" t="s">
        <v>61</v>
      </c>
      <c r="AX92" t="s">
        <v>61</v>
      </c>
    </row>
    <row r="93" spans="1:50" x14ac:dyDescent="0.3">
      <c r="A93" t="s">
        <v>1189</v>
      </c>
      <c r="B93" t="s">
        <v>891</v>
      </c>
      <c r="C93" t="s">
        <v>40</v>
      </c>
      <c r="D93" t="s">
        <v>40</v>
      </c>
      <c r="E93" t="s">
        <v>61</v>
      </c>
      <c r="F93" t="s">
        <v>48</v>
      </c>
      <c r="G93" t="s">
        <v>89</v>
      </c>
      <c r="H93" t="s">
        <v>1416</v>
      </c>
      <c r="I93" t="s">
        <v>1375</v>
      </c>
      <c r="J93" t="s">
        <v>1376</v>
      </c>
      <c r="K93" t="s">
        <v>61</v>
      </c>
      <c r="L93" t="s">
        <v>61</v>
      </c>
      <c r="M93" t="s">
        <v>61</v>
      </c>
      <c r="N93" t="s">
        <v>61</v>
      </c>
      <c r="O93" t="s">
        <v>61</v>
      </c>
      <c r="P93" t="s">
        <v>61</v>
      </c>
      <c r="Q93" t="s">
        <v>61</v>
      </c>
      <c r="R93" t="s">
        <v>61</v>
      </c>
      <c r="S93" t="s">
        <v>61</v>
      </c>
      <c r="T93" t="s">
        <v>61</v>
      </c>
      <c r="U93" t="s">
        <v>61</v>
      </c>
      <c r="V93" t="s">
        <v>61</v>
      </c>
      <c r="W93" t="s">
        <v>61</v>
      </c>
      <c r="X93" t="s">
        <v>61</v>
      </c>
      <c r="Y93" t="s">
        <v>61</v>
      </c>
      <c r="Z93" t="s">
        <v>61</v>
      </c>
      <c r="AA93">
        <v>0</v>
      </c>
      <c r="AB93">
        <v>2</v>
      </c>
      <c r="AC93" t="s">
        <v>61</v>
      </c>
      <c r="AD93">
        <v>2</v>
      </c>
      <c r="AE93" t="s">
        <v>1398</v>
      </c>
      <c r="AF93" t="s">
        <v>1398</v>
      </c>
      <c r="AG93" t="s">
        <v>61</v>
      </c>
      <c r="AH93" t="s">
        <v>61</v>
      </c>
      <c r="AI93" t="s">
        <v>61</v>
      </c>
      <c r="AJ93" t="s">
        <v>61</v>
      </c>
      <c r="AK93" t="s">
        <v>61</v>
      </c>
      <c r="AL93" t="s">
        <v>61</v>
      </c>
      <c r="AM93" t="s">
        <v>61</v>
      </c>
      <c r="AN93" t="s">
        <v>61</v>
      </c>
      <c r="AO93" t="s">
        <v>61</v>
      </c>
      <c r="AP93" t="s">
        <v>1398</v>
      </c>
      <c r="AQ93" t="s">
        <v>61</v>
      </c>
      <c r="AR93" t="s">
        <v>61</v>
      </c>
      <c r="AS93" t="s">
        <v>61</v>
      </c>
      <c r="AT93" t="s">
        <v>61</v>
      </c>
      <c r="AU93" t="s">
        <v>61</v>
      </c>
      <c r="AV93" t="s">
        <v>61</v>
      </c>
      <c r="AW93" t="s">
        <v>61</v>
      </c>
      <c r="AX93" t="s">
        <v>61</v>
      </c>
    </row>
    <row r="94" spans="1:50" x14ac:dyDescent="0.3">
      <c r="A94" t="s">
        <v>1189</v>
      </c>
      <c r="B94" t="s">
        <v>1378</v>
      </c>
      <c r="C94" t="s">
        <v>66</v>
      </c>
      <c r="D94" t="s">
        <v>1374</v>
      </c>
      <c r="E94" t="s">
        <v>61</v>
      </c>
      <c r="F94" t="s">
        <v>74</v>
      </c>
      <c r="G94" t="s">
        <v>39</v>
      </c>
      <c r="H94" t="s">
        <v>1416</v>
      </c>
      <c r="I94" t="s">
        <v>1379</v>
      </c>
      <c r="J94" t="s">
        <v>1379</v>
      </c>
      <c r="K94" t="s">
        <v>61</v>
      </c>
      <c r="L94" t="s">
        <v>61</v>
      </c>
      <c r="M94" t="s">
        <v>61</v>
      </c>
      <c r="N94" t="s">
        <v>61</v>
      </c>
      <c r="O94" t="s">
        <v>61</v>
      </c>
      <c r="P94" t="s">
        <v>61</v>
      </c>
      <c r="Q94" t="s">
        <v>61</v>
      </c>
      <c r="R94" t="s">
        <v>61</v>
      </c>
      <c r="S94" t="s">
        <v>61</v>
      </c>
      <c r="T94" t="s">
        <v>61</v>
      </c>
      <c r="U94" t="s">
        <v>61</v>
      </c>
      <c r="V94" t="s">
        <v>61</v>
      </c>
      <c r="W94" t="s">
        <v>61</v>
      </c>
      <c r="X94" t="s">
        <v>61</v>
      </c>
      <c r="Y94" t="s">
        <v>61</v>
      </c>
      <c r="Z94" t="s">
        <v>61</v>
      </c>
      <c r="AA94">
        <v>0</v>
      </c>
      <c r="AB94">
        <v>5</v>
      </c>
      <c r="AC94" t="s">
        <v>61</v>
      </c>
      <c r="AD94">
        <v>5</v>
      </c>
      <c r="AE94" t="s">
        <v>1398</v>
      </c>
      <c r="AF94" t="s">
        <v>1398</v>
      </c>
      <c r="AG94" t="s">
        <v>61</v>
      </c>
      <c r="AH94" t="s">
        <v>61</v>
      </c>
      <c r="AI94" t="s">
        <v>61</v>
      </c>
      <c r="AJ94" t="s">
        <v>61</v>
      </c>
      <c r="AK94" t="s">
        <v>61</v>
      </c>
      <c r="AL94" t="s">
        <v>61</v>
      </c>
      <c r="AM94" t="s">
        <v>61</v>
      </c>
      <c r="AN94" t="s">
        <v>61</v>
      </c>
      <c r="AO94" t="s">
        <v>61</v>
      </c>
      <c r="AP94" t="s">
        <v>61</v>
      </c>
      <c r="AQ94" t="s">
        <v>61</v>
      </c>
      <c r="AR94" t="s">
        <v>61</v>
      </c>
      <c r="AS94" t="s">
        <v>61</v>
      </c>
      <c r="AT94" t="s">
        <v>61</v>
      </c>
      <c r="AU94" t="s">
        <v>61</v>
      </c>
      <c r="AV94" t="s">
        <v>61</v>
      </c>
      <c r="AW94" t="s">
        <v>61</v>
      </c>
      <c r="AX94" t="s">
        <v>61</v>
      </c>
    </row>
    <row r="95" spans="1:50" x14ac:dyDescent="0.3">
      <c r="A95" t="s">
        <v>1189</v>
      </c>
      <c r="B95" t="s">
        <v>1385</v>
      </c>
      <c r="C95" t="s">
        <v>40</v>
      </c>
      <c r="D95" t="s">
        <v>1374</v>
      </c>
      <c r="E95" t="s">
        <v>61</v>
      </c>
      <c r="F95" t="s">
        <v>48</v>
      </c>
      <c r="G95" t="s">
        <v>89</v>
      </c>
      <c r="H95" t="s">
        <v>1416</v>
      </c>
      <c r="I95" t="s">
        <v>1379</v>
      </c>
      <c r="J95" t="s">
        <v>1379</v>
      </c>
      <c r="K95" t="s">
        <v>61</v>
      </c>
      <c r="L95" t="s">
        <v>61</v>
      </c>
      <c r="M95" t="s">
        <v>61</v>
      </c>
      <c r="N95" t="s">
        <v>61</v>
      </c>
      <c r="O95" t="s">
        <v>61</v>
      </c>
      <c r="P95" t="s">
        <v>61</v>
      </c>
      <c r="Q95" t="s">
        <v>61</v>
      </c>
      <c r="R95" t="s">
        <v>61</v>
      </c>
      <c r="S95" t="s">
        <v>61</v>
      </c>
      <c r="T95" t="s">
        <v>61</v>
      </c>
      <c r="U95" t="s">
        <v>61</v>
      </c>
      <c r="V95" t="s">
        <v>61</v>
      </c>
      <c r="W95" t="s">
        <v>61</v>
      </c>
      <c r="X95" t="s">
        <v>61</v>
      </c>
      <c r="Y95" t="s">
        <v>61</v>
      </c>
      <c r="Z95" t="s">
        <v>61</v>
      </c>
      <c r="AA95">
        <v>0</v>
      </c>
      <c r="AB95">
        <v>7</v>
      </c>
      <c r="AC95" t="s">
        <v>61</v>
      </c>
      <c r="AD95">
        <v>7</v>
      </c>
      <c r="AE95" t="s">
        <v>1398</v>
      </c>
      <c r="AF95" t="s">
        <v>1398</v>
      </c>
      <c r="AG95" t="s">
        <v>61</v>
      </c>
      <c r="AH95" t="s">
        <v>61</v>
      </c>
      <c r="AI95" t="s">
        <v>61</v>
      </c>
      <c r="AJ95" t="s">
        <v>61</v>
      </c>
      <c r="AK95" t="s">
        <v>61</v>
      </c>
      <c r="AL95" t="s">
        <v>61</v>
      </c>
      <c r="AM95" t="s">
        <v>1398</v>
      </c>
      <c r="AN95" t="s">
        <v>61</v>
      </c>
      <c r="AO95" t="s">
        <v>61</v>
      </c>
      <c r="AP95" t="s">
        <v>61</v>
      </c>
      <c r="AQ95" t="s">
        <v>61</v>
      </c>
      <c r="AR95" t="s">
        <v>61</v>
      </c>
      <c r="AS95" t="s">
        <v>61</v>
      </c>
      <c r="AT95" t="s">
        <v>61</v>
      </c>
      <c r="AU95" t="s">
        <v>61</v>
      </c>
      <c r="AV95" t="s">
        <v>61</v>
      </c>
      <c r="AW95" t="s">
        <v>61</v>
      </c>
      <c r="AX95" t="s">
        <v>61</v>
      </c>
    </row>
    <row r="96" spans="1:50" x14ac:dyDescent="0.3">
      <c r="A96" t="s">
        <v>1189</v>
      </c>
      <c r="B96" t="s">
        <v>1389</v>
      </c>
      <c r="C96" t="s">
        <v>40</v>
      </c>
      <c r="D96" t="s">
        <v>40</v>
      </c>
      <c r="E96" t="s">
        <v>1398</v>
      </c>
      <c r="F96" t="s">
        <v>48</v>
      </c>
      <c r="G96" t="s">
        <v>89</v>
      </c>
      <c r="H96" t="s">
        <v>1416</v>
      </c>
      <c r="I96" t="s">
        <v>1390</v>
      </c>
      <c r="J96" t="s">
        <v>1390</v>
      </c>
      <c r="K96" t="s">
        <v>61</v>
      </c>
      <c r="L96" t="s">
        <v>61</v>
      </c>
      <c r="M96" t="s">
        <v>61</v>
      </c>
      <c r="N96" t="s">
        <v>61</v>
      </c>
      <c r="O96" t="s">
        <v>61</v>
      </c>
      <c r="P96" t="s">
        <v>61</v>
      </c>
      <c r="Q96" t="s">
        <v>61</v>
      </c>
      <c r="R96" t="s">
        <v>61</v>
      </c>
      <c r="S96" t="s">
        <v>61</v>
      </c>
      <c r="T96" t="s">
        <v>61</v>
      </c>
      <c r="U96" t="s">
        <v>61</v>
      </c>
      <c r="V96" t="s">
        <v>61</v>
      </c>
      <c r="W96" t="s">
        <v>61</v>
      </c>
      <c r="X96" t="s">
        <v>61</v>
      </c>
      <c r="Y96" t="s">
        <v>61</v>
      </c>
      <c r="Z96" t="s">
        <v>61</v>
      </c>
      <c r="AA96">
        <v>0</v>
      </c>
      <c r="AB96">
        <v>1</v>
      </c>
      <c r="AC96" t="s">
        <v>61</v>
      </c>
      <c r="AD96">
        <v>1</v>
      </c>
      <c r="AE96" t="s">
        <v>61</v>
      </c>
      <c r="AF96" t="s">
        <v>61</v>
      </c>
      <c r="AG96" t="s">
        <v>61</v>
      </c>
      <c r="AH96" t="s">
        <v>61</v>
      </c>
      <c r="AI96" t="s">
        <v>61</v>
      </c>
      <c r="AJ96" t="s">
        <v>61</v>
      </c>
      <c r="AK96" t="s">
        <v>61</v>
      </c>
      <c r="AL96" t="s">
        <v>61</v>
      </c>
      <c r="AM96" t="s">
        <v>61</v>
      </c>
      <c r="AN96" t="s">
        <v>61</v>
      </c>
      <c r="AO96" t="s">
        <v>61</v>
      </c>
      <c r="AP96" t="s">
        <v>61</v>
      </c>
      <c r="AQ96" t="s">
        <v>61</v>
      </c>
      <c r="AR96" t="s">
        <v>61</v>
      </c>
      <c r="AS96" t="s">
        <v>61</v>
      </c>
      <c r="AT96" t="s">
        <v>61</v>
      </c>
      <c r="AU96" t="s">
        <v>61</v>
      </c>
      <c r="AV96" t="s">
        <v>61</v>
      </c>
      <c r="AW96" t="s">
        <v>1398</v>
      </c>
      <c r="AX96" t="s">
        <v>1391</v>
      </c>
    </row>
  </sheetData>
  <mergeCells count="6">
    <mergeCell ref="L3:Z3"/>
    <mergeCell ref="AE3:AV3"/>
    <mergeCell ref="L35:Z35"/>
    <mergeCell ref="AE35:AV35"/>
    <mergeCell ref="L72:Z72"/>
    <mergeCell ref="AE72:AV72"/>
  </mergeCells>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D896E-5589-46CA-90B1-A26B99D75CA1}">
  <dimension ref="A2:G106"/>
  <sheetViews>
    <sheetView workbookViewId="0">
      <selection activeCell="F10" sqref="F10"/>
    </sheetView>
  </sheetViews>
  <sheetFormatPr defaultRowHeight="14.4" x14ac:dyDescent="0.3"/>
  <cols>
    <col min="1" max="1" width="29.109375" bestFit="1" customWidth="1"/>
    <col min="2" max="2" width="15.5546875" bestFit="1" customWidth="1"/>
    <col min="3" max="3" width="4" bestFit="1" customWidth="1"/>
    <col min="4" max="5" width="10.77734375" bestFit="1" customWidth="1"/>
    <col min="6" max="6" width="8.6640625" bestFit="1" customWidth="1"/>
    <col min="7" max="8" width="10.77734375" bestFit="1" customWidth="1"/>
    <col min="9" max="9" width="19.21875" bestFit="1" customWidth="1"/>
    <col min="10" max="10" width="28.109375" bestFit="1" customWidth="1"/>
    <col min="11" max="11" width="20.44140625" bestFit="1" customWidth="1"/>
    <col min="12" max="12" width="23.33203125" bestFit="1" customWidth="1"/>
    <col min="13" max="13" width="15.5546875" bestFit="1" customWidth="1"/>
    <col min="14" max="14" width="4" bestFit="1" customWidth="1"/>
    <col min="15" max="15" width="10.77734375" bestFit="1" customWidth="1"/>
  </cols>
  <sheetData>
    <row r="2" spans="1:4" x14ac:dyDescent="0.3">
      <c r="A2" s="121"/>
      <c r="B2" s="121"/>
      <c r="C2" s="121"/>
      <c r="D2" s="121"/>
    </row>
    <row r="3" spans="1:4" x14ac:dyDescent="0.3">
      <c r="A3" s="121" t="s">
        <v>1414</v>
      </c>
      <c r="B3" s="121" t="s">
        <v>1413</v>
      </c>
      <c r="C3" s="121"/>
      <c r="D3" s="121"/>
    </row>
    <row r="4" spans="1:4" x14ac:dyDescent="0.3">
      <c r="A4" s="121" t="s">
        <v>1411</v>
      </c>
      <c r="B4" s="121" t="s">
        <v>48</v>
      </c>
      <c r="C4" s="121" t="s">
        <v>74</v>
      </c>
      <c r="D4" s="121" t="s">
        <v>1412</v>
      </c>
    </row>
    <row r="5" spans="1:4" x14ac:dyDescent="0.3">
      <c r="A5" s="122" t="s">
        <v>1437</v>
      </c>
      <c r="B5" s="121">
        <v>6</v>
      </c>
      <c r="C5" s="121">
        <v>2</v>
      </c>
      <c r="D5" s="121">
        <v>8</v>
      </c>
    </row>
    <row r="6" spans="1:4" x14ac:dyDescent="0.3">
      <c r="A6" s="122" t="s">
        <v>1438</v>
      </c>
      <c r="B6" s="121">
        <v>6</v>
      </c>
      <c r="C6" s="121">
        <v>5</v>
      </c>
      <c r="D6" s="121">
        <v>11</v>
      </c>
    </row>
    <row r="7" spans="1:4" x14ac:dyDescent="0.3">
      <c r="A7" s="122" t="s">
        <v>1412</v>
      </c>
      <c r="B7" s="121">
        <v>12</v>
      </c>
      <c r="C7" s="121">
        <v>7</v>
      </c>
      <c r="D7" s="121">
        <v>19</v>
      </c>
    </row>
    <row r="8" spans="1:4" x14ac:dyDescent="0.3">
      <c r="A8" s="121"/>
      <c r="B8" s="121"/>
      <c r="C8" s="121"/>
      <c r="D8" s="121"/>
    </row>
    <row r="10" spans="1:4" x14ac:dyDescent="0.3">
      <c r="A10" s="121"/>
      <c r="B10" s="121"/>
      <c r="C10" s="121"/>
      <c r="D10" s="121"/>
    </row>
    <row r="11" spans="1:4" x14ac:dyDescent="0.3">
      <c r="A11" s="121" t="s">
        <v>1417</v>
      </c>
      <c r="B11" s="121" t="s">
        <v>1413</v>
      </c>
      <c r="C11" s="121"/>
      <c r="D11" s="121"/>
    </row>
    <row r="12" spans="1:4" x14ac:dyDescent="0.3">
      <c r="A12" s="121" t="s">
        <v>1411</v>
      </c>
      <c r="B12" s="121" t="s">
        <v>1415</v>
      </c>
      <c r="C12" s="121" t="s">
        <v>1416</v>
      </c>
      <c r="D12" s="121" t="s">
        <v>1412</v>
      </c>
    </row>
    <row r="13" spans="1:4" x14ac:dyDescent="0.3">
      <c r="A13" s="122" t="s">
        <v>48</v>
      </c>
      <c r="B13" s="121">
        <v>4</v>
      </c>
      <c r="C13" s="121">
        <v>8</v>
      </c>
      <c r="D13" s="121">
        <v>12</v>
      </c>
    </row>
    <row r="14" spans="1:4" x14ac:dyDescent="0.3">
      <c r="A14" s="122" t="s">
        <v>74</v>
      </c>
      <c r="B14" s="121">
        <v>2</v>
      </c>
      <c r="C14" s="121">
        <v>5</v>
      </c>
      <c r="D14" s="121">
        <v>7</v>
      </c>
    </row>
    <row r="15" spans="1:4" x14ac:dyDescent="0.3">
      <c r="A15" s="122" t="s">
        <v>1412</v>
      </c>
      <c r="B15" s="121">
        <v>6</v>
      </c>
      <c r="C15" s="121">
        <v>13</v>
      </c>
      <c r="D15" s="121">
        <v>19</v>
      </c>
    </row>
    <row r="16" spans="1:4" x14ac:dyDescent="0.3">
      <c r="A16" s="121"/>
      <c r="B16" s="121"/>
      <c r="C16" s="121"/>
      <c r="D16" s="121"/>
    </row>
    <row r="18" spans="1:4" x14ac:dyDescent="0.3">
      <c r="A18" s="121"/>
      <c r="B18" s="121"/>
      <c r="C18" s="121"/>
      <c r="D18" s="121"/>
    </row>
    <row r="19" spans="1:4" x14ac:dyDescent="0.3">
      <c r="A19" s="121" t="s">
        <v>1417</v>
      </c>
      <c r="B19" s="121" t="s">
        <v>1413</v>
      </c>
      <c r="C19" s="121"/>
      <c r="D19" s="121"/>
    </row>
    <row r="20" spans="1:4" x14ac:dyDescent="0.3">
      <c r="A20" s="121" t="s">
        <v>1411</v>
      </c>
      <c r="B20" s="121" t="s">
        <v>39</v>
      </c>
      <c r="C20" s="121" t="s">
        <v>89</v>
      </c>
      <c r="D20" s="121" t="s">
        <v>1412</v>
      </c>
    </row>
    <row r="21" spans="1:4" x14ac:dyDescent="0.3">
      <c r="A21" s="122" t="s">
        <v>1415</v>
      </c>
      <c r="B21" s="121">
        <v>3</v>
      </c>
      <c r="C21" s="121">
        <v>3</v>
      </c>
      <c r="D21" s="121">
        <v>6</v>
      </c>
    </row>
    <row r="22" spans="1:4" x14ac:dyDescent="0.3">
      <c r="A22" s="122" t="s">
        <v>1416</v>
      </c>
      <c r="B22" s="121">
        <v>8</v>
      </c>
      <c r="C22" s="121">
        <v>5</v>
      </c>
      <c r="D22" s="121">
        <v>13</v>
      </c>
    </row>
    <row r="23" spans="1:4" x14ac:dyDescent="0.3">
      <c r="A23" s="122" t="s">
        <v>1412</v>
      </c>
      <c r="B23" s="121">
        <v>11</v>
      </c>
      <c r="C23" s="121">
        <v>8</v>
      </c>
      <c r="D23" s="121">
        <v>19</v>
      </c>
    </row>
    <row r="24" spans="1:4" x14ac:dyDescent="0.3">
      <c r="C24" s="121"/>
      <c r="D24" s="121"/>
    </row>
    <row r="26" spans="1:4" x14ac:dyDescent="0.3">
      <c r="C26" s="121"/>
      <c r="D26" s="121"/>
    </row>
    <row r="27" spans="1:4" x14ac:dyDescent="0.3">
      <c r="A27" s="121" t="s">
        <v>1417</v>
      </c>
      <c r="B27" s="121" t="s">
        <v>1413</v>
      </c>
      <c r="C27" s="121"/>
      <c r="D27" s="121"/>
    </row>
    <row r="28" spans="1:4" x14ac:dyDescent="0.3">
      <c r="A28" s="121" t="s">
        <v>1411</v>
      </c>
      <c r="B28" s="121" t="s">
        <v>1415</v>
      </c>
      <c r="C28" s="121" t="s">
        <v>1416</v>
      </c>
      <c r="D28" s="121" t="s">
        <v>1412</v>
      </c>
    </row>
    <row r="29" spans="1:4" x14ac:dyDescent="0.3">
      <c r="A29" s="122" t="s">
        <v>1456</v>
      </c>
      <c r="B29" s="121">
        <v>4</v>
      </c>
      <c r="C29" s="121">
        <v>11</v>
      </c>
      <c r="D29" s="121">
        <v>15</v>
      </c>
    </row>
    <row r="30" spans="1:4" x14ac:dyDescent="0.3">
      <c r="A30" s="122" t="s">
        <v>1436</v>
      </c>
      <c r="B30" s="121">
        <v>2</v>
      </c>
      <c r="C30" s="121">
        <v>2</v>
      </c>
      <c r="D30" s="121">
        <v>4</v>
      </c>
    </row>
    <row r="31" spans="1:4" x14ac:dyDescent="0.3">
      <c r="A31" s="122" t="s">
        <v>1412</v>
      </c>
      <c r="B31" s="121">
        <v>6</v>
      </c>
      <c r="C31" s="121">
        <v>13</v>
      </c>
      <c r="D31" s="121">
        <v>19</v>
      </c>
    </row>
    <row r="32" spans="1:4" x14ac:dyDescent="0.3">
      <c r="A32" s="121"/>
      <c r="B32" s="121"/>
      <c r="C32" s="121"/>
      <c r="D32" s="121"/>
    </row>
    <row r="35" spans="1:4" x14ac:dyDescent="0.3">
      <c r="A35" s="121"/>
      <c r="B35" s="121"/>
      <c r="C35" s="121"/>
      <c r="D35" s="121"/>
    </row>
    <row r="36" spans="1:4" x14ac:dyDescent="0.3">
      <c r="A36" s="121" t="s">
        <v>1417</v>
      </c>
      <c r="B36" s="121" t="s">
        <v>1413</v>
      </c>
      <c r="C36" s="121"/>
      <c r="D36" s="121"/>
    </row>
    <row r="37" spans="1:4" x14ac:dyDescent="0.3">
      <c r="A37" s="121" t="s">
        <v>1411</v>
      </c>
      <c r="B37" s="121" t="s">
        <v>1415</v>
      </c>
      <c r="C37" s="121" t="s">
        <v>1416</v>
      </c>
      <c r="D37" s="121" t="s">
        <v>1412</v>
      </c>
    </row>
    <row r="38" spans="1:4" x14ac:dyDescent="0.3">
      <c r="A38" s="122" t="s">
        <v>1437</v>
      </c>
      <c r="B38" s="121">
        <v>4</v>
      </c>
      <c r="C38" s="121">
        <v>4</v>
      </c>
      <c r="D38" s="121">
        <v>8</v>
      </c>
    </row>
    <row r="39" spans="1:4" x14ac:dyDescent="0.3">
      <c r="A39" s="122" t="s">
        <v>1438</v>
      </c>
      <c r="B39" s="121">
        <v>2</v>
      </c>
      <c r="C39" s="121">
        <v>9</v>
      </c>
      <c r="D39" s="121">
        <v>11</v>
      </c>
    </row>
    <row r="40" spans="1:4" x14ac:dyDescent="0.3">
      <c r="A40" s="122" t="s">
        <v>1412</v>
      </c>
      <c r="B40" s="121">
        <v>6</v>
      </c>
      <c r="C40" s="121">
        <v>13</v>
      </c>
      <c r="D40" s="121">
        <v>19</v>
      </c>
    </row>
    <row r="41" spans="1:4" x14ac:dyDescent="0.3">
      <c r="A41" s="121"/>
      <c r="B41" s="121"/>
      <c r="C41" s="121"/>
      <c r="D41" s="121"/>
    </row>
    <row r="43" spans="1:4" x14ac:dyDescent="0.3">
      <c r="A43" s="121"/>
      <c r="B43" s="121"/>
      <c r="C43" s="121"/>
      <c r="D43" s="121"/>
    </row>
    <row r="44" spans="1:4" x14ac:dyDescent="0.3">
      <c r="A44" s="121" t="s">
        <v>1417</v>
      </c>
      <c r="B44" s="121" t="s">
        <v>1413</v>
      </c>
      <c r="C44" s="121"/>
      <c r="D44" s="121"/>
    </row>
    <row r="45" spans="1:4" x14ac:dyDescent="0.3">
      <c r="A45" s="121" t="s">
        <v>1411</v>
      </c>
      <c r="B45" s="121" t="s">
        <v>1415</v>
      </c>
      <c r="C45" s="121" t="s">
        <v>1416</v>
      </c>
      <c r="D45" s="121" t="s">
        <v>1412</v>
      </c>
    </row>
    <row r="46" spans="1:4" x14ac:dyDescent="0.3">
      <c r="A46" s="122" t="s">
        <v>1440</v>
      </c>
      <c r="B46" s="121">
        <v>5</v>
      </c>
      <c r="C46" s="121">
        <v>13</v>
      </c>
      <c r="D46" s="121">
        <v>18</v>
      </c>
    </row>
    <row r="47" spans="1:4" x14ac:dyDescent="0.3">
      <c r="A47" s="122" t="s">
        <v>1439</v>
      </c>
      <c r="B47" s="121">
        <v>1</v>
      </c>
      <c r="C47" s="121"/>
      <c r="D47" s="121">
        <v>1</v>
      </c>
    </row>
    <row r="48" spans="1:4" x14ac:dyDescent="0.3">
      <c r="A48" s="122" t="s">
        <v>1412</v>
      </c>
      <c r="B48" s="121">
        <v>6</v>
      </c>
      <c r="C48" s="121">
        <v>13</v>
      </c>
      <c r="D48" s="121">
        <v>19</v>
      </c>
    </row>
    <row r="49" spans="1:5" x14ac:dyDescent="0.3">
      <c r="A49" s="121"/>
      <c r="B49" s="121"/>
      <c r="C49" s="121"/>
      <c r="D49" s="121"/>
    </row>
    <row r="50" spans="1:5" x14ac:dyDescent="0.3">
      <c r="A50" s="179" t="s">
        <v>1431</v>
      </c>
      <c r="B50" s="179"/>
      <c r="C50" s="179"/>
      <c r="D50" s="179"/>
      <c r="E50" s="179"/>
    </row>
    <row r="52" spans="1:5" x14ac:dyDescent="0.3">
      <c r="A52" s="115" t="s">
        <v>1459</v>
      </c>
      <c r="B52" s="115" t="s">
        <v>1413</v>
      </c>
    </row>
    <row r="53" spans="1:5" x14ac:dyDescent="0.3">
      <c r="A53" s="115" t="s">
        <v>1411</v>
      </c>
      <c r="B53" t="s">
        <v>1415</v>
      </c>
      <c r="C53" t="s">
        <v>1416</v>
      </c>
      <c r="D53" t="s">
        <v>1412</v>
      </c>
    </row>
    <row r="54" spans="1:5" x14ac:dyDescent="0.3">
      <c r="A54" s="116" t="s">
        <v>1441</v>
      </c>
      <c r="B54">
        <v>5</v>
      </c>
      <c r="C54">
        <v>2</v>
      </c>
      <c r="D54">
        <v>7</v>
      </c>
    </row>
    <row r="55" spans="1:5" x14ac:dyDescent="0.3">
      <c r="A55" s="116" t="s">
        <v>1442</v>
      </c>
      <c r="B55">
        <v>1</v>
      </c>
      <c r="C55">
        <v>11</v>
      </c>
      <c r="D55">
        <v>12</v>
      </c>
    </row>
    <row r="56" spans="1:5" x14ac:dyDescent="0.3">
      <c r="A56" s="116" t="s">
        <v>1412</v>
      </c>
      <c r="B56">
        <v>6</v>
      </c>
      <c r="C56">
        <v>13</v>
      </c>
      <c r="D56">
        <v>19</v>
      </c>
    </row>
    <row r="57" spans="1:5" x14ac:dyDescent="0.3">
      <c r="A57" s="116"/>
    </row>
    <row r="58" spans="1:5" x14ac:dyDescent="0.3">
      <c r="A58" s="115" t="s">
        <v>1443</v>
      </c>
      <c r="B58" s="115" t="s">
        <v>1413</v>
      </c>
    </row>
    <row r="59" spans="1:5" x14ac:dyDescent="0.3">
      <c r="A59" s="115" t="s">
        <v>1411</v>
      </c>
      <c r="B59" t="s">
        <v>1415</v>
      </c>
      <c r="C59" t="s">
        <v>1416</v>
      </c>
      <c r="D59" t="s">
        <v>1412</v>
      </c>
    </row>
    <row r="60" spans="1:5" x14ac:dyDescent="0.3">
      <c r="A60" s="116" t="s">
        <v>1444</v>
      </c>
      <c r="B60">
        <v>5</v>
      </c>
      <c r="C60">
        <v>8</v>
      </c>
      <c r="D60">
        <v>13</v>
      </c>
    </row>
    <row r="61" spans="1:5" x14ac:dyDescent="0.3">
      <c r="A61" s="116" t="s">
        <v>1445</v>
      </c>
      <c r="B61">
        <v>1</v>
      </c>
      <c r="C61">
        <v>5</v>
      </c>
      <c r="D61">
        <v>6</v>
      </c>
    </row>
    <row r="62" spans="1:5" x14ac:dyDescent="0.3">
      <c r="A62" s="116" t="s">
        <v>1412</v>
      </c>
      <c r="B62">
        <v>6</v>
      </c>
      <c r="C62">
        <v>13</v>
      </c>
      <c r="D62">
        <v>19</v>
      </c>
    </row>
    <row r="63" spans="1:5" x14ac:dyDescent="0.3">
      <c r="A63" s="116"/>
    </row>
    <row r="64" spans="1:5" x14ac:dyDescent="0.3">
      <c r="A64" s="115" t="s">
        <v>1446</v>
      </c>
      <c r="B64" s="115" t="s">
        <v>1413</v>
      </c>
    </row>
    <row r="65" spans="1:4" x14ac:dyDescent="0.3">
      <c r="A65" s="115" t="s">
        <v>1411</v>
      </c>
      <c r="B65" t="s">
        <v>1415</v>
      </c>
      <c r="C65" t="s">
        <v>1416</v>
      </c>
      <c r="D65" t="s">
        <v>1412</v>
      </c>
    </row>
    <row r="66" spans="1:4" x14ac:dyDescent="0.3">
      <c r="A66" s="116" t="s">
        <v>1447</v>
      </c>
      <c r="B66">
        <v>6</v>
      </c>
      <c r="C66">
        <v>12</v>
      </c>
      <c r="D66">
        <v>18</v>
      </c>
    </row>
    <row r="67" spans="1:4" x14ac:dyDescent="0.3">
      <c r="A67" s="116" t="s">
        <v>1448</v>
      </c>
      <c r="C67">
        <v>1</v>
      </c>
      <c r="D67">
        <v>1</v>
      </c>
    </row>
    <row r="68" spans="1:4" x14ac:dyDescent="0.3">
      <c r="A68" s="116" t="s">
        <v>1412</v>
      </c>
      <c r="B68">
        <v>6</v>
      </c>
      <c r="C68">
        <v>13</v>
      </c>
      <c r="D68">
        <v>19</v>
      </c>
    </row>
    <row r="70" spans="1:4" x14ac:dyDescent="0.3">
      <c r="A70" s="115" t="s">
        <v>1449</v>
      </c>
      <c r="B70" s="115" t="s">
        <v>1413</v>
      </c>
    </row>
    <row r="71" spans="1:4" x14ac:dyDescent="0.3">
      <c r="A71" s="115" t="s">
        <v>1411</v>
      </c>
      <c r="B71" t="s">
        <v>1415</v>
      </c>
      <c r="C71" t="s">
        <v>1416</v>
      </c>
      <c r="D71" t="s">
        <v>1412</v>
      </c>
    </row>
    <row r="72" spans="1:4" x14ac:dyDescent="0.3">
      <c r="A72" s="116" t="s">
        <v>1450</v>
      </c>
      <c r="B72">
        <v>6</v>
      </c>
      <c r="C72">
        <v>11</v>
      </c>
      <c r="D72">
        <v>17</v>
      </c>
    </row>
    <row r="73" spans="1:4" x14ac:dyDescent="0.3">
      <c r="A73" s="116" t="s">
        <v>1451</v>
      </c>
      <c r="C73">
        <v>2</v>
      </c>
      <c r="D73">
        <v>2</v>
      </c>
    </row>
    <row r="74" spans="1:4" x14ac:dyDescent="0.3">
      <c r="A74" s="116" t="s">
        <v>1412</v>
      </c>
      <c r="B74">
        <v>6</v>
      </c>
      <c r="C74">
        <v>13</v>
      </c>
      <c r="D74">
        <v>19</v>
      </c>
    </row>
    <row r="76" spans="1:4" x14ac:dyDescent="0.3">
      <c r="A76" s="115" t="s">
        <v>1452</v>
      </c>
      <c r="B76" s="115" t="s">
        <v>1413</v>
      </c>
    </row>
    <row r="77" spans="1:4" x14ac:dyDescent="0.3">
      <c r="A77" s="115" t="s">
        <v>1411</v>
      </c>
      <c r="B77" t="s">
        <v>1415</v>
      </c>
      <c r="C77" t="s">
        <v>1416</v>
      </c>
      <c r="D77" t="s">
        <v>1412</v>
      </c>
    </row>
    <row r="78" spans="1:4" x14ac:dyDescent="0.3">
      <c r="A78" s="116" t="s">
        <v>1453</v>
      </c>
      <c r="B78">
        <v>6</v>
      </c>
      <c r="C78">
        <v>13</v>
      </c>
      <c r="D78">
        <v>19</v>
      </c>
    </row>
    <row r="79" spans="1:4" x14ac:dyDescent="0.3">
      <c r="A79" s="116" t="s">
        <v>1412</v>
      </c>
      <c r="B79">
        <v>6</v>
      </c>
      <c r="C79">
        <v>13</v>
      </c>
      <c r="D79">
        <v>19</v>
      </c>
    </row>
    <row r="84" spans="1:7" x14ac:dyDescent="0.3">
      <c r="A84" s="179" t="s">
        <v>1428</v>
      </c>
      <c r="B84" s="179"/>
      <c r="C84" s="179"/>
    </row>
    <row r="86" spans="1:7" x14ac:dyDescent="0.3">
      <c r="B86" s="115" t="s">
        <v>1413</v>
      </c>
    </row>
    <row r="87" spans="1:7" x14ac:dyDescent="0.3">
      <c r="B87" t="s">
        <v>61</v>
      </c>
      <c r="C87" t="s">
        <v>1398</v>
      </c>
      <c r="D87" t="s">
        <v>1412</v>
      </c>
      <c r="F87" t="s">
        <v>1398</v>
      </c>
    </row>
    <row r="88" spans="1:7" x14ac:dyDescent="0.3">
      <c r="A88" t="s">
        <v>1429</v>
      </c>
      <c r="B88">
        <v>8</v>
      </c>
      <c r="C88">
        <v>11</v>
      </c>
      <c r="D88">
        <v>19</v>
      </c>
      <c r="F88">
        <f>IFERROR(GETPIVOTDATA("High Risk (Yes / No)",$A$86,"High Risk (Yes / No)","YES"),0)</f>
        <v>11</v>
      </c>
    </row>
    <row r="92" spans="1:7" x14ac:dyDescent="0.3">
      <c r="B92" s="115" t="s">
        <v>1413</v>
      </c>
    </row>
    <row r="93" spans="1:7" x14ac:dyDescent="0.3">
      <c r="B93" t="s">
        <v>61</v>
      </c>
      <c r="C93" t="s">
        <v>1398</v>
      </c>
      <c r="D93" t="s">
        <v>1412</v>
      </c>
      <c r="F93" t="s">
        <v>1398</v>
      </c>
      <c r="G93" t="s">
        <v>61</v>
      </c>
    </row>
    <row r="94" spans="1:7" x14ac:dyDescent="0.3">
      <c r="A94" t="s">
        <v>1430</v>
      </c>
      <c r="B94">
        <v>15</v>
      </c>
      <c r="C94">
        <v>4</v>
      </c>
      <c r="D94">
        <v>19</v>
      </c>
      <c r="F94">
        <f>IFERROR(GETPIVOTDATA("Preventable 
(Yes / No)",$A$92,"Preventable 
(Yes / No)","YES"),0)</f>
        <v>4</v>
      </c>
      <c r="G94">
        <f>IFERROR(GETPIVOTDATA("Preventable 
(Yes / No)",$A$92,"Preventable 
(Yes / No)","NO"),0)</f>
        <v>15</v>
      </c>
    </row>
    <row r="98" spans="1:7" x14ac:dyDescent="0.3">
      <c r="B98" s="115" t="s">
        <v>1413</v>
      </c>
    </row>
    <row r="99" spans="1:7" x14ac:dyDescent="0.3">
      <c r="B99" t="s">
        <v>48</v>
      </c>
      <c r="C99" t="s">
        <v>74</v>
      </c>
      <c r="D99" t="s">
        <v>1412</v>
      </c>
      <c r="F99" t="s">
        <v>48</v>
      </c>
      <c r="G99" t="s">
        <v>74</v>
      </c>
    </row>
    <row r="100" spans="1:7" x14ac:dyDescent="0.3">
      <c r="A100" t="s">
        <v>1414</v>
      </c>
      <c r="B100">
        <v>12</v>
      </c>
      <c r="C100">
        <v>7</v>
      </c>
      <c r="D100">
        <v>19</v>
      </c>
      <c r="F100">
        <f>IFERROR(GETPIVOTDATA("Delivery Type (LSCS / Norma)",$A$98,"Delivery Type (LSCS / Norma)","LSCS"),0)</f>
        <v>12</v>
      </c>
      <c r="G100">
        <f>IFERROR(GETPIVOTDATA("Delivery Type (LSCS / Norma)",$A$98,"Delivery Type (LSCS / Norma)","Normal"),0)</f>
        <v>7</v>
      </c>
    </row>
    <row r="104" spans="1:7" x14ac:dyDescent="0.3">
      <c r="B104" s="115" t="s">
        <v>1413</v>
      </c>
    </row>
    <row r="105" spans="1:7" x14ac:dyDescent="0.3">
      <c r="B105" t="s">
        <v>1415</v>
      </c>
      <c r="C105" t="s">
        <v>1416</v>
      </c>
      <c r="D105" t="s">
        <v>1412</v>
      </c>
      <c r="F105" t="s">
        <v>1432</v>
      </c>
      <c r="G105" t="s">
        <v>1416</v>
      </c>
    </row>
    <row r="106" spans="1:7" x14ac:dyDescent="0.3">
      <c r="A106" t="s">
        <v>1417</v>
      </c>
      <c r="B106">
        <v>6</v>
      </c>
      <c r="C106">
        <v>13</v>
      </c>
      <c r="D106">
        <v>19</v>
      </c>
      <c r="F106">
        <f>IFERROR(GETPIVOTDATA("Death category",$A$104,"Death category","Infant Death"),0)</f>
        <v>6</v>
      </c>
      <c r="G106">
        <f>IFERROR(GETPIVOTDATA("Death category",$A$104,"Death category","Neonatal Death"),0)</f>
        <v>13</v>
      </c>
    </row>
  </sheetData>
  <mergeCells count="2">
    <mergeCell ref="A50:E50"/>
    <mergeCell ref="A84:C84"/>
  </mergeCells>
  <pageMargins left="0.7" right="0.7" top="0.75" bottom="0.75" header="0.3" footer="0.3"/>
  <drawing r:id="rId1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8CF95-4FCF-4246-B5FF-FB3C818077FA}">
  <dimension ref="A2:H99"/>
  <sheetViews>
    <sheetView topLeftCell="A14" workbookViewId="0">
      <selection activeCell="B106" sqref="B106"/>
    </sheetView>
  </sheetViews>
  <sheetFormatPr defaultRowHeight="14.4" x14ac:dyDescent="0.3"/>
  <cols>
    <col min="1" max="1" width="34.109375" bestFit="1" customWidth="1"/>
    <col min="2" max="2" width="15.5546875" bestFit="1" customWidth="1"/>
    <col min="3" max="3" width="7.21875" bestFit="1" customWidth="1"/>
    <col min="4" max="4" width="10.77734375" bestFit="1" customWidth="1"/>
    <col min="5" max="5" width="9.21875" bestFit="1" customWidth="1"/>
    <col min="6" max="6" width="5.21875" bestFit="1" customWidth="1"/>
    <col min="7" max="7" width="11.88671875" bestFit="1" customWidth="1"/>
    <col min="8" max="8" width="10.77734375" bestFit="1" customWidth="1"/>
  </cols>
  <sheetData>
    <row r="2" spans="1:4" x14ac:dyDescent="0.3">
      <c r="A2" s="115" t="s">
        <v>1414</v>
      </c>
      <c r="B2" s="115" t="s">
        <v>1413</v>
      </c>
    </row>
    <row r="3" spans="1:4" x14ac:dyDescent="0.3">
      <c r="A3" s="115" t="s">
        <v>1411</v>
      </c>
      <c r="B3" t="s">
        <v>48</v>
      </c>
      <c r="C3" t="s">
        <v>74</v>
      </c>
      <c r="D3" t="s">
        <v>1412</v>
      </c>
    </row>
    <row r="4" spans="1:4" x14ac:dyDescent="0.3">
      <c r="A4" s="116" t="s">
        <v>1455</v>
      </c>
      <c r="B4">
        <v>6</v>
      </c>
      <c r="C4">
        <v>3</v>
      </c>
      <c r="D4">
        <v>9</v>
      </c>
    </row>
    <row r="5" spans="1:4" x14ac:dyDescent="0.3">
      <c r="A5" s="116" t="s">
        <v>1454</v>
      </c>
      <c r="B5">
        <v>17</v>
      </c>
      <c r="C5">
        <v>5</v>
      </c>
      <c r="D5">
        <v>22</v>
      </c>
    </row>
    <row r="6" spans="1:4" x14ac:dyDescent="0.3">
      <c r="A6" s="116" t="s">
        <v>1412</v>
      </c>
      <c r="B6">
        <v>23</v>
      </c>
      <c r="C6">
        <v>8</v>
      </c>
      <c r="D6">
        <v>31</v>
      </c>
    </row>
    <row r="9" spans="1:4" x14ac:dyDescent="0.3">
      <c r="A9" s="115" t="s">
        <v>1417</v>
      </c>
      <c r="B9" s="115" t="s">
        <v>1413</v>
      </c>
    </row>
    <row r="10" spans="1:4" x14ac:dyDescent="0.3">
      <c r="A10" s="115" t="s">
        <v>1411</v>
      </c>
      <c r="B10" t="s">
        <v>1415</v>
      </c>
      <c r="C10" t="s">
        <v>1416</v>
      </c>
      <c r="D10" t="s">
        <v>1412</v>
      </c>
    </row>
    <row r="11" spans="1:4" x14ac:dyDescent="0.3">
      <c r="A11" s="116" t="s">
        <v>48</v>
      </c>
      <c r="B11">
        <v>7</v>
      </c>
      <c r="C11">
        <v>16</v>
      </c>
      <c r="D11">
        <v>23</v>
      </c>
    </row>
    <row r="12" spans="1:4" x14ac:dyDescent="0.3">
      <c r="A12" s="116" t="s">
        <v>74</v>
      </c>
      <c r="B12">
        <v>5</v>
      </c>
      <c r="C12">
        <v>3</v>
      </c>
      <c r="D12">
        <v>8</v>
      </c>
    </row>
    <row r="13" spans="1:4" x14ac:dyDescent="0.3">
      <c r="A13" s="116" t="s">
        <v>1412</v>
      </c>
      <c r="B13">
        <v>12</v>
      </c>
      <c r="C13">
        <v>19</v>
      </c>
      <c r="D13">
        <v>31</v>
      </c>
    </row>
    <row r="16" spans="1:4" x14ac:dyDescent="0.3">
      <c r="A16" s="115" t="s">
        <v>1417</v>
      </c>
      <c r="B16" s="115" t="s">
        <v>1413</v>
      </c>
    </row>
    <row r="17" spans="1:4" x14ac:dyDescent="0.3">
      <c r="A17" s="115" t="s">
        <v>1411</v>
      </c>
      <c r="B17" t="s">
        <v>39</v>
      </c>
      <c r="C17" t="s">
        <v>89</v>
      </c>
      <c r="D17" t="s">
        <v>1412</v>
      </c>
    </row>
    <row r="18" spans="1:4" x14ac:dyDescent="0.3">
      <c r="A18" s="116" t="s">
        <v>1415</v>
      </c>
      <c r="B18">
        <v>5</v>
      </c>
      <c r="C18">
        <v>7</v>
      </c>
      <c r="D18">
        <v>12</v>
      </c>
    </row>
    <row r="19" spans="1:4" x14ac:dyDescent="0.3">
      <c r="A19" s="116" t="s">
        <v>1416</v>
      </c>
      <c r="B19">
        <v>9</v>
      </c>
      <c r="C19">
        <v>10</v>
      </c>
      <c r="D19">
        <v>19</v>
      </c>
    </row>
    <row r="20" spans="1:4" x14ac:dyDescent="0.3">
      <c r="A20" s="116" t="s">
        <v>1412</v>
      </c>
      <c r="B20">
        <v>14</v>
      </c>
      <c r="C20">
        <v>17</v>
      </c>
      <c r="D20">
        <v>31</v>
      </c>
    </row>
    <row r="23" spans="1:4" x14ac:dyDescent="0.3">
      <c r="A23" s="115" t="s">
        <v>1417</v>
      </c>
      <c r="B23" s="115" t="s">
        <v>1413</v>
      </c>
    </row>
    <row r="24" spans="1:4" x14ac:dyDescent="0.3">
      <c r="A24" s="115" t="s">
        <v>1411</v>
      </c>
      <c r="B24" t="s">
        <v>1415</v>
      </c>
      <c r="C24" t="s">
        <v>1416</v>
      </c>
      <c r="D24" t="s">
        <v>1412</v>
      </c>
    </row>
    <row r="25" spans="1:4" x14ac:dyDescent="0.3">
      <c r="A25" s="116" t="s">
        <v>1456</v>
      </c>
      <c r="B25">
        <v>5</v>
      </c>
      <c r="C25">
        <v>18</v>
      </c>
      <c r="D25">
        <v>23</v>
      </c>
    </row>
    <row r="26" spans="1:4" x14ac:dyDescent="0.3">
      <c r="A26" s="116" t="s">
        <v>1436</v>
      </c>
      <c r="B26">
        <v>7</v>
      </c>
      <c r="C26">
        <v>1</v>
      </c>
      <c r="D26">
        <v>8</v>
      </c>
    </row>
    <row r="27" spans="1:4" x14ac:dyDescent="0.3">
      <c r="A27" s="116" t="s">
        <v>1412</v>
      </c>
      <c r="B27">
        <v>12</v>
      </c>
      <c r="C27">
        <v>19</v>
      </c>
      <c r="D27">
        <v>31</v>
      </c>
    </row>
    <row r="30" spans="1:4" x14ac:dyDescent="0.3">
      <c r="A30" s="115" t="s">
        <v>1417</v>
      </c>
      <c r="B30" s="115" t="s">
        <v>1413</v>
      </c>
    </row>
    <row r="31" spans="1:4" x14ac:dyDescent="0.3">
      <c r="A31" s="115" t="s">
        <v>1411</v>
      </c>
      <c r="B31" t="s">
        <v>1415</v>
      </c>
      <c r="C31" t="s">
        <v>1416</v>
      </c>
      <c r="D31" t="s">
        <v>1412</v>
      </c>
    </row>
    <row r="32" spans="1:4" x14ac:dyDescent="0.3">
      <c r="A32" s="116" t="s">
        <v>1437</v>
      </c>
      <c r="B32">
        <v>5</v>
      </c>
      <c r="C32">
        <v>4</v>
      </c>
      <c r="D32">
        <v>9</v>
      </c>
    </row>
    <row r="33" spans="1:5" x14ac:dyDescent="0.3">
      <c r="A33" s="116" t="s">
        <v>1438</v>
      </c>
      <c r="B33">
        <v>7</v>
      </c>
      <c r="C33">
        <v>15</v>
      </c>
      <c r="D33">
        <v>22</v>
      </c>
    </row>
    <row r="34" spans="1:5" x14ac:dyDescent="0.3">
      <c r="A34" s="116" t="s">
        <v>1412</v>
      </c>
      <c r="B34">
        <v>12</v>
      </c>
      <c r="C34">
        <v>19</v>
      </c>
      <c r="D34">
        <v>31</v>
      </c>
    </row>
    <row r="37" spans="1:5" x14ac:dyDescent="0.3">
      <c r="A37" s="115" t="s">
        <v>1417</v>
      </c>
      <c r="B37" s="115" t="s">
        <v>1413</v>
      </c>
    </row>
    <row r="38" spans="1:5" x14ac:dyDescent="0.3">
      <c r="A38" s="115" t="s">
        <v>1411</v>
      </c>
      <c r="B38" t="s">
        <v>1415</v>
      </c>
      <c r="C38" t="s">
        <v>1416</v>
      </c>
      <c r="D38" t="s">
        <v>1412</v>
      </c>
    </row>
    <row r="39" spans="1:5" x14ac:dyDescent="0.3">
      <c r="A39" s="116" t="s">
        <v>1440</v>
      </c>
      <c r="B39">
        <v>12</v>
      </c>
      <c r="C39">
        <v>18</v>
      </c>
      <c r="D39">
        <v>30</v>
      </c>
    </row>
    <row r="40" spans="1:5" x14ac:dyDescent="0.3">
      <c r="A40" s="116" t="s">
        <v>1457</v>
      </c>
      <c r="C40">
        <v>1</v>
      </c>
      <c r="D40">
        <v>1</v>
      </c>
    </row>
    <row r="41" spans="1:5" x14ac:dyDescent="0.3">
      <c r="A41" s="116" t="s">
        <v>1412</v>
      </c>
      <c r="B41">
        <v>12</v>
      </c>
      <c r="C41">
        <v>19</v>
      </c>
      <c r="D41">
        <v>31</v>
      </c>
    </row>
    <row r="43" spans="1:5" x14ac:dyDescent="0.3">
      <c r="A43" s="179" t="s">
        <v>1458</v>
      </c>
      <c r="B43" s="179"/>
      <c r="C43" s="179"/>
      <c r="D43" s="179"/>
      <c r="E43" s="179"/>
    </row>
    <row r="45" spans="1:5" x14ac:dyDescent="0.3">
      <c r="A45" s="115" t="s">
        <v>1459</v>
      </c>
      <c r="B45" s="115" t="s">
        <v>1413</v>
      </c>
    </row>
    <row r="46" spans="1:5" x14ac:dyDescent="0.3">
      <c r="A46" s="115" t="s">
        <v>1411</v>
      </c>
      <c r="B46" t="s">
        <v>1415</v>
      </c>
      <c r="C46" t="s">
        <v>1416</v>
      </c>
      <c r="D46" t="s">
        <v>1412</v>
      </c>
    </row>
    <row r="47" spans="1:5" x14ac:dyDescent="0.3">
      <c r="A47" s="116" t="s">
        <v>1441</v>
      </c>
      <c r="B47">
        <v>12</v>
      </c>
      <c r="C47">
        <v>5</v>
      </c>
      <c r="D47">
        <v>17</v>
      </c>
    </row>
    <row r="48" spans="1:5" x14ac:dyDescent="0.3">
      <c r="A48" s="116" t="s">
        <v>1442</v>
      </c>
      <c r="C48">
        <v>14</v>
      </c>
      <c r="D48">
        <v>14</v>
      </c>
    </row>
    <row r="49" spans="1:4" x14ac:dyDescent="0.3">
      <c r="A49" s="116" t="s">
        <v>1412</v>
      </c>
      <c r="B49">
        <v>12</v>
      </c>
      <c r="C49">
        <v>19</v>
      </c>
      <c r="D49">
        <v>31</v>
      </c>
    </row>
    <row r="52" spans="1:4" x14ac:dyDescent="0.3">
      <c r="A52" s="115" t="s">
        <v>1460</v>
      </c>
      <c r="B52" s="115" t="s">
        <v>1413</v>
      </c>
    </row>
    <row r="53" spans="1:4" x14ac:dyDescent="0.3">
      <c r="A53" s="115" t="s">
        <v>1411</v>
      </c>
      <c r="B53" t="s">
        <v>1415</v>
      </c>
      <c r="C53" t="s">
        <v>1416</v>
      </c>
      <c r="D53" t="s">
        <v>1412</v>
      </c>
    </row>
    <row r="54" spans="1:4" x14ac:dyDescent="0.3">
      <c r="A54" s="116" t="s">
        <v>1461</v>
      </c>
      <c r="B54">
        <v>12</v>
      </c>
      <c r="C54">
        <v>12</v>
      </c>
      <c r="D54">
        <v>24</v>
      </c>
    </row>
    <row r="55" spans="1:4" x14ac:dyDescent="0.3">
      <c r="A55" s="116" t="s">
        <v>1462</v>
      </c>
      <c r="C55">
        <v>7</v>
      </c>
      <c r="D55">
        <v>7</v>
      </c>
    </row>
    <row r="56" spans="1:4" x14ac:dyDescent="0.3">
      <c r="A56" s="116" t="s">
        <v>1412</v>
      </c>
      <c r="B56">
        <v>12</v>
      </c>
      <c r="C56">
        <v>19</v>
      </c>
      <c r="D56">
        <v>31</v>
      </c>
    </row>
    <row r="59" spans="1:4" x14ac:dyDescent="0.3">
      <c r="A59" s="115" t="s">
        <v>1463</v>
      </c>
      <c r="B59" s="115" t="s">
        <v>1413</v>
      </c>
    </row>
    <row r="60" spans="1:4" x14ac:dyDescent="0.3">
      <c r="A60" s="115" t="s">
        <v>1411</v>
      </c>
      <c r="B60" t="s">
        <v>1415</v>
      </c>
      <c r="C60" t="s">
        <v>1416</v>
      </c>
      <c r="D60" t="s">
        <v>1412</v>
      </c>
    </row>
    <row r="61" spans="1:4" x14ac:dyDescent="0.3">
      <c r="A61" s="116" t="s">
        <v>1464</v>
      </c>
      <c r="B61">
        <v>12</v>
      </c>
      <c r="C61">
        <v>15</v>
      </c>
      <c r="D61">
        <v>27</v>
      </c>
    </row>
    <row r="62" spans="1:4" x14ac:dyDescent="0.3">
      <c r="A62" s="116" t="s">
        <v>1465</v>
      </c>
      <c r="C62">
        <v>4</v>
      </c>
      <c r="D62">
        <v>4</v>
      </c>
    </row>
    <row r="63" spans="1:4" x14ac:dyDescent="0.3">
      <c r="A63" s="116" t="s">
        <v>1412</v>
      </c>
      <c r="B63">
        <v>12</v>
      </c>
      <c r="C63">
        <v>19</v>
      </c>
      <c r="D63">
        <v>31</v>
      </c>
    </row>
    <row r="66" spans="1:6" x14ac:dyDescent="0.3">
      <c r="A66" s="115" t="s">
        <v>1466</v>
      </c>
      <c r="B66" s="115" t="s">
        <v>1413</v>
      </c>
    </row>
    <row r="67" spans="1:6" x14ac:dyDescent="0.3">
      <c r="A67" s="115" t="s">
        <v>1411</v>
      </c>
      <c r="B67" t="s">
        <v>1415</v>
      </c>
      <c r="C67" t="s">
        <v>1416</v>
      </c>
      <c r="D67" t="s">
        <v>1412</v>
      </c>
    </row>
    <row r="68" spans="1:6" x14ac:dyDescent="0.3">
      <c r="A68" s="116" t="s">
        <v>1450</v>
      </c>
      <c r="B68">
        <v>11</v>
      </c>
      <c r="C68">
        <v>16</v>
      </c>
      <c r="D68">
        <v>27</v>
      </c>
    </row>
    <row r="69" spans="1:6" x14ac:dyDescent="0.3">
      <c r="A69" s="116" t="s">
        <v>1451</v>
      </c>
      <c r="B69">
        <v>1</v>
      </c>
      <c r="C69">
        <v>3</v>
      </c>
      <c r="D69">
        <v>4</v>
      </c>
    </row>
    <row r="70" spans="1:6" x14ac:dyDescent="0.3">
      <c r="A70" s="116" t="s">
        <v>1412</v>
      </c>
      <c r="B70">
        <v>12</v>
      </c>
      <c r="C70">
        <v>19</v>
      </c>
      <c r="D70">
        <v>31</v>
      </c>
    </row>
    <row r="73" spans="1:6" x14ac:dyDescent="0.3">
      <c r="A73" s="115" t="s">
        <v>1467</v>
      </c>
      <c r="B73" s="115" t="s">
        <v>1413</v>
      </c>
    </row>
    <row r="74" spans="1:6" x14ac:dyDescent="0.3">
      <c r="A74" s="115" t="s">
        <v>1411</v>
      </c>
      <c r="B74" t="s">
        <v>1415</v>
      </c>
      <c r="C74" t="s">
        <v>1416</v>
      </c>
      <c r="D74" t="s">
        <v>1412</v>
      </c>
    </row>
    <row r="75" spans="1:6" x14ac:dyDescent="0.3">
      <c r="A75" s="116" t="s">
        <v>1453</v>
      </c>
      <c r="B75">
        <v>12</v>
      </c>
      <c r="C75">
        <v>18</v>
      </c>
      <c r="D75">
        <v>30</v>
      </c>
    </row>
    <row r="76" spans="1:6" x14ac:dyDescent="0.3">
      <c r="A76" s="116" t="s">
        <v>1472</v>
      </c>
      <c r="C76">
        <v>1</v>
      </c>
      <c r="D76">
        <v>1</v>
      </c>
    </row>
    <row r="77" spans="1:6" x14ac:dyDescent="0.3">
      <c r="A77" s="116" t="s">
        <v>1412</v>
      </c>
      <c r="B77">
        <v>12</v>
      </c>
      <c r="C77">
        <v>19</v>
      </c>
      <c r="D77">
        <v>31</v>
      </c>
    </row>
    <row r="80" spans="1:6" x14ac:dyDescent="0.3">
      <c r="A80" s="179" t="s">
        <v>1412</v>
      </c>
      <c r="B80" s="179"/>
      <c r="C80" s="179"/>
      <c r="D80" s="179"/>
      <c r="E80" s="179"/>
      <c r="F80" s="179"/>
    </row>
    <row r="82" spans="1:8" x14ac:dyDescent="0.3">
      <c r="B82" s="115" t="s">
        <v>1413</v>
      </c>
      <c r="G82" t="s">
        <v>1469</v>
      </c>
    </row>
    <row r="83" spans="1:8" x14ac:dyDescent="0.3">
      <c r="B83" t="s">
        <v>61</v>
      </c>
      <c r="C83" t="s">
        <v>1398</v>
      </c>
      <c r="D83" t="s">
        <v>1412</v>
      </c>
      <c r="G83" t="s">
        <v>107</v>
      </c>
    </row>
    <row r="84" spans="1:8" x14ac:dyDescent="0.3">
      <c r="A84" t="s">
        <v>1468</v>
      </c>
      <c r="B84">
        <v>9</v>
      </c>
      <c r="C84">
        <v>22</v>
      </c>
      <c r="D84">
        <v>31</v>
      </c>
      <c r="G84">
        <f>IFERROR(GETPIVOTDATA("High Risk (Yes / No)",$A$82,"High Risk (Yes / No)","YES"),0)</f>
        <v>22</v>
      </c>
    </row>
    <row r="87" spans="1:8" x14ac:dyDescent="0.3">
      <c r="B87" s="115" t="s">
        <v>1413</v>
      </c>
      <c r="G87" t="s">
        <v>1436</v>
      </c>
      <c r="H87" t="s">
        <v>1456</v>
      </c>
    </row>
    <row r="88" spans="1:8" x14ac:dyDescent="0.3">
      <c r="B88" t="s">
        <v>61</v>
      </c>
      <c r="C88" t="s">
        <v>1398</v>
      </c>
      <c r="D88" t="s">
        <v>1412</v>
      </c>
    </row>
    <row r="89" spans="1:8" x14ac:dyDescent="0.3">
      <c r="A89" t="s">
        <v>1430</v>
      </c>
      <c r="B89">
        <v>23</v>
      </c>
      <c r="C89">
        <v>8</v>
      </c>
      <c r="D89">
        <v>31</v>
      </c>
      <c r="G89">
        <f>IFERROR(GETPIVOTDATA("Preventable 
(Yes / No)",$A$87,"Preventable 
(Yes / No)","YES"),0)</f>
        <v>8</v>
      </c>
      <c r="H89">
        <f>IFERROR(GETPIVOTDATA("Preventable 
(Yes / No)",$A$87,"Preventable 
(Yes / No)","NO"),0)</f>
        <v>23</v>
      </c>
    </row>
    <row r="92" spans="1:8" x14ac:dyDescent="0.3">
      <c r="B92" s="115" t="s">
        <v>1413</v>
      </c>
    </row>
    <row r="93" spans="1:8" x14ac:dyDescent="0.3">
      <c r="B93" t="s">
        <v>48</v>
      </c>
      <c r="C93" t="s">
        <v>74</v>
      </c>
      <c r="D93" t="s">
        <v>1412</v>
      </c>
      <c r="G93" t="s">
        <v>1470</v>
      </c>
      <c r="H93" t="s">
        <v>1471</v>
      </c>
    </row>
    <row r="94" spans="1:8" x14ac:dyDescent="0.3">
      <c r="A94" t="s">
        <v>1414</v>
      </c>
      <c r="B94">
        <v>23</v>
      </c>
      <c r="C94">
        <v>8</v>
      </c>
      <c r="D94">
        <v>31</v>
      </c>
      <c r="G94">
        <f>IFERROR(GETPIVOTDATA("Delivery Type (LSCS / Norma)",$A$92,"Delivery Type (LSCS / Norma)","LSCS"),0)</f>
        <v>23</v>
      </c>
      <c r="H94">
        <f>IFERROR(GETPIVOTDATA("Delivery Type (LSCS / Norma)",$A$92,"Delivery Type (LSCS / Norma)","Normal"),0)</f>
        <v>8</v>
      </c>
    </row>
    <row r="97" spans="1:8" x14ac:dyDescent="0.3">
      <c r="B97" s="115" t="s">
        <v>1413</v>
      </c>
    </row>
    <row r="98" spans="1:8" x14ac:dyDescent="0.3">
      <c r="B98" t="s">
        <v>1415</v>
      </c>
      <c r="C98" t="s">
        <v>1416</v>
      </c>
      <c r="D98" t="s">
        <v>1412</v>
      </c>
      <c r="G98" t="s">
        <v>1415</v>
      </c>
      <c r="H98" t="s">
        <v>1416</v>
      </c>
    </row>
    <row r="99" spans="1:8" x14ac:dyDescent="0.3">
      <c r="A99" t="s">
        <v>1417</v>
      </c>
      <c r="B99">
        <v>12</v>
      </c>
      <c r="C99">
        <v>19</v>
      </c>
      <c r="D99">
        <v>31</v>
      </c>
      <c r="G99">
        <f>IFERROR(GETPIVOTDATA("Death category",$A$97,"Death category","Infant Death"),0)</f>
        <v>12</v>
      </c>
      <c r="H99">
        <f>IFERROR(GETPIVOTDATA("Death category",$A$97,"Death category","Neonatal Death"),0)</f>
        <v>19</v>
      </c>
    </row>
  </sheetData>
  <mergeCells count="2">
    <mergeCell ref="A43:E43"/>
    <mergeCell ref="A80:F80"/>
  </mergeCells>
  <pageMargins left="0.7" right="0.7" top="0.75" bottom="0.75" header="0.3" footer="0.3"/>
  <drawing r:id="rId1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80D06-C823-493F-B22D-A3EF665BED7D}">
  <dimension ref="A1:J105"/>
  <sheetViews>
    <sheetView topLeftCell="A16" zoomScaleNormal="100" workbookViewId="0">
      <selection activeCell="D5" sqref="D5"/>
    </sheetView>
  </sheetViews>
  <sheetFormatPr defaultRowHeight="14.4" x14ac:dyDescent="0.3"/>
  <cols>
    <col min="1" max="1" width="29.109375" bestFit="1" customWidth="1"/>
    <col min="2" max="2" width="15.5546875" bestFit="1" customWidth="1"/>
    <col min="3" max="3" width="4" bestFit="1" customWidth="1"/>
    <col min="4" max="4" width="10.77734375" bestFit="1" customWidth="1"/>
    <col min="5" max="5" width="16.21875" bestFit="1" customWidth="1"/>
    <col min="6" max="6" width="5.21875" bestFit="1" customWidth="1"/>
    <col min="7" max="7" width="19" bestFit="1" customWidth="1"/>
    <col min="8" max="8" width="10.77734375" bestFit="1" customWidth="1"/>
  </cols>
  <sheetData>
    <row r="1" spans="1:4" x14ac:dyDescent="0.3">
      <c r="A1" s="179" t="s">
        <v>1473</v>
      </c>
      <c r="B1" s="179"/>
      <c r="C1" s="179"/>
      <c r="D1" s="179"/>
    </row>
    <row r="3" spans="1:4" x14ac:dyDescent="0.3">
      <c r="A3" s="115" t="s">
        <v>1414</v>
      </c>
      <c r="B3" s="115" t="s">
        <v>1413</v>
      </c>
    </row>
    <row r="4" spans="1:4" x14ac:dyDescent="0.3">
      <c r="A4" s="115" t="s">
        <v>1411</v>
      </c>
      <c r="B4" t="s">
        <v>48</v>
      </c>
      <c r="C4" t="s">
        <v>74</v>
      </c>
      <c r="D4" t="s">
        <v>1412</v>
      </c>
    </row>
    <row r="5" spans="1:4" x14ac:dyDescent="0.3">
      <c r="A5" s="116" t="s">
        <v>1437</v>
      </c>
      <c r="B5">
        <v>4</v>
      </c>
      <c r="C5">
        <v>9</v>
      </c>
      <c r="D5">
        <v>13</v>
      </c>
    </row>
    <row r="6" spans="1:4" x14ac:dyDescent="0.3">
      <c r="A6" s="116" t="s">
        <v>1438</v>
      </c>
      <c r="B6">
        <v>6</v>
      </c>
      <c r="C6">
        <v>4</v>
      </c>
      <c r="D6">
        <v>10</v>
      </c>
    </row>
    <row r="7" spans="1:4" x14ac:dyDescent="0.3">
      <c r="A7" s="116" t="s">
        <v>1412</v>
      </c>
      <c r="B7">
        <v>10</v>
      </c>
      <c r="C7">
        <v>13</v>
      </c>
      <c r="D7">
        <v>23</v>
      </c>
    </row>
    <row r="9" spans="1:4" x14ac:dyDescent="0.3">
      <c r="A9" s="179" t="s">
        <v>1474</v>
      </c>
      <c r="B9" s="179"/>
      <c r="C9" s="179"/>
      <c r="D9" s="179"/>
    </row>
    <row r="11" spans="1:4" x14ac:dyDescent="0.3">
      <c r="A11" s="115" t="s">
        <v>1417</v>
      </c>
      <c r="B11" s="115" t="s">
        <v>1413</v>
      </c>
    </row>
    <row r="12" spans="1:4" x14ac:dyDescent="0.3">
      <c r="A12" s="115" t="s">
        <v>1411</v>
      </c>
      <c r="B12" t="s">
        <v>1415</v>
      </c>
      <c r="C12" t="s">
        <v>1416</v>
      </c>
      <c r="D12" t="s">
        <v>1412</v>
      </c>
    </row>
    <row r="13" spans="1:4" x14ac:dyDescent="0.3">
      <c r="A13" s="116" t="s">
        <v>48</v>
      </c>
      <c r="B13">
        <v>3</v>
      </c>
      <c r="C13">
        <v>7</v>
      </c>
      <c r="D13">
        <v>10</v>
      </c>
    </row>
    <row r="14" spans="1:4" x14ac:dyDescent="0.3">
      <c r="A14" s="116" t="s">
        <v>74</v>
      </c>
      <c r="B14">
        <v>6</v>
      </c>
      <c r="C14">
        <v>7</v>
      </c>
      <c r="D14">
        <v>13</v>
      </c>
    </row>
    <row r="15" spans="1:4" x14ac:dyDescent="0.3">
      <c r="A15" s="116" t="s">
        <v>1412</v>
      </c>
      <c r="B15">
        <v>9</v>
      </c>
      <c r="C15">
        <v>14</v>
      </c>
      <c r="D15">
        <v>23</v>
      </c>
    </row>
    <row r="17" spans="1:4" x14ac:dyDescent="0.3">
      <c r="A17" s="179" t="s">
        <v>1475</v>
      </c>
      <c r="B17" s="179"/>
      <c r="C17" s="179"/>
      <c r="D17" s="179"/>
    </row>
    <row r="19" spans="1:4" x14ac:dyDescent="0.3">
      <c r="A19" s="115" t="s">
        <v>1417</v>
      </c>
      <c r="B19" s="115" t="s">
        <v>1413</v>
      </c>
    </row>
    <row r="20" spans="1:4" x14ac:dyDescent="0.3">
      <c r="A20" s="115" t="s">
        <v>1411</v>
      </c>
      <c r="B20" t="s">
        <v>39</v>
      </c>
      <c r="C20" t="s">
        <v>89</v>
      </c>
      <c r="D20" t="s">
        <v>1412</v>
      </c>
    </row>
    <row r="21" spans="1:4" x14ac:dyDescent="0.3">
      <c r="A21" s="116" t="s">
        <v>1415</v>
      </c>
      <c r="B21">
        <v>3</v>
      </c>
      <c r="C21">
        <v>6</v>
      </c>
      <c r="D21">
        <v>9</v>
      </c>
    </row>
    <row r="22" spans="1:4" x14ac:dyDescent="0.3">
      <c r="A22" s="116" t="s">
        <v>1416</v>
      </c>
      <c r="B22">
        <v>6</v>
      </c>
      <c r="C22">
        <v>8</v>
      </c>
      <c r="D22">
        <v>14</v>
      </c>
    </row>
    <row r="23" spans="1:4" x14ac:dyDescent="0.3">
      <c r="A23" s="116" t="s">
        <v>1412</v>
      </c>
      <c r="B23">
        <v>9</v>
      </c>
      <c r="C23">
        <v>14</v>
      </c>
      <c r="D23">
        <v>23</v>
      </c>
    </row>
    <row r="25" spans="1:4" x14ac:dyDescent="0.3">
      <c r="A25" s="179" t="s">
        <v>1476</v>
      </c>
      <c r="B25" s="179"/>
      <c r="C25" s="179"/>
      <c r="D25" s="179"/>
    </row>
    <row r="27" spans="1:4" x14ac:dyDescent="0.3">
      <c r="A27" s="115" t="s">
        <v>1417</v>
      </c>
      <c r="B27" s="115" t="s">
        <v>1413</v>
      </c>
    </row>
    <row r="28" spans="1:4" x14ac:dyDescent="0.3">
      <c r="A28" s="115" t="s">
        <v>1411</v>
      </c>
      <c r="B28" t="s">
        <v>1415</v>
      </c>
      <c r="C28" t="s">
        <v>1416</v>
      </c>
      <c r="D28" t="s">
        <v>1412</v>
      </c>
    </row>
    <row r="29" spans="1:4" x14ac:dyDescent="0.3">
      <c r="A29" s="116" t="s">
        <v>1456</v>
      </c>
      <c r="B29">
        <v>5</v>
      </c>
      <c r="C29">
        <v>8</v>
      </c>
      <c r="D29">
        <v>13</v>
      </c>
    </row>
    <row r="30" spans="1:4" x14ac:dyDescent="0.3">
      <c r="A30" s="116" t="s">
        <v>1436</v>
      </c>
      <c r="B30">
        <v>4</v>
      </c>
      <c r="C30">
        <v>6</v>
      </c>
      <c r="D30">
        <v>10</v>
      </c>
    </row>
    <row r="31" spans="1:4" x14ac:dyDescent="0.3">
      <c r="A31" s="116" t="s">
        <v>1412</v>
      </c>
      <c r="B31">
        <v>9</v>
      </c>
      <c r="C31">
        <v>14</v>
      </c>
      <c r="D31">
        <v>23</v>
      </c>
    </row>
    <row r="33" spans="1:4" x14ac:dyDescent="0.3">
      <c r="A33" s="179" t="s">
        <v>1477</v>
      </c>
      <c r="B33" s="179"/>
      <c r="C33" s="179"/>
      <c r="D33" s="179"/>
    </row>
    <row r="35" spans="1:4" x14ac:dyDescent="0.3">
      <c r="A35" s="115" t="s">
        <v>1417</v>
      </c>
      <c r="B35" s="115" t="s">
        <v>1413</v>
      </c>
    </row>
    <row r="36" spans="1:4" x14ac:dyDescent="0.3">
      <c r="A36" s="115" t="s">
        <v>1411</v>
      </c>
      <c r="B36" t="s">
        <v>1415</v>
      </c>
      <c r="C36" t="s">
        <v>1416</v>
      </c>
      <c r="D36" t="s">
        <v>1412</v>
      </c>
    </row>
    <row r="37" spans="1:4" x14ac:dyDescent="0.3">
      <c r="A37" s="116" t="s">
        <v>1437</v>
      </c>
      <c r="B37">
        <v>4</v>
      </c>
      <c r="C37">
        <v>9</v>
      </c>
      <c r="D37">
        <v>13</v>
      </c>
    </row>
    <row r="38" spans="1:4" x14ac:dyDescent="0.3">
      <c r="A38" s="116" t="s">
        <v>1438</v>
      </c>
      <c r="B38">
        <v>5</v>
      </c>
      <c r="C38">
        <v>5</v>
      </c>
      <c r="D38">
        <v>10</v>
      </c>
    </row>
    <row r="39" spans="1:4" x14ac:dyDescent="0.3">
      <c r="A39" s="116" t="s">
        <v>1412</v>
      </c>
      <c r="B39">
        <v>9</v>
      </c>
      <c r="C39">
        <v>14</v>
      </c>
      <c r="D39">
        <v>23</v>
      </c>
    </row>
    <row r="41" spans="1:4" x14ac:dyDescent="0.3">
      <c r="A41" s="179" t="s">
        <v>1478</v>
      </c>
      <c r="B41" s="179"/>
      <c r="C41" s="179"/>
      <c r="D41" s="179"/>
    </row>
    <row r="43" spans="1:4" x14ac:dyDescent="0.3">
      <c r="A43" s="115" t="s">
        <v>1417</v>
      </c>
      <c r="B43" s="115" t="s">
        <v>1413</v>
      </c>
    </row>
    <row r="44" spans="1:4" x14ac:dyDescent="0.3">
      <c r="A44" s="115" t="s">
        <v>1411</v>
      </c>
      <c r="B44" t="s">
        <v>1415</v>
      </c>
      <c r="C44" t="s">
        <v>1416</v>
      </c>
      <c r="D44" t="s">
        <v>1412</v>
      </c>
    </row>
    <row r="45" spans="1:4" x14ac:dyDescent="0.3">
      <c r="A45" s="116" t="s">
        <v>1440</v>
      </c>
      <c r="B45">
        <v>8</v>
      </c>
      <c r="C45">
        <v>14</v>
      </c>
      <c r="D45">
        <v>22</v>
      </c>
    </row>
    <row r="46" spans="1:4" x14ac:dyDescent="0.3">
      <c r="A46" s="116" t="s">
        <v>1457</v>
      </c>
      <c r="B46">
        <v>1</v>
      </c>
      <c r="D46">
        <v>1</v>
      </c>
    </row>
    <row r="47" spans="1:4" x14ac:dyDescent="0.3">
      <c r="A47" s="116" t="s">
        <v>1412</v>
      </c>
      <c r="B47">
        <v>9</v>
      </c>
      <c r="C47">
        <v>14</v>
      </c>
      <c r="D47">
        <v>23</v>
      </c>
    </row>
    <row r="50" spans="1:10" x14ac:dyDescent="0.3">
      <c r="A50" s="179" t="s">
        <v>1479</v>
      </c>
      <c r="B50" s="179"/>
      <c r="C50" s="179"/>
      <c r="D50" s="179"/>
      <c r="E50" s="179"/>
      <c r="J50" s="125"/>
    </row>
    <row r="52" spans="1:10" x14ac:dyDescent="0.3">
      <c r="A52" s="115" t="s">
        <v>1459</v>
      </c>
      <c r="B52" s="115" t="s">
        <v>1413</v>
      </c>
    </row>
    <row r="53" spans="1:10" x14ac:dyDescent="0.3">
      <c r="A53" s="115" t="s">
        <v>1411</v>
      </c>
      <c r="B53" t="s">
        <v>1415</v>
      </c>
      <c r="C53" t="s">
        <v>1416</v>
      </c>
      <c r="D53" t="s">
        <v>1412</v>
      </c>
    </row>
    <row r="54" spans="1:10" x14ac:dyDescent="0.3">
      <c r="A54" s="116" t="s">
        <v>1441</v>
      </c>
      <c r="B54">
        <v>9</v>
      </c>
      <c r="C54">
        <v>5</v>
      </c>
      <c r="D54">
        <v>14</v>
      </c>
    </row>
    <row r="55" spans="1:10" x14ac:dyDescent="0.3">
      <c r="A55" s="116" t="s">
        <v>1442</v>
      </c>
      <c r="C55">
        <v>9</v>
      </c>
      <c r="D55">
        <v>9</v>
      </c>
    </row>
    <row r="56" spans="1:10" x14ac:dyDescent="0.3">
      <c r="A56" s="116" t="s">
        <v>1412</v>
      </c>
      <c r="B56">
        <v>9</v>
      </c>
      <c r="C56">
        <v>14</v>
      </c>
      <c r="D56">
        <v>23</v>
      </c>
    </row>
    <row r="59" spans="1:10" x14ac:dyDescent="0.3">
      <c r="A59" s="115" t="s">
        <v>1460</v>
      </c>
      <c r="B59" s="115" t="s">
        <v>1413</v>
      </c>
    </row>
    <row r="60" spans="1:10" x14ac:dyDescent="0.3">
      <c r="A60" s="115" t="s">
        <v>1411</v>
      </c>
      <c r="B60" t="s">
        <v>1415</v>
      </c>
      <c r="C60" t="s">
        <v>1416</v>
      </c>
      <c r="D60" t="s">
        <v>1412</v>
      </c>
    </row>
    <row r="61" spans="1:10" x14ac:dyDescent="0.3">
      <c r="A61" s="116" t="s">
        <v>1485</v>
      </c>
      <c r="B61">
        <v>9</v>
      </c>
      <c r="C61">
        <v>7</v>
      </c>
      <c r="D61">
        <v>16</v>
      </c>
    </row>
    <row r="62" spans="1:10" x14ac:dyDescent="0.3">
      <c r="A62" s="116" t="s">
        <v>1445</v>
      </c>
      <c r="C62">
        <v>7</v>
      </c>
      <c r="D62">
        <v>7</v>
      </c>
    </row>
    <row r="63" spans="1:10" x14ac:dyDescent="0.3">
      <c r="A63" s="116" t="s">
        <v>1412</v>
      </c>
      <c r="B63">
        <v>9</v>
      </c>
      <c r="C63">
        <v>14</v>
      </c>
      <c r="D63">
        <v>23</v>
      </c>
    </row>
    <row r="66" spans="1:4" x14ac:dyDescent="0.3">
      <c r="A66" s="115" t="s">
        <v>1446</v>
      </c>
      <c r="B66" s="115" t="s">
        <v>1413</v>
      </c>
    </row>
    <row r="67" spans="1:4" x14ac:dyDescent="0.3">
      <c r="A67" s="115" t="s">
        <v>1411</v>
      </c>
      <c r="B67" t="s">
        <v>1415</v>
      </c>
      <c r="C67" t="s">
        <v>1416</v>
      </c>
      <c r="D67" t="s">
        <v>1412</v>
      </c>
    </row>
    <row r="68" spans="1:4" x14ac:dyDescent="0.3">
      <c r="A68" s="116" t="s">
        <v>1447</v>
      </c>
      <c r="B68">
        <v>9</v>
      </c>
      <c r="C68">
        <v>13</v>
      </c>
      <c r="D68">
        <v>22</v>
      </c>
    </row>
    <row r="69" spans="1:4" x14ac:dyDescent="0.3">
      <c r="A69" s="116" t="s">
        <v>1448</v>
      </c>
      <c r="C69">
        <v>1</v>
      </c>
      <c r="D69">
        <v>1</v>
      </c>
    </row>
    <row r="70" spans="1:4" x14ac:dyDescent="0.3">
      <c r="A70" s="116" t="s">
        <v>1412</v>
      </c>
      <c r="B70">
        <v>9</v>
      </c>
      <c r="C70">
        <v>14</v>
      </c>
      <c r="D70">
        <v>23</v>
      </c>
    </row>
    <row r="73" spans="1:4" x14ac:dyDescent="0.3">
      <c r="A73" s="115" t="s">
        <v>1449</v>
      </c>
      <c r="B73" s="115" t="s">
        <v>1413</v>
      </c>
    </row>
    <row r="74" spans="1:4" x14ac:dyDescent="0.3">
      <c r="A74" s="115" t="s">
        <v>1411</v>
      </c>
      <c r="B74" t="s">
        <v>1415</v>
      </c>
      <c r="C74" t="s">
        <v>1416</v>
      </c>
      <c r="D74" t="s">
        <v>1412</v>
      </c>
    </row>
    <row r="75" spans="1:4" x14ac:dyDescent="0.3">
      <c r="A75" s="116" t="s">
        <v>1450</v>
      </c>
      <c r="B75">
        <v>9</v>
      </c>
      <c r="C75">
        <v>14</v>
      </c>
      <c r="D75">
        <v>23</v>
      </c>
    </row>
    <row r="76" spans="1:4" x14ac:dyDescent="0.3">
      <c r="A76" s="116" t="s">
        <v>1412</v>
      </c>
      <c r="B76">
        <v>9</v>
      </c>
      <c r="C76">
        <v>14</v>
      </c>
      <c r="D76">
        <v>23</v>
      </c>
    </row>
    <row r="79" spans="1:4" x14ac:dyDescent="0.3">
      <c r="A79" s="115" t="s">
        <v>1452</v>
      </c>
      <c r="B79" s="115" t="s">
        <v>1413</v>
      </c>
    </row>
    <row r="80" spans="1:4" x14ac:dyDescent="0.3">
      <c r="A80" s="115" t="s">
        <v>1411</v>
      </c>
      <c r="B80" t="s">
        <v>1415</v>
      </c>
      <c r="C80" t="s">
        <v>1416</v>
      </c>
      <c r="D80" t="s">
        <v>1412</v>
      </c>
    </row>
    <row r="81" spans="1:8" x14ac:dyDescent="0.3">
      <c r="A81" s="116" t="s">
        <v>1453</v>
      </c>
      <c r="B81">
        <v>8</v>
      </c>
      <c r="C81">
        <v>14</v>
      </c>
      <c r="D81">
        <v>22</v>
      </c>
    </row>
    <row r="82" spans="1:8" x14ac:dyDescent="0.3">
      <c r="A82" s="116" t="s">
        <v>1472</v>
      </c>
      <c r="B82">
        <v>1</v>
      </c>
      <c r="D82">
        <v>1</v>
      </c>
    </row>
    <row r="83" spans="1:8" x14ac:dyDescent="0.3">
      <c r="A83" s="116" t="s">
        <v>1412</v>
      </c>
      <c r="B83">
        <v>9</v>
      </c>
      <c r="C83">
        <v>14</v>
      </c>
      <c r="D83">
        <v>23</v>
      </c>
    </row>
    <row r="86" spans="1:8" x14ac:dyDescent="0.3">
      <c r="A86" s="179" t="s">
        <v>1480</v>
      </c>
      <c r="B86" s="179"/>
      <c r="C86" s="179"/>
      <c r="D86" s="179"/>
      <c r="E86" s="179"/>
    </row>
    <row r="88" spans="1:8" x14ac:dyDescent="0.3">
      <c r="B88" s="115" t="s">
        <v>1413</v>
      </c>
      <c r="G88" s="123" t="s">
        <v>1473</v>
      </c>
    </row>
    <row r="89" spans="1:8" x14ac:dyDescent="0.3">
      <c r="B89" t="s">
        <v>61</v>
      </c>
      <c r="C89" t="s">
        <v>1398</v>
      </c>
      <c r="D89" t="s">
        <v>1412</v>
      </c>
      <c r="G89" t="s">
        <v>107</v>
      </c>
      <c r="H89" t="s">
        <v>60</v>
      </c>
    </row>
    <row r="90" spans="1:8" x14ac:dyDescent="0.3">
      <c r="A90" t="s">
        <v>1468</v>
      </c>
      <c r="B90">
        <v>13</v>
      </c>
      <c r="C90">
        <v>10</v>
      </c>
      <c r="D90">
        <v>23</v>
      </c>
      <c r="G90">
        <f>IFERROR(GETPIVOTDATA("High Risk (Yes / No)",$A$88,"High Risk (Yes / No)","YES"),0)</f>
        <v>10</v>
      </c>
      <c r="H90">
        <f>IFERROR(GETPIVOTDATA("High Risk (Yes / No)",$A$88,"High Risk (Yes / No)","NO"),0)</f>
        <v>13</v>
      </c>
    </row>
    <row r="93" spans="1:8" x14ac:dyDescent="0.3">
      <c r="B93" s="115" t="s">
        <v>1413</v>
      </c>
      <c r="G93" s="123" t="s">
        <v>1481</v>
      </c>
    </row>
    <row r="94" spans="1:8" x14ac:dyDescent="0.3">
      <c r="B94" t="s">
        <v>48</v>
      </c>
      <c r="C94" t="s">
        <v>74</v>
      </c>
      <c r="D94" t="s">
        <v>1412</v>
      </c>
      <c r="G94" t="s">
        <v>48</v>
      </c>
      <c r="H94" t="s">
        <v>74</v>
      </c>
    </row>
    <row r="95" spans="1:8" x14ac:dyDescent="0.3">
      <c r="A95" t="s">
        <v>1414</v>
      </c>
      <c r="B95">
        <v>10</v>
      </c>
      <c r="C95">
        <v>13</v>
      </c>
      <c r="D95">
        <v>23</v>
      </c>
      <c r="G95">
        <f>IFERROR(GETPIVOTDATA("Delivery Type (LSCS / Norma)",$A$93,"Delivery Type (LSCS / Norma)","LSCS"),0)</f>
        <v>10</v>
      </c>
      <c r="H95">
        <f>IFERROR(GETPIVOTDATA("Delivery Type (LSCS / Norma)",$A$93,"Delivery Type (LSCS / Norma)","Normal"),0)</f>
        <v>13</v>
      </c>
    </row>
    <row r="98" spans="1:8" x14ac:dyDescent="0.3">
      <c r="B98" s="115" t="s">
        <v>1413</v>
      </c>
      <c r="G98" s="123" t="s">
        <v>1482</v>
      </c>
    </row>
    <row r="99" spans="1:8" x14ac:dyDescent="0.3">
      <c r="B99" t="s">
        <v>1415</v>
      </c>
      <c r="C99" t="s">
        <v>1416</v>
      </c>
      <c r="D99" t="s">
        <v>1412</v>
      </c>
      <c r="G99" t="s">
        <v>1483</v>
      </c>
      <c r="H99" t="s">
        <v>1484</v>
      </c>
    </row>
    <row r="100" spans="1:8" x14ac:dyDescent="0.3">
      <c r="A100" t="s">
        <v>1417</v>
      </c>
      <c r="B100">
        <v>9</v>
      </c>
      <c r="C100">
        <v>14</v>
      </c>
      <c r="D100">
        <v>23</v>
      </c>
      <c r="G100">
        <f>IFERROR(GETPIVOTDATA("Death category",$A$98,"Death category","Infant Death"),0)</f>
        <v>9</v>
      </c>
      <c r="H100">
        <f>IFERROR(GETPIVOTDATA("Death category",$A$98,"Death category","Neonatal Death"),0)</f>
        <v>14</v>
      </c>
    </row>
    <row r="103" spans="1:8" x14ac:dyDescent="0.3">
      <c r="B103" s="115" t="s">
        <v>1413</v>
      </c>
      <c r="G103" s="123" t="s">
        <v>1436</v>
      </c>
    </row>
    <row r="104" spans="1:8" x14ac:dyDescent="0.3">
      <c r="B104" t="s">
        <v>61</v>
      </c>
      <c r="C104" t="s">
        <v>1398</v>
      </c>
      <c r="D104" t="s">
        <v>1412</v>
      </c>
      <c r="G104" t="s">
        <v>107</v>
      </c>
      <c r="H104" t="s">
        <v>60</v>
      </c>
    </row>
    <row r="105" spans="1:8" x14ac:dyDescent="0.3">
      <c r="A105" t="s">
        <v>1430</v>
      </c>
      <c r="B105">
        <v>13</v>
      </c>
      <c r="C105">
        <v>10</v>
      </c>
      <c r="D105">
        <v>23</v>
      </c>
      <c r="G105">
        <f>IFERROR(GETPIVOTDATA("Preventable 
(Yes / No)",$A$103,"Preventable 
(Yes / No)","YES"),0)</f>
        <v>10</v>
      </c>
      <c r="H105">
        <f>IFERROR(GETPIVOTDATA("Preventable 
(Yes / No)",$A$103,"Preventable 
(Yes / No)","NO"),0)</f>
        <v>13</v>
      </c>
    </row>
  </sheetData>
  <mergeCells count="8">
    <mergeCell ref="A50:E50"/>
    <mergeCell ref="A86:E86"/>
    <mergeCell ref="A1:D1"/>
    <mergeCell ref="A9:D9"/>
    <mergeCell ref="A17:D17"/>
    <mergeCell ref="A25:D25"/>
    <mergeCell ref="A33:D33"/>
    <mergeCell ref="A41:D41"/>
  </mergeCells>
  <pageMargins left="0.7" right="0.7" top="0.75" bottom="0.75" header="0.3" footer="0.3"/>
  <drawing r:id="rId1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4B211-44F3-4468-866B-9AE121711972}">
  <dimension ref="A1:AC25"/>
  <sheetViews>
    <sheetView topLeftCell="A11" workbookViewId="0">
      <selection activeCell="B35" sqref="B35"/>
    </sheetView>
  </sheetViews>
  <sheetFormatPr defaultRowHeight="14.4" x14ac:dyDescent="0.3"/>
  <cols>
    <col min="1" max="1" width="25.5546875" bestFit="1" customWidth="1"/>
    <col min="2" max="2" width="15.5546875" bestFit="1" customWidth="1"/>
    <col min="3" max="3" width="4" bestFit="1" customWidth="1"/>
    <col min="4" max="4" width="10.77734375" bestFit="1" customWidth="1"/>
    <col min="6" max="6" width="21.88671875" bestFit="1" customWidth="1"/>
    <col min="7" max="7" width="15.5546875" bestFit="1" customWidth="1"/>
    <col min="8" max="8" width="14.21875" bestFit="1" customWidth="1"/>
    <col min="9" max="9" width="10.77734375" bestFit="1" customWidth="1"/>
    <col min="11" max="11" width="21.88671875" bestFit="1" customWidth="1"/>
    <col min="12" max="12" width="15.5546875" bestFit="1" customWidth="1"/>
    <col min="13" max="13" width="5.21875" bestFit="1" customWidth="1"/>
    <col min="14" max="14" width="10.77734375" bestFit="1" customWidth="1"/>
    <col min="16" max="16" width="21.88671875" bestFit="1" customWidth="1"/>
    <col min="17" max="17" width="15.5546875" bestFit="1" customWidth="1"/>
    <col min="18" max="18" width="14.21875" bestFit="1" customWidth="1"/>
    <col min="19" max="19" width="10.77734375" bestFit="1" customWidth="1"/>
    <col min="21" max="21" width="23.5546875" bestFit="1" customWidth="1"/>
    <col min="22" max="22" width="15.5546875" bestFit="1" customWidth="1"/>
    <col min="23" max="23" width="14.21875" bestFit="1" customWidth="1"/>
    <col min="24" max="24" width="10.77734375" bestFit="1" customWidth="1"/>
    <col min="26" max="26" width="26.21875" bestFit="1" customWidth="1"/>
    <col min="27" max="27" width="15.5546875" bestFit="1" customWidth="1"/>
    <col min="28" max="28" width="14.21875" bestFit="1" customWidth="1"/>
    <col min="29" max="29" width="10.77734375" bestFit="1" customWidth="1"/>
  </cols>
  <sheetData>
    <row r="1" spans="1:29" x14ac:dyDescent="0.3">
      <c r="A1" s="115" t="s">
        <v>1468</v>
      </c>
      <c r="B1" s="115" t="s">
        <v>1413</v>
      </c>
      <c r="F1" s="115" t="s">
        <v>1414</v>
      </c>
      <c r="G1" s="115" t="s">
        <v>1413</v>
      </c>
      <c r="K1" s="115" t="s">
        <v>1417</v>
      </c>
      <c r="L1" s="115" t="s">
        <v>1413</v>
      </c>
      <c r="P1" s="115" t="s">
        <v>1430</v>
      </c>
      <c r="Q1" s="115" t="s">
        <v>1413</v>
      </c>
    </row>
    <row r="2" spans="1:29" x14ac:dyDescent="0.3">
      <c r="A2" s="115" t="s">
        <v>1411</v>
      </c>
      <c r="B2" t="s">
        <v>61</v>
      </c>
      <c r="C2" t="s">
        <v>1398</v>
      </c>
      <c r="D2" t="s">
        <v>1412</v>
      </c>
      <c r="F2" s="115" t="s">
        <v>1411</v>
      </c>
      <c r="G2" t="s">
        <v>48</v>
      </c>
      <c r="H2" t="s">
        <v>74</v>
      </c>
      <c r="I2" t="s">
        <v>1412</v>
      </c>
      <c r="K2" s="115" t="s">
        <v>1411</v>
      </c>
      <c r="L2" t="s">
        <v>1415</v>
      </c>
      <c r="M2" t="s">
        <v>1416</v>
      </c>
      <c r="N2" t="s">
        <v>1412</v>
      </c>
      <c r="P2" s="115" t="s">
        <v>1411</v>
      </c>
      <c r="Q2" t="s">
        <v>61</v>
      </c>
      <c r="R2" t="s">
        <v>1398</v>
      </c>
      <c r="S2" t="s">
        <v>1412</v>
      </c>
    </row>
    <row r="3" spans="1:29" x14ac:dyDescent="0.3">
      <c r="A3" s="116" t="s">
        <v>1190</v>
      </c>
      <c r="B3">
        <v>8</v>
      </c>
      <c r="C3">
        <v>11</v>
      </c>
      <c r="D3">
        <v>19</v>
      </c>
      <c r="F3" s="116" t="s">
        <v>1190</v>
      </c>
      <c r="G3">
        <v>12</v>
      </c>
      <c r="H3">
        <v>7</v>
      </c>
      <c r="I3">
        <v>19</v>
      </c>
      <c r="K3" s="116" t="s">
        <v>1190</v>
      </c>
      <c r="L3">
        <v>6</v>
      </c>
      <c r="M3">
        <v>13</v>
      </c>
      <c r="N3">
        <v>19</v>
      </c>
      <c r="P3" s="116" t="s">
        <v>1190</v>
      </c>
      <c r="Q3">
        <v>15</v>
      </c>
      <c r="R3">
        <v>4</v>
      </c>
      <c r="S3">
        <v>19</v>
      </c>
    </row>
    <row r="4" spans="1:29" x14ac:dyDescent="0.3">
      <c r="A4" s="116" t="s">
        <v>1188</v>
      </c>
      <c r="B4">
        <v>9</v>
      </c>
      <c r="C4">
        <v>22</v>
      </c>
      <c r="D4">
        <v>31</v>
      </c>
      <c r="F4" s="116" t="s">
        <v>1188</v>
      </c>
      <c r="G4">
        <v>23</v>
      </c>
      <c r="H4">
        <v>8</v>
      </c>
      <c r="I4">
        <v>31</v>
      </c>
      <c r="K4" s="116" t="s">
        <v>1188</v>
      </c>
      <c r="L4">
        <v>12</v>
      </c>
      <c r="M4">
        <v>19</v>
      </c>
      <c r="N4">
        <v>31</v>
      </c>
      <c r="P4" s="116" t="s">
        <v>1188</v>
      </c>
      <c r="Q4">
        <v>23</v>
      </c>
      <c r="R4">
        <v>8</v>
      </c>
      <c r="S4">
        <v>31</v>
      </c>
    </row>
    <row r="5" spans="1:29" x14ac:dyDescent="0.3">
      <c r="A5" s="116" t="s">
        <v>1189</v>
      </c>
      <c r="B5">
        <v>13</v>
      </c>
      <c r="C5">
        <v>10</v>
      </c>
      <c r="D5">
        <v>23</v>
      </c>
      <c r="F5" s="116" t="s">
        <v>1189</v>
      </c>
      <c r="G5">
        <v>10</v>
      </c>
      <c r="H5">
        <v>13</v>
      </c>
      <c r="I5">
        <v>23</v>
      </c>
      <c r="K5" s="116" t="s">
        <v>1189</v>
      </c>
      <c r="L5">
        <v>9</v>
      </c>
      <c r="M5">
        <v>14</v>
      </c>
      <c r="N5">
        <v>23</v>
      </c>
      <c r="P5" s="116" t="s">
        <v>1189</v>
      </c>
      <c r="Q5">
        <v>13</v>
      </c>
      <c r="R5">
        <v>10</v>
      </c>
      <c r="S5">
        <v>23</v>
      </c>
    </row>
    <row r="6" spans="1:29" x14ac:dyDescent="0.3">
      <c r="A6" s="116" t="s">
        <v>1412</v>
      </c>
      <c r="B6">
        <v>30</v>
      </c>
      <c r="C6">
        <v>43</v>
      </c>
      <c r="D6">
        <v>73</v>
      </c>
      <c r="F6" s="116" t="s">
        <v>1412</v>
      </c>
      <c r="G6">
        <v>45</v>
      </c>
      <c r="H6">
        <v>28</v>
      </c>
      <c r="I6">
        <v>73</v>
      </c>
      <c r="K6" s="116" t="s">
        <v>1412</v>
      </c>
      <c r="L6">
        <v>27</v>
      </c>
      <c r="M6">
        <v>46</v>
      </c>
      <c r="N6">
        <v>73</v>
      </c>
      <c r="P6" s="116" t="s">
        <v>1412</v>
      </c>
      <c r="Q6">
        <v>51</v>
      </c>
      <c r="R6">
        <v>22</v>
      </c>
      <c r="S6">
        <v>73</v>
      </c>
    </row>
    <row r="8" spans="1:29" x14ac:dyDescent="0.3">
      <c r="B8" t="s">
        <v>107</v>
      </c>
      <c r="F8" s="116" t="s">
        <v>48</v>
      </c>
      <c r="G8" t="s">
        <v>74</v>
      </c>
      <c r="L8" t="s">
        <v>1415</v>
      </c>
      <c r="M8" t="s">
        <v>1495</v>
      </c>
      <c r="Q8" t="s">
        <v>1496</v>
      </c>
      <c r="R8" t="s">
        <v>1436</v>
      </c>
    </row>
    <row r="9" spans="1:29" x14ac:dyDescent="0.3">
      <c r="A9" t="str">
        <f>A6</f>
        <v>Grand Total</v>
      </c>
      <c r="B9">
        <f>GETPIVOTDATA("High Risk (Yes / No)",$A$1,"High Risk (Yes / No)","YES")</f>
        <v>43</v>
      </c>
      <c r="E9" t="s">
        <v>1412</v>
      </c>
      <c r="F9">
        <f>GETPIVOTDATA("Delivery Type (LSCS / Norma)",$F$1,"Delivery Type (LSCS / Norma)","LSCS")</f>
        <v>45</v>
      </c>
      <c r="G9">
        <f>GETPIVOTDATA("Delivery Type (LSCS / Norma)",$F$1,"Delivery Type (LSCS / Norma)","Normal")</f>
        <v>28</v>
      </c>
      <c r="K9" s="116" t="s">
        <v>1412</v>
      </c>
      <c r="L9">
        <f>GETPIVOTDATA("Death category",$K$1,"Death category","Infant Death")</f>
        <v>27</v>
      </c>
      <c r="M9">
        <f>GETPIVOTDATA("Death category",$K$1,"Death category","Neonatal Death")</f>
        <v>46</v>
      </c>
      <c r="P9" s="116" t="s">
        <v>1412</v>
      </c>
      <c r="Q9">
        <f>GETPIVOTDATA("Preventable 
(Yes / No)",$P$1,"Preventable 
(Yes / No)","NO")</f>
        <v>51</v>
      </c>
      <c r="R9">
        <f>GETPIVOTDATA("Preventable 
(Yes / No)",$P$1,"Preventable 
(Yes / No)","YES")</f>
        <v>22</v>
      </c>
    </row>
    <row r="11" spans="1:29" s="117" customFormat="1" x14ac:dyDescent="0.3">
      <c r="F11" s="117" t="s">
        <v>1497</v>
      </c>
    </row>
    <row r="13" spans="1:29" x14ac:dyDescent="0.3">
      <c r="F13" s="115" t="s">
        <v>1459</v>
      </c>
      <c r="G13" s="115" t="s">
        <v>1413</v>
      </c>
      <c r="K13" s="115" t="s">
        <v>1443</v>
      </c>
      <c r="L13" s="115" t="s">
        <v>1413</v>
      </c>
      <c r="P13" s="115" t="s">
        <v>1446</v>
      </c>
      <c r="Q13" s="115" t="s">
        <v>1413</v>
      </c>
      <c r="U13" s="115" t="s">
        <v>1449</v>
      </c>
      <c r="V13" s="115" t="s">
        <v>1413</v>
      </c>
      <c r="Z13" s="115" t="s">
        <v>1452</v>
      </c>
      <c r="AA13" s="115" t="s">
        <v>1413</v>
      </c>
    </row>
    <row r="14" spans="1:29" x14ac:dyDescent="0.3">
      <c r="F14" s="115" t="s">
        <v>1411</v>
      </c>
      <c r="G14" t="s">
        <v>1415</v>
      </c>
      <c r="H14" t="s">
        <v>1416</v>
      </c>
      <c r="I14" t="s">
        <v>1412</v>
      </c>
      <c r="K14" s="115" t="s">
        <v>1411</v>
      </c>
      <c r="L14" t="s">
        <v>1415</v>
      </c>
      <c r="M14" t="s">
        <v>1416</v>
      </c>
      <c r="N14" t="s">
        <v>1412</v>
      </c>
      <c r="P14" s="115" t="s">
        <v>1411</v>
      </c>
      <c r="Q14" t="s">
        <v>1415</v>
      </c>
      <c r="R14" t="s">
        <v>1416</v>
      </c>
      <c r="S14" t="s">
        <v>1412</v>
      </c>
      <c r="U14" s="115" t="s">
        <v>1411</v>
      </c>
      <c r="V14" t="s">
        <v>1415</v>
      </c>
      <c r="W14" t="s">
        <v>1416</v>
      </c>
      <c r="X14" t="s">
        <v>1412</v>
      </c>
      <c r="Z14" s="115" t="s">
        <v>1411</v>
      </c>
      <c r="AA14" t="s">
        <v>1415</v>
      </c>
      <c r="AB14" t="s">
        <v>1416</v>
      </c>
      <c r="AC14" t="s">
        <v>1412</v>
      </c>
    </row>
    <row r="15" spans="1:29" x14ac:dyDescent="0.3">
      <c r="F15" s="116" t="s">
        <v>1441</v>
      </c>
      <c r="G15">
        <v>26</v>
      </c>
      <c r="H15">
        <v>12</v>
      </c>
      <c r="I15">
        <v>38</v>
      </c>
      <c r="K15" s="116" t="s">
        <v>1485</v>
      </c>
      <c r="L15">
        <v>26</v>
      </c>
      <c r="M15">
        <v>27</v>
      </c>
      <c r="N15">
        <v>53</v>
      </c>
      <c r="P15" s="116" t="s">
        <v>1447</v>
      </c>
      <c r="Q15">
        <v>27</v>
      </c>
      <c r="R15">
        <v>40</v>
      </c>
      <c r="S15">
        <v>67</v>
      </c>
      <c r="U15" s="116" t="s">
        <v>1450</v>
      </c>
      <c r="V15">
        <v>26</v>
      </c>
      <c r="W15">
        <v>41</v>
      </c>
      <c r="X15">
        <v>67</v>
      </c>
      <c r="Z15" s="116" t="s">
        <v>1453</v>
      </c>
      <c r="AA15">
        <v>26</v>
      </c>
      <c r="AB15">
        <v>45</v>
      </c>
      <c r="AC15">
        <v>71</v>
      </c>
    </row>
    <row r="16" spans="1:29" x14ac:dyDescent="0.3">
      <c r="F16" s="116" t="s">
        <v>1442</v>
      </c>
      <c r="G16">
        <v>1</v>
      </c>
      <c r="H16">
        <v>34</v>
      </c>
      <c r="I16">
        <v>35</v>
      </c>
      <c r="K16" s="116" t="s">
        <v>1445</v>
      </c>
      <c r="L16">
        <v>1</v>
      </c>
      <c r="M16">
        <v>19</v>
      </c>
      <c r="N16">
        <v>20</v>
      </c>
      <c r="P16" s="116" t="s">
        <v>1448</v>
      </c>
      <c r="R16">
        <v>6</v>
      </c>
      <c r="S16">
        <v>6</v>
      </c>
      <c r="U16" s="116" t="s">
        <v>1451</v>
      </c>
      <c r="V16">
        <v>1</v>
      </c>
      <c r="W16">
        <v>5</v>
      </c>
      <c r="X16">
        <v>6</v>
      </c>
      <c r="Z16" s="116" t="s">
        <v>1472</v>
      </c>
      <c r="AA16">
        <v>1</v>
      </c>
      <c r="AB16">
        <v>1</v>
      </c>
      <c r="AC16">
        <v>2</v>
      </c>
    </row>
    <row r="17" spans="1:29" x14ac:dyDescent="0.3">
      <c r="F17" s="116" t="s">
        <v>1412</v>
      </c>
      <c r="G17">
        <v>27</v>
      </c>
      <c r="H17">
        <v>46</v>
      </c>
      <c r="I17">
        <v>73</v>
      </c>
      <c r="K17" s="116" t="s">
        <v>1412</v>
      </c>
      <c r="L17">
        <v>27</v>
      </c>
      <c r="M17">
        <v>46</v>
      </c>
      <c r="N17">
        <v>73</v>
      </c>
      <c r="P17" s="116" t="s">
        <v>1412</v>
      </c>
      <c r="Q17">
        <v>27</v>
      </c>
      <c r="R17">
        <v>46</v>
      </c>
      <c r="S17">
        <v>73</v>
      </c>
      <c r="U17" s="116" t="s">
        <v>1412</v>
      </c>
      <c r="V17">
        <v>27</v>
      </c>
      <c r="W17">
        <v>46</v>
      </c>
      <c r="X17">
        <v>73</v>
      </c>
      <c r="Z17" s="116" t="s">
        <v>1412</v>
      </c>
      <c r="AA17">
        <v>27</v>
      </c>
      <c r="AB17">
        <v>46</v>
      </c>
      <c r="AC17">
        <v>73</v>
      </c>
    </row>
    <row r="18" spans="1:29" x14ac:dyDescent="0.3">
      <c r="F18" s="116"/>
      <c r="K18" s="116"/>
      <c r="P18" s="116"/>
      <c r="U18" s="116"/>
      <c r="Z18" s="116"/>
    </row>
    <row r="21" spans="1:29" x14ac:dyDescent="0.3">
      <c r="A21" s="115" t="s">
        <v>1414</v>
      </c>
      <c r="B21" s="115" t="s">
        <v>1413</v>
      </c>
      <c r="F21" s="115" t="s">
        <v>1417</v>
      </c>
      <c r="G21" s="115" t="s">
        <v>1413</v>
      </c>
      <c r="K21" s="115" t="s">
        <v>1417</v>
      </c>
      <c r="L21" s="115" t="s">
        <v>1413</v>
      </c>
      <c r="P21" s="115" t="s">
        <v>1417</v>
      </c>
      <c r="Q21" s="115" t="s">
        <v>1413</v>
      </c>
      <c r="U21" s="115" t="s">
        <v>1417</v>
      </c>
      <c r="V21" s="115" t="s">
        <v>1413</v>
      </c>
      <c r="Z21" s="115" t="s">
        <v>1417</v>
      </c>
      <c r="AA21" s="115" t="s">
        <v>1413</v>
      </c>
    </row>
    <row r="22" spans="1:29" x14ac:dyDescent="0.3">
      <c r="A22" s="115" t="s">
        <v>1411</v>
      </c>
      <c r="B22" t="s">
        <v>48</v>
      </c>
      <c r="C22" t="s">
        <v>74</v>
      </c>
      <c r="D22" t="s">
        <v>1412</v>
      </c>
      <c r="F22" s="115" t="s">
        <v>1411</v>
      </c>
      <c r="G22" t="s">
        <v>1415</v>
      </c>
      <c r="H22" t="s">
        <v>1416</v>
      </c>
      <c r="I22" t="s">
        <v>1412</v>
      </c>
      <c r="K22" s="115" t="s">
        <v>1411</v>
      </c>
      <c r="L22" t="s">
        <v>39</v>
      </c>
      <c r="M22" t="s">
        <v>89</v>
      </c>
      <c r="N22" t="s">
        <v>1412</v>
      </c>
      <c r="P22" s="115" t="s">
        <v>1411</v>
      </c>
      <c r="Q22" t="s">
        <v>1415</v>
      </c>
      <c r="R22" t="s">
        <v>1416</v>
      </c>
      <c r="S22" t="s">
        <v>1412</v>
      </c>
      <c r="U22" s="115" t="s">
        <v>1411</v>
      </c>
      <c r="V22" t="s">
        <v>1415</v>
      </c>
      <c r="W22" t="s">
        <v>1416</v>
      </c>
      <c r="X22" t="s">
        <v>1412</v>
      </c>
      <c r="Z22" s="115" t="s">
        <v>1411</v>
      </c>
      <c r="AA22" t="s">
        <v>1415</v>
      </c>
      <c r="AB22" t="s">
        <v>1416</v>
      </c>
      <c r="AC22" t="s">
        <v>1412</v>
      </c>
    </row>
    <row r="23" spans="1:29" x14ac:dyDescent="0.3">
      <c r="A23" s="116" t="s">
        <v>1437</v>
      </c>
      <c r="B23">
        <v>16</v>
      </c>
      <c r="C23">
        <v>14</v>
      </c>
      <c r="D23">
        <v>30</v>
      </c>
      <c r="F23" s="116" t="s">
        <v>48</v>
      </c>
      <c r="G23">
        <v>14</v>
      </c>
      <c r="H23">
        <v>31</v>
      </c>
      <c r="I23">
        <v>45</v>
      </c>
      <c r="K23" s="116" t="s">
        <v>1415</v>
      </c>
      <c r="L23">
        <v>11</v>
      </c>
      <c r="M23">
        <v>16</v>
      </c>
      <c r="N23">
        <v>27</v>
      </c>
      <c r="P23" s="116" t="s">
        <v>1456</v>
      </c>
      <c r="Q23">
        <v>14</v>
      </c>
      <c r="R23">
        <v>37</v>
      </c>
      <c r="S23">
        <v>51</v>
      </c>
      <c r="U23" s="116" t="s">
        <v>1500</v>
      </c>
      <c r="V23">
        <v>13</v>
      </c>
      <c r="W23">
        <v>17</v>
      </c>
      <c r="X23">
        <v>30</v>
      </c>
      <c r="Z23" s="116" t="s">
        <v>1498</v>
      </c>
      <c r="AA23">
        <v>25</v>
      </c>
      <c r="AB23">
        <v>45</v>
      </c>
      <c r="AC23">
        <v>70</v>
      </c>
    </row>
    <row r="24" spans="1:29" x14ac:dyDescent="0.3">
      <c r="A24" s="116" t="s">
        <v>1438</v>
      </c>
      <c r="B24">
        <v>29</v>
      </c>
      <c r="C24">
        <v>14</v>
      </c>
      <c r="D24">
        <v>43</v>
      </c>
      <c r="F24" s="116" t="s">
        <v>74</v>
      </c>
      <c r="G24">
        <v>13</v>
      </c>
      <c r="H24">
        <v>15</v>
      </c>
      <c r="I24">
        <v>28</v>
      </c>
      <c r="K24" s="116" t="s">
        <v>1416</v>
      </c>
      <c r="L24">
        <v>23</v>
      </c>
      <c r="M24">
        <v>23</v>
      </c>
      <c r="N24">
        <v>46</v>
      </c>
      <c r="P24" s="116" t="s">
        <v>1436</v>
      </c>
      <c r="Q24">
        <v>13</v>
      </c>
      <c r="R24">
        <v>9</v>
      </c>
      <c r="S24">
        <v>22</v>
      </c>
      <c r="U24" s="116" t="s">
        <v>1501</v>
      </c>
      <c r="V24">
        <v>14</v>
      </c>
      <c r="W24">
        <v>29</v>
      </c>
      <c r="X24">
        <v>43</v>
      </c>
      <c r="Z24" s="116" t="s">
        <v>1499</v>
      </c>
      <c r="AA24">
        <v>2</v>
      </c>
      <c r="AB24">
        <v>1</v>
      </c>
      <c r="AC24">
        <v>3</v>
      </c>
    </row>
    <row r="25" spans="1:29" x14ac:dyDescent="0.3">
      <c r="A25" s="116" t="s">
        <v>1412</v>
      </c>
      <c r="B25">
        <v>45</v>
      </c>
      <c r="C25">
        <v>28</v>
      </c>
      <c r="D25">
        <v>73</v>
      </c>
      <c r="F25" s="116" t="s">
        <v>1412</v>
      </c>
      <c r="G25">
        <v>27</v>
      </c>
      <c r="H25">
        <v>46</v>
      </c>
      <c r="I25">
        <v>73</v>
      </c>
      <c r="K25" s="116" t="s">
        <v>1412</v>
      </c>
      <c r="L25">
        <v>34</v>
      </c>
      <c r="M25">
        <v>39</v>
      </c>
      <c r="N25">
        <v>73</v>
      </c>
      <c r="P25" s="116" t="s">
        <v>1412</v>
      </c>
      <c r="Q25">
        <v>27</v>
      </c>
      <c r="R25">
        <v>46</v>
      </c>
      <c r="S25">
        <v>73</v>
      </c>
      <c r="U25" s="116" t="s">
        <v>1412</v>
      </c>
      <c r="V25">
        <v>27</v>
      </c>
      <c r="W25">
        <v>46</v>
      </c>
      <c r="X25">
        <v>73</v>
      </c>
      <c r="Z25" s="116" t="s">
        <v>1412</v>
      </c>
      <c r="AA25">
        <v>27</v>
      </c>
      <c r="AB25">
        <v>46</v>
      </c>
      <c r="AC25">
        <v>73</v>
      </c>
    </row>
  </sheetData>
  <pageMargins left="0.7" right="0.7" top="0.75" bottom="0.75" header="0.3" footer="0.3"/>
  <drawing r:id="rId1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61AEE-DACC-43FE-9467-430D412CA14C}">
  <sheetPr>
    <tabColor rgb="FF7030A0"/>
  </sheetPr>
  <dimension ref="D52:I164"/>
  <sheetViews>
    <sheetView tabSelected="1" zoomScale="83" zoomScaleNormal="83" workbookViewId="0">
      <selection activeCell="D164" sqref="D164"/>
    </sheetView>
  </sheetViews>
  <sheetFormatPr defaultRowHeight="14.4" x14ac:dyDescent="0.3"/>
  <cols>
    <col min="1" max="3" width="8.88671875" style="118"/>
    <col min="4" max="4" width="21" style="118" customWidth="1"/>
    <col min="5" max="5" width="26.44140625" style="118" customWidth="1"/>
    <col min="6" max="6" width="50.33203125" style="118" customWidth="1"/>
    <col min="7" max="7" width="18.44140625" style="118" customWidth="1"/>
    <col min="8" max="8" width="50.88671875" style="118" customWidth="1"/>
    <col min="9" max="9" width="20.33203125" style="118" customWidth="1"/>
    <col min="10" max="16384" width="8.88671875" style="118"/>
  </cols>
  <sheetData>
    <row r="52" spans="4:9" ht="14.4" customHeight="1" x14ac:dyDescent="0.3"/>
    <row r="53" spans="4:9" ht="14.4" customHeight="1" x14ac:dyDescent="0.3"/>
    <row r="54" spans="4:9" ht="14.4" customHeight="1" x14ac:dyDescent="0.3"/>
    <row r="55" spans="4:9" ht="13.8" customHeight="1" x14ac:dyDescent="0.3"/>
    <row r="56" spans="4:9" ht="55.8" customHeight="1" x14ac:dyDescent="0.3">
      <c r="D56" s="119" t="s">
        <v>1494</v>
      </c>
      <c r="E56" s="119" t="s">
        <v>1427</v>
      </c>
      <c r="F56" s="119" t="s">
        <v>1424</v>
      </c>
      <c r="G56" s="119" t="s">
        <v>1433</v>
      </c>
      <c r="H56" s="119" t="s">
        <v>1425</v>
      </c>
      <c r="I56" s="119" t="s">
        <v>1433</v>
      </c>
    </row>
    <row r="57" spans="4:9" ht="31.2" customHeight="1" x14ac:dyDescent="0.3">
      <c r="D57" s="180" t="s">
        <v>39</v>
      </c>
      <c r="E57" s="180" t="s">
        <v>1416</v>
      </c>
      <c r="F57" s="119" t="str" cm="1">
        <f t="array" ref="F57:G67">_xlfn.LET(
  _xlpm.complications, _xlfn._xlws.FILTER(Infant_data[[#Headers],[Diabetes mellitus]:[Twins / Triplets etc]], _xlfn.BYCOL(Infant_data[[Diabetes mellitus]:[Twins / Triplets etc]], _xlfn.LAMBDA(_xlpm.col, COUNTIFS(Infant_data[Gender],$D$57,Infant_data[Death category],$E$57, _xlpm.col, "YES"))) &gt; 0),
  _xlpm.counts, _xlfn._xlws.FILTER(_xlfn.BYCOL(Infant_data[[Diabetes mellitus]:[Twins / Triplets etc]], _xlfn.LAMBDA(_xlpm.col, COUNTIFS(Infant_data[Gender],$D$57,Infant_data[Death category],$E$57, _xlpm.col, "YES"))),
                 _xlfn.BYCOL(Infant_data[[Diabetes mellitus]:[Twins / Triplets etc]], _xlfn.LAMBDA(_xlpm.col, COUNTIFS(Infant_data[Gender],$D$57,Infant_data[Death category],$E$57, _xlpm.col, "YES"))) &gt; 0),
  _xlfn.HSTACK(TRANSPOSE(_xlpm.complications), TRANSPOSE(_xlpm.counts))
)</f>
        <v>Diabetes mellitus</v>
      </c>
      <c r="G57" s="119">
        <v>1</v>
      </c>
      <c r="H57" s="119" t="str" cm="1">
        <f t="array" ref="H57:I68">_xlfn.LET(
  _xlpm.complications, _xlfn._xlws.FILTER(Infant_data[[#Headers],[LBW]:[Twins / Multiple etc]], _xlfn.BYCOL(Infant_data[[LBW]:[Twins / Multiple etc]], _xlfn.LAMBDA(_xlpm.col, COUNTIFS(Infant_data[Gender],$D$57,Infant_data[Death category],$E$57, _xlpm.col, "YES"))) &gt; 0),
  _xlpm.counts, _xlfn._xlws.FILTER(_xlfn.BYCOL(Infant_data[[LBW]:[Twins / Multiple etc]], _xlfn.LAMBDA(_xlpm.col, COUNTIFS(Infant_data[Gender],$D$57,Infant_data[Death category],$E$57, _xlpm.col, "YES"))),
                 _xlfn.BYCOL(Infant_data[[LBW]:[Twins / Multiple etc]], _xlfn.LAMBDA(_xlpm.col, COUNTIFS(Infant_data[Gender],$D$57,Infant_data[Death category],$E$57, _xlpm.col, "YES"))) &gt; 0),
  _xlfn.HSTACK(TRANSPOSE(_xlpm.complications), TRANSPOSE(_xlpm.counts))
)</f>
        <v>LBW</v>
      </c>
      <c r="I57" s="119">
        <v>19</v>
      </c>
    </row>
    <row r="58" spans="4:9" ht="29.4" customHeight="1" x14ac:dyDescent="0.3">
      <c r="D58" s="181"/>
      <c r="E58" s="181"/>
      <c r="F58" s="119" t="str">
        <v>Hypertensive Diorders</v>
      </c>
      <c r="G58" s="119">
        <v>1</v>
      </c>
      <c r="H58" s="119" t="str">
        <v>Extreme preterm 
(&lt;28 weeks)</v>
      </c>
      <c r="I58" s="119">
        <v>9</v>
      </c>
    </row>
    <row r="59" spans="4:9" ht="29.4" customHeight="1" x14ac:dyDescent="0.3">
      <c r="D59" s="181"/>
      <c r="E59" s="181"/>
      <c r="F59" s="119" t="str">
        <v>Mild  Aneamia</v>
      </c>
      <c r="G59" s="119">
        <v>1</v>
      </c>
      <c r="H59" s="119" t="str">
        <v>Early Premature 
(28-31 weeks)</v>
      </c>
      <c r="I59" s="119">
        <v>3</v>
      </c>
    </row>
    <row r="60" spans="4:9" ht="29.4" customHeight="1" x14ac:dyDescent="0.3">
      <c r="D60" s="181"/>
      <c r="E60" s="181"/>
      <c r="F60" s="119" t="str">
        <v>Morderate  Aneamia</v>
      </c>
      <c r="G60" s="119">
        <v>3</v>
      </c>
      <c r="H60" s="119" t="str">
        <v>Morderate Premature 
(&lt;32-33 weeks)</v>
      </c>
      <c r="I60" s="119">
        <v>4</v>
      </c>
    </row>
    <row r="61" spans="4:9" ht="29.4" customHeight="1" x14ac:dyDescent="0.3">
      <c r="D61" s="181"/>
      <c r="E61" s="181"/>
      <c r="F61" s="119" t="str">
        <v>BMI &lt; 18</v>
      </c>
      <c r="G61" s="119">
        <v>1</v>
      </c>
      <c r="H61" s="119" t="str">
        <v>Late Pre-term 
(34-36 weeks)</v>
      </c>
      <c r="I61" s="119">
        <v>1</v>
      </c>
    </row>
    <row r="62" spans="4:9" ht="29.4" customHeight="1" x14ac:dyDescent="0.3">
      <c r="D62" s="181"/>
      <c r="E62" s="181"/>
      <c r="F62" s="119" t="str">
        <v>Previous LSCS</v>
      </c>
      <c r="G62" s="119">
        <v>5</v>
      </c>
      <c r="H62" s="119" t="str">
        <v>CHD</v>
      </c>
      <c r="I62" s="119">
        <v>1</v>
      </c>
    </row>
    <row r="63" spans="4:9" ht="31.2" customHeight="1" x14ac:dyDescent="0.3">
      <c r="D63" s="181"/>
      <c r="E63" s="181"/>
      <c r="F63" s="119" t="str">
        <v>Multi Gravida</v>
      </c>
      <c r="G63" s="119">
        <v>3</v>
      </c>
      <c r="H63" s="119" t="str">
        <v>Sepsis</v>
      </c>
      <c r="I63" s="119">
        <v>2</v>
      </c>
    </row>
    <row r="64" spans="4:9" ht="30" customHeight="1" x14ac:dyDescent="0.3">
      <c r="D64" s="181"/>
      <c r="E64" s="181"/>
      <c r="F64" s="119" t="str">
        <v>Previous Abortion</v>
      </c>
      <c r="G64" s="119">
        <v>2</v>
      </c>
      <c r="H64" s="119" t="str">
        <v>Respiratory Distress</v>
      </c>
      <c r="I64" s="119">
        <v>3</v>
      </c>
    </row>
    <row r="65" spans="4:9" ht="30" customHeight="1" x14ac:dyDescent="0.3">
      <c r="D65" s="181"/>
      <c r="E65" s="181"/>
      <c r="F65" s="119" t="str">
        <v>Tyroid Disease</v>
      </c>
      <c r="G65" s="119">
        <v>1</v>
      </c>
      <c r="H65" s="119" t="str">
        <v>Pulmonary Hypertension</v>
      </c>
      <c r="I65" s="119">
        <v>1</v>
      </c>
    </row>
    <row r="66" spans="4:9" ht="30" customHeight="1" x14ac:dyDescent="0.3">
      <c r="D66" s="181"/>
      <c r="E66" s="181"/>
      <c r="F66" s="119" t="str">
        <v>Psychiatric Illness</v>
      </c>
      <c r="G66" s="119">
        <v>1</v>
      </c>
      <c r="H66" s="119" t="str">
        <v>Neonatal Asphyxia</v>
      </c>
      <c r="I66" s="119">
        <v>1</v>
      </c>
    </row>
    <row r="67" spans="4:9" ht="30" customHeight="1" x14ac:dyDescent="0.3">
      <c r="D67" s="181"/>
      <c r="E67" s="181"/>
      <c r="F67" s="119" t="str">
        <v>Twins / Triplets etc</v>
      </c>
      <c r="G67" s="119">
        <v>4</v>
      </c>
      <c r="H67" s="119" t="str">
        <v>Meconium Aspiration Syndrome</v>
      </c>
      <c r="I67" s="119">
        <v>1</v>
      </c>
    </row>
    <row r="68" spans="4:9" ht="30.6" customHeight="1" x14ac:dyDescent="0.3">
      <c r="D68" s="182"/>
      <c r="E68" s="182"/>
      <c r="F68" s="119"/>
      <c r="G68" s="119"/>
      <c r="H68" s="119" t="str">
        <v>Twins / Multiple etc</v>
      </c>
      <c r="I68" s="119">
        <v>2</v>
      </c>
    </row>
    <row r="145" spans="4:9" ht="50.4" customHeight="1" x14ac:dyDescent="0.3">
      <c r="D145" s="119" t="s">
        <v>1423</v>
      </c>
      <c r="E145" s="119" t="s">
        <v>1427</v>
      </c>
      <c r="F145" s="119" t="s">
        <v>1424</v>
      </c>
      <c r="G145" s="119" t="s">
        <v>1433</v>
      </c>
      <c r="H145" s="119" t="s">
        <v>1425</v>
      </c>
      <c r="I145" s="119" t="s">
        <v>1433</v>
      </c>
    </row>
    <row r="146" spans="4:9" ht="31.2" customHeight="1" x14ac:dyDescent="0.3">
      <c r="D146" s="180" t="s">
        <v>107</v>
      </c>
      <c r="E146" s="180" t="s">
        <v>1415</v>
      </c>
      <c r="F146" s="119" t="str" cm="1">
        <f t="array" ref="F146:G154">_xlfn.LET(
  _xlpm.complications, _xlfn._xlws.FILTER(Infant_data[[#Headers],[Diabetes mellitus]:[Twins / Triplets etc]], _xlfn.BYCOL(Infant_data[[Diabetes mellitus]:[Twins / Triplets etc]], _xlfn.LAMBDA(_xlpm.col, COUNTIFS(Infant_data[Preventable 
(Yes / No)],$D$146,Infant_data[Death category],$E$146, _xlpm.col, "YES"))) &gt; 0),
  _xlpm.counts, _xlfn._xlws.FILTER(_xlfn.BYCOL(Infant_data[[Diabetes mellitus]:[Twins / Triplets etc]], _xlfn.LAMBDA(_xlpm.col, COUNTIFS(Infant_data[Preventable 
(Yes / No)],$D$146,Infant_data[Death category],$E$146, _xlpm.col, "YES"))),
                 _xlfn.BYCOL(Infant_data[[Diabetes mellitus]:[Twins / Triplets etc]], _xlfn.LAMBDA(_xlpm.col, COUNTIFS(Infant_data[Preventable 
(Yes / No)],$D$146,Infant_data[Death category],$E$146, _xlpm.col, "YES"))) &gt; 0),
  _xlfn.HSTACK(TRANSPOSE(_xlpm.complications), TRANSPOSE(_xlpm.counts))
)</f>
        <v>Diabetes mellitus</v>
      </c>
      <c r="G146" s="119">
        <v>1</v>
      </c>
      <c r="H146" s="119" t="str" cm="1">
        <f t="array" ref="H146:I153">_xlfn.LET(
  _xlpm.complications, _xlfn._xlws.FILTER(Infant_data[[#Headers],[LBW]:[Twins / Multiple etc]], _xlfn.BYCOL(Infant_data[[LBW]:[Twins / Multiple etc]], _xlfn.LAMBDA(_xlpm.col, COUNTIFS(Infant_data[Preventable 
(Yes / No)],$D$146,Infant_data[Death category],$E$146, _xlpm.col, "YES"))) &gt; 0),
  _xlpm.counts, _xlfn._xlws.FILTER(_xlfn.BYCOL(Infant_data[[LBW]:[Twins / Multiple etc]], _xlfn.LAMBDA(_xlpm.col, COUNTIFS(Infant_data[Preventable 
(Yes / No)],$D$146,Infant_data[Death category],$E$146, _xlpm.col, "YES"))),
                 _xlfn.BYCOL(Infant_data[[LBW]:[Twins / Multiple etc]], _xlfn.LAMBDA(_xlpm.col, COUNTIFS(Infant_data[Preventable 
(Yes / No)],$D$146,Infant_data[Death category],$E$146, _xlpm.col, "YES"))) &gt; 0),
  _xlfn.HSTACK(TRANSPOSE(_xlpm.complications), TRANSPOSE(_xlpm.counts))
)</f>
        <v>Late Pre-term 
(34-36 weeks)</v>
      </c>
      <c r="I146" s="119">
        <v>1</v>
      </c>
    </row>
    <row r="147" spans="4:9" ht="29.4" customHeight="1" x14ac:dyDescent="0.3">
      <c r="D147" s="181"/>
      <c r="E147" s="181"/>
      <c r="F147" s="119" t="str">
        <v>RH '- ve'</v>
      </c>
      <c r="G147" s="119">
        <v>1</v>
      </c>
      <c r="H147" s="119" t="str">
        <v>Aspitartion Pneumonia</v>
      </c>
      <c r="I147" s="119">
        <v>1</v>
      </c>
    </row>
    <row r="148" spans="4:9" ht="30" customHeight="1" x14ac:dyDescent="0.3">
      <c r="D148" s="181"/>
      <c r="E148" s="181"/>
      <c r="F148" s="119" t="str">
        <v>Elderly Primi</v>
      </c>
      <c r="G148" s="119">
        <v>1</v>
      </c>
      <c r="H148" s="119" t="str">
        <v>Broncho Pneumonia</v>
      </c>
      <c r="I148" s="119">
        <v>3</v>
      </c>
    </row>
    <row r="149" spans="4:9" ht="28.8" customHeight="1" x14ac:dyDescent="0.3">
      <c r="D149" s="181"/>
      <c r="E149" s="181"/>
      <c r="F149" s="119" t="str">
        <v>Hypertensive Diorders</v>
      </c>
      <c r="G149" s="119">
        <v>1</v>
      </c>
      <c r="H149" s="119" t="str">
        <v>Sepsis</v>
      </c>
      <c r="I149" s="119">
        <v>1</v>
      </c>
    </row>
    <row r="150" spans="4:9" ht="29.4" customHeight="1" x14ac:dyDescent="0.3">
      <c r="D150" s="181"/>
      <c r="E150" s="181"/>
      <c r="F150" s="119" t="str">
        <v>Previous LSCS</v>
      </c>
      <c r="G150" s="119">
        <v>2</v>
      </c>
      <c r="H150" s="119" t="str">
        <v>Respiratory Distress</v>
      </c>
      <c r="I150" s="119">
        <v>2</v>
      </c>
    </row>
    <row r="151" spans="4:9" ht="26.4" customHeight="1" x14ac:dyDescent="0.3">
      <c r="D151" s="181"/>
      <c r="E151" s="181"/>
      <c r="F151" s="119" t="str">
        <v>Heigh &lt;145 cms</v>
      </c>
      <c r="G151" s="119">
        <v>1</v>
      </c>
      <c r="H151" s="119" t="str">
        <v>Pulmonary Hypertension</v>
      </c>
      <c r="I151" s="119">
        <v>1</v>
      </c>
    </row>
    <row r="152" spans="4:9" ht="28.8" customHeight="1" x14ac:dyDescent="0.3">
      <c r="D152" s="181"/>
      <c r="E152" s="181"/>
      <c r="F152" s="119" t="str">
        <v>Multi Gravida</v>
      </c>
      <c r="G152" s="119">
        <v>1</v>
      </c>
      <c r="H152" s="119" t="str">
        <v>Milk Aspiration</v>
      </c>
      <c r="I152" s="119">
        <v>6</v>
      </c>
    </row>
    <row r="153" spans="4:9" ht="30.6" customHeight="1" x14ac:dyDescent="0.3">
      <c r="D153" s="181"/>
      <c r="E153" s="181"/>
      <c r="F153" s="119" t="str">
        <v>Tyroid Disease</v>
      </c>
      <c r="G153" s="119">
        <v>1</v>
      </c>
      <c r="H153" s="119" t="str">
        <v>SIDS</v>
      </c>
      <c r="I153" s="119">
        <v>5</v>
      </c>
    </row>
    <row r="154" spans="4:9" ht="30.6" customHeight="1" x14ac:dyDescent="0.3">
      <c r="D154" s="181"/>
      <c r="E154" s="181"/>
      <c r="F154" s="119" t="str">
        <v>Twins / Triplets etc</v>
      </c>
      <c r="G154" s="119">
        <v>1</v>
      </c>
      <c r="H154" s="119"/>
      <c r="I154" s="119"/>
    </row>
    <row r="155" spans="4:9" ht="30.6" customHeight="1" x14ac:dyDescent="0.3">
      <c r="D155" s="181"/>
      <c r="E155" s="181"/>
      <c r="F155" s="119"/>
      <c r="G155" s="119"/>
      <c r="H155" s="119"/>
      <c r="I155" s="119"/>
    </row>
    <row r="156" spans="4:9" ht="31.2" customHeight="1" x14ac:dyDescent="0.3">
      <c r="D156" s="182"/>
      <c r="E156" s="182"/>
      <c r="F156" s="119"/>
      <c r="G156" s="119"/>
      <c r="H156" s="119"/>
      <c r="I156" s="119"/>
    </row>
    <row r="157" spans="4:9" ht="14.4" customHeight="1" x14ac:dyDescent="0.3"/>
    <row r="158" spans="4:9" ht="13.8" customHeight="1" x14ac:dyDescent="0.3"/>
    <row r="159" spans="4:9" ht="14.4" customHeight="1" x14ac:dyDescent="0.3"/>
    <row r="160" spans="4:9" ht="13.8" customHeight="1" x14ac:dyDescent="0.3"/>
    <row r="161" ht="14.4" customHeight="1" x14ac:dyDescent="0.3"/>
    <row r="162" ht="13.8" customHeight="1" x14ac:dyDescent="0.3"/>
    <row r="163" ht="14.4" customHeight="1" x14ac:dyDescent="0.3"/>
    <row r="164" ht="14.4" customHeight="1" x14ac:dyDescent="0.3"/>
  </sheetData>
  <mergeCells count="4">
    <mergeCell ref="D146:D156"/>
    <mergeCell ref="E146:E156"/>
    <mergeCell ref="D57:D68"/>
    <mergeCell ref="E57:E68"/>
  </mergeCells>
  <dataValidations count="3">
    <dataValidation type="list" allowBlank="1" showInputMessage="1" showErrorMessage="1" sqref="E146 E57" xr:uid="{9108EE54-E081-448E-9C92-B012CB7B634D}">
      <formula1>"Neonatal Death, Infant Death"</formula1>
    </dataValidation>
    <dataValidation type="list" allowBlank="1" showInputMessage="1" showErrorMessage="1" sqref="D57:D68" xr:uid="{F33CF150-3E70-4714-B57C-DDC90EEA1C00}">
      <formula1>"Male,Female"</formula1>
    </dataValidation>
    <dataValidation type="list" allowBlank="1" showInputMessage="1" showErrorMessage="1" sqref="D146:D156" xr:uid="{DEEF8251-376A-491C-B2A1-70B6FA41FDA9}">
      <formula1>"Yes,No"</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66EBC-F115-4501-8AA9-25F905E0C86B}">
  <sheetPr>
    <tabColor rgb="FF00B0F0"/>
  </sheetPr>
  <dimension ref="D10:I113"/>
  <sheetViews>
    <sheetView showGridLines="0" zoomScale="79" zoomScaleNormal="80" workbookViewId="0"/>
  </sheetViews>
  <sheetFormatPr defaultRowHeight="14.4" x14ac:dyDescent="0.3"/>
  <cols>
    <col min="1" max="3" width="8.88671875" style="118"/>
    <col min="4" max="4" width="21" style="118" customWidth="1"/>
    <col min="5" max="5" width="26.33203125" style="118" customWidth="1"/>
    <col min="6" max="6" width="50.21875" style="118" customWidth="1"/>
    <col min="7" max="7" width="18.44140625" style="118" customWidth="1"/>
    <col min="8" max="8" width="50.88671875" style="118" customWidth="1"/>
    <col min="9" max="9" width="20.33203125" style="118" customWidth="1"/>
    <col min="10" max="10" width="8.88671875" style="118" customWidth="1"/>
    <col min="11" max="16384" width="8.88671875" style="118"/>
  </cols>
  <sheetData>
    <row r="10" ht="19.8" customHeight="1" x14ac:dyDescent="0.3"/>
    <row r="99" spans="4:9" ht="49.8" customHeight="1" x14ac:dyDescent="0.3">
      <c r="D99" s="119" t="s">
        <v>1423</v>
      </c>
      <c r="E99" s="119" t="s">
        <v>1427</v>
      </c>
      <c r="F99" s="119" t="s">
        <v>1424</v>
      </c>
      <c r="G99" s="119" t="s">
        <v>1433</v>
      </c>
      <c r="H99" s="119" t="s">
        <v>1425</v>
      </c>
      <c r="I99" s="119" t="s">
        <v>1433</v>
      </c>
    </row>
    <row r="100" spans="4:9" ht="30" customHeight="1" x14ac:dyDescent="0.3">
      <c r="D100" s="180" t="s">
        <v>107</v>
      </c>
      <c r="E100" s="180" t="s">
        <v>1415</v>
      </c>
      <c r="F100" s="119" t="str" cm="1">
        <f t="array" ref="F100:G102">_xlfn.LET(
  _xlpm.complications, _xlfn._xlws.FILTER(Karkal[[#Headers],[Diabetes mellitus]:[Twins / Triplets etc]], _xlfn.BYCOL(Karkal[[Diabetes mellitus]:[Twins / Triplets etc]], _xlfn.LAMBDA(_xlpm.col, COUNTIFS(Karkal[Preventable 
(Yes / No)],$D$100,Karkal[Death category],$E$100, _xlpm.col, "YES"))) &gt; 0),
  _xlpm.counts, _xlfn._xlws.FILTER(_xlfn.BYCOL(Karkal[[Diabetes mellitus]:[Twins / Triplets etc]], _xlfn.LAMBDA(_xlpm.col, COUNTIFS(Karkal[Preventable 
(Yes / No)],$D$100,Karkal[Death category],$E$100, _xlpm.col, "YES"))),
                 _xlfn.BYCOL(Karkal[[Diabetes mellitus]:[Twins / Triplets etc]], _xlfn.LAMBDA(_xlpm.col, COUNTIFS(Karkal[Preventable 
(Yes / No)],$D$100,Karkal[Death category],$E$100, _xlpm.col, "YES"))) &gt; 0),
  _xlfn.HSTACK(TRANSPOSE(_xlpm.complications), TRANSPOSE(_xlpm.counts))
)</f>
        <v>Diabetes mellitus</v>
      </c>
      <c r="G100" s="119">
        <v>1</v>
      </c>
      <c r="H100" s="119" t="str" cm="1">
        <f t="array" ref="H100:I101">_xlfn.LET(
  _xlpm.complications, _xlfn._xlws.FILTER(Karkal[[#Headers],[LBW]:[Twins / Multiple etc]], _xlfn.BYCOL(Karkal[[LBW]:[Twins / Multiple etc]], _xlfn.LAMBDA(_xlpm.col, COUNTIFS(Karkal[Preventable 
(Yes / No)],$D$100,Karkal[Death category],$E$100, _xlpm.col, "YES"))) &gt; 0),
  _xlpm.counts, _xlfn._xlws.FILTER(_xlfn.BYCOL(Karkal[[LBW]:[Twins / Multiple etc]], _xlfn.LAMBDA(_xlpm.col, COUNTIFS(Karkal[Preventable 
(Yes / No)],$D$100,Karkal[Death category],$E$100, _xlpm.col, "YES"))),
                 _xlfn.BYCOL(Karkal[[LBW]:[Twins / Multiple etc]], _xlfn.LAMBDA(_xlpm.col, COUNTIFS(Karkal[Preventable 
(Yes / No)],$D$100,Karkal[Death category],$E$100, _xlpm.col, "YES"))) &gt; 0),
  _xlfn.HSTACK(TRANSPOSE(_xlpm.complications), TRANSPOSE(_xlpm.counts))
)</f>
        <v>Broncho Pneumonia</v>
      </c>
      <c r="I100" s="119">
        <v>1</v>
      </c>
    </row>
    <row r="101" spans="4:9" ht="30" customHeight="1" x14ac:dyDescent="0.3">
      <c r="D101" s="181"/>
      <c r="E101" s="181"/>
      <c r="F101" s="119" t="str">
        <v>Hypertensive Diorders</v>
      </c>
      <c r="G101" s="119">
        <v>1</v>
      </c>
      <c r="H101" s="119" t="str">
        <v>Milk Aspiration</v>
      </c>
      <c r="I101" s="119">
        <v>1</v>
      </c>
    </row>
    <row r="102" spans="4:9" ht="30" customHeight="1" x14ac:dyDescent="0.3">
      <c r="D102" s="181"/>
      <c r="E102" s="181"/>
      <c r="F102" s="119" t="str">
        <v>Tyroid Disease</v>
      </c>
      <c r="G102" s="119">
        <v>1</v>
      </c>
      <c r="H102" s="119"/>
      <c r="I102" s="119"/>
    </row>
    <row r="103" spans="4:9" ht="30" customHeight="1" x14ac:dyDescent="0.3">
      <c r="D103" s="181"/>
      <c r="E103" s="181"/>
      <c r="F103" s="119"/>
      <c r="G103" s="119"/>
      <c r="H103" s="119"/>
      <c r="I103" s="119"/>
    </row>
    <row r="104" spans="4:9" ht="30" customHeight="1" x14ac:dyDescent="0.3">
      <c r="D104" s="182"/>
      <c r="E104" s="182"/>
      <c r="F104" s="119"/>
      <c r="G104" s="119"/>
      <c r="H104" s="119"/>
      <c r="I104" s="119"/>
    </row>
    <row r="107" spans="4:9" ht="49.8" customHeight="1" x14ac:dyDescent="0.3">
      <c r="D107" s="119" t="s">
        <v>1423</v>
      </c>
      <c r="E107" s="119" t="s">
        <v>1427</v>
      </c>
      <c r="F107" s="119" t="s">
        <v>1424</v>
      </c>
      <c r="G107" s="119" t="s">
        <v>1433</v>
      </c>
      <c r="H107" s="119" t="s">
        <v>1425</v>
      </c>
      <c r="I107" s="119" t="s">
        <v>1433</v>
      </c>
    </row>
    <row r="108" spans="4:9" ht="30" customHeight="1" x14ac:dyDescent="0.3">
      <c r="D108" s="183" t="s">
        <v>60</v>
      </c>
      <c r="E108" s="183" t="s">
        <v>1415</v>
      </c>
      <c r="F108" s="119" t="str" cm="1">
        <f t="array" ref="F108:G109">_xlfn.LET(
  _xlpm.complications, _xlfn._xlws.FILTER(Karkal[[#Headers],[Diabetes mellitus]:[Twins / Triplets etc]], _xlfn.BYCOL(Karkal[[Diabetes mellitus]:[Twins / Triplets etc]], _xlfn.LAMBDA(_xlpm.col, COUNTIFS(Karkal[Preventable 
(Yes / No)],$D$108,Karkal[Death category],$E$108, _xlpm.col, "YES"))) &gt; 0),
  _xlpm.counts, _xlfn._xlws.FILTER(_xlfn.BYCOL(Karkal[[Diabetes mellitus]:[Twins / Triplets etc]], _xlfn.LAMBDA(_xlpm.col, COUNTIFS(Karkal[Preventable 
(Yes / No)],$D$108,Karkal[Death category],$E$108, _xlpm.col, "YES"))),
                 _xlfn.BYCOL(Karkal[[Diabetes mellitus]:[Twins / Triplets etc]], _xlfn.LAMBDA(_xlpm.col, COUNTIFS(Karkal[Preventable 
(Yes / No)],$D$108,Karkal[Death category],$E$108, _xlpm.col, "YES"))) &gt; 0),
  _xlfn.HSTACK(TRANSPOSE(_xlpm.complications), TRANSPOSE(_xlpm.counts))
)</f>
        <v>BMI &lt; 18</v>
      </c>
      <c r="G108" s="119">
        <v>1</v>
      </c>
      <c r="H108" s="119" t="str" cm="1">
        <f t="array" ref="H108:I111">_xlfn.LET(
  _xlpm.complications, _xlfn._xlws.FILTER(Karkal[[#Headers],[LBW]:[Twins / Multiple etc]], _xlfn.BYCOL(Karkal[[LBW]:[Twins / Multiple etc]], _xlfn.LAMBDA(_xlpm.col, COUNTIFS(Karkal[Preventable 
(Yes / No)],$D$108,Karkal[Death category],$E$108, _xlpm.col, "YES"))) &gt; 0),
  _xlpm.counts, _xlfn._xlws.FILTER(_xlfn.BYCOL(Karkal[[LBW]:[Twins / Multiple etc]], _xlfn.LAMBDA(_xlpm.col, COUNTIFS(Karkal[Preventable 
(Yes / No)],$D$108,Karkal[Death category],$E$108, _xlpm.col, "YES"))),
                 _xlfn.BYCOL(Karkal[[LBW]:[Twins / Multiple etc]], _xlfn.LAMBDA(_xlpm.col, COUNTIFS(Karkal[Preventable 
(Yes / No)],$D$108,Karkal[Death category],$E$108, _xlpm.col, "YES"))) &gt; 0),
  _xlfn.HSTACK(TRANSPOSE(_xlpm.complications), TRANSPOSE(_xlpm.counts))
)</f>
        <v>LBW</v>
      </c>
      <c r="I108" s="119">
        <v>1</v>
      </c>
    </row>
    <row r="109" spans="4:9" ht="30" customHeight="1" x14ac:dyDescent="0.3">
      <c r="D109" s="183"/>
      <c r="E109" s="183"/>
      <c r="F109" s="119" t="str">
        <v>Twins / Triplets etc</v>
      </c>
      <c r="G109" s="119">
        <v>1</v>
      </c>
      <c r="H109" s="119" t="str">
        <v>Extreme preterm 
(&lt;28 weeks)</v>
      </c>
      <c r="I109" s="119">
        <v>1</v>
      </c>
    </row>
    <row r="110" spans="4:9" ht="31.2" customHeight="1" x14ac:dyDescent="0.3">
      <c r="D110" s="183"/>
      <c r="E110" s="183"/>
      <c r="F110" s="119"/>
      <c r="G110" s="119"/>
      <c r="H110" s="119" t="str">
        <v>Sepsis</v>
      </c>
      <c r="I110" s="119">
        <v>1</v>
      </c>
    </row>
    <row r="111" spans="4:9" ht="30" customHeight="1" x14ac:dyDescent="0.3">
      <c r="D111" s="183"/>
      <c r="E111" s="183"/>
      <c r="F111" s="119"/>
      <c r="G111" s="119"/>
      <c r="H111" s="119" t="str">
        <v>Respiratory Distress</v>
      </c>
      <c r="I111" s="119">
        <v>1</v>
      </c>
    </row>
    <row r="112" spans="4:9" ht="29.4" customHeight="1" x14ac:dyDescent="0.3">
      <c r="D112" s="183"/>
      <c r="E112" s="183"/>
      <c r="F112" s="119"/>
      <c r="G112" s="119"/>
      <c r="H112" s="119"/>
      <c r="I112" s="119"/>
    </row>
    <row r="113" spans="4:9" ht="29.4" customHeight="1" x14ac:dyDescent="0.3">
      <c r="D113" s="183"/>
      <c r="E113" s="183"/>
      <c r="F113" s="119"/>
      <c r="G113" s="119"/>
      <c r="H113" s="119"/>
      <c r="I113" s="119"/>
    </row>
  </sheetData>
  <mergeCells count="4">
    <mergeCell ref="D100:D104"/>
    <mergeCell ref="E100:E104"/>
    <mergeCell ref="E108:E113"/>
    <mergeCell ref="D108:D113"/>
  </mergeCells>
  <dataValidations count="1">
    <dataValidation type="list" allowBlank="1" showInputMessage="1" showErrorMessage="1" sqref="E100 E108" xr:uid="{B9A0D3CC-151A-4DC3-A8B8-F295AC6DBEBB}">
      <formula1>"Neonatal Death, Infant Death"</formula1>
    </dataValidation>
  </dataValidation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CA05-D14B-47A4-B1CF-9A7F67D26BA6}">
  <sheetPr>
    <tabColor rgb="FF00B0F0"/>
  </sheetPr>
  <dimension ref="B59:I111"/>
  <sheetViews>
    <sheetView zoomScale="80" zoomScaleNormal="80" workbookViewId="0"/>
  </sheetViews>
  <sheetFormatPr defaultRowHeight="14.4" x14ac:dyDescent="0.3"/>
  <cols>
    <col min="1" max="1" width="8.88671875" style="118"/>
    <col min="2" max="2" width="9.109375" style="118" customWidth="1"/>
    <col min="3" max="3" width="8.88671875" style="118" customWidth="1"/>
    <col min="4" max="4" width="21" style="118" customWidth="1"/>
    <col min="5" max="5" width="26.33203125" style="118" customWidth="1"/>
    <col min="6" max="6" width="50.21875" style="118" customWidth="1"/>
    <col min="7" max="7" width="18.44140625" style="118" customWidth="1"/>
    <col min="8" max="8" width="51" style="118" customWidth="1"/>
    <col min="9" max="9" width="20.44140625" style="118" customWidth="1"/>
    <col min="10" max="16384" width="8.88671875" style="118"/>
  </cols>
  <sheetData>
    <row r="59" spans="2:6" ht="19.2" customHeight="1" x14ac:dyDescent="0.3">
      <c r="B59" s="119" t="s">
        <v>1427</v>
      </c>
      <c r="C59" s="119" t="s">
        <v>1423</v>
      </c>
      <c r="D59" s="119" t="s">
        <v>1424</v>
      </c>
      <c r="E59" s="119" t="s">
        <v>1425</v>
      </c>
      <c r="F59" s="119" t="s">
        <v>1426</v>
      </c>
    </row>
    <row r="60" spans="2:6" ht="21.6" customHeight="1" x14ac:dyDescent="0.3">
      <c r="B60" s="120"/>
      <c r="C60" s="120"/>
      <c r="D60" s="120"/>
      <c r="E60" s="120"/>
      <c r="F60" s="120"/>
    </row>
    <row r="91" spans="4:9" ht="16.2" customHeight="1" x14ac:dyDescent="0.3"/>
    <row r="92" spans="4:9" ht="19.2" customHeight="1" x14ac:dyDescent="0.3"/>
    <row r="93" spans="4:9" ht="16.2" customHeight="1" x14ac:dyDescent="0.3"/>
    <row r="94" spans="4:9" ht="49.2" customHeight="1" x14ac:dyDescent="0.3">
      <c r="D94" s="119" t="s">
        <v>1423</v>
      </c>
      <c r="E94" s="119" t="s">
        <v>1427</v>
      </c>
      <c r="F94" s="119" t="s">
        <v>1424</v>
      </c>
      <c r="G94" s="119" t="s">
        <v>1433</v>
      </c>
      <c r="H94" s="119" t="s">
        <v>1425</v>
      </c>
      <c r="I94" s="119" t="s">
        <v>1433</v>
      </c>
    </row>
    <row r="95" spans="4:9" ht="30.6" customHeight="1" x14ac:dyDescent="0.3">
      <c r="D95" s="180" t="s">
        <v>107</v>
      </c>
      <c r="E95" s="180" t="s">
        <v>1415</v>
      </c>
      <c r="F95" s="119" t="str" cm="1">
        <f t="array" ref="F95:G98">_xlfn.LET(
  _xlpm.complications, _xlfn._xlws.FILTER(Kundapura[[#Headers],[Diabetes mellitus]:[Twins / Triplets etc]], _xlfn.BYCOL(Kundapura[[Diabetes mellitus]:[Twins / Triplets etc]], _xlfn.LAMBDA(_xlpm.col, COUNTIFS(Kundapura[Preventable 
(Yes / No)],$D$95,Kundapura[Death category],$E$95, _xlpm.col, "YES"))) &gt; 0),
  _xlpm.counts, _xlfn._xlws.FILTER(_xlfn.BYCOL(Kundapura[[Diabetes mellitus]:[Twins / Triplets etc]], _xlfn.LAMBDA(_xlpm.col, COUNTIFS(Kundapura[Preventable 
(Yes / No)],$D$95,Kundapura[Death category],$E$95, _xlpm.col, "YES"))),
                 _xlfn.BYCOL(Kundapura[[Diabetes mellitus]:[Twins / Triplets etc]], _xlfn.LAMBDA(_xlpm.col, COUNTIFS(Kundapura[Preventable 
(Yes / No)],$D$95,Kundapura[Death category],$E$95, _xlpm.col, "YES"))) &gt; 0),
  _xlfn.HSTACK(TRANSPOSE(_xlpm.complications), TRANSPOSE(_xlpm.counts))
)</f>
        <v>RH '- ve'</v>
      </c>
      <c r="G95" s="119">
        <v>1</v>
      </c>
      <c r="H95" s="119" t="str" cm="1">
        <f t="array" ref="H95:I99">_xlfn.LET(
  _xlpm.complications, _xlfn._xlws.FILTER(Kundapura[[#Headers],[LBW]:[Twins / Multiple etc]], _xlfn.BYCOL(Kundapura[[LBW]:[Twins / Multiple etc]], _xlfn.LAMBDA(_xlpm.col, COUNTIFS(Kundapura[Preventable 
(Yes / No)],$D$95,Kundapura[Death category],$E$95, _xlpm.col, "YES"))) &gt; 0),
  _xlpm.counts, _xlfn._xlws.FILTER(_xlfn.BYCOL(Kundapura[[LBW]:[Twins / Multiple etc]], _xlfn.LAMBDA(_xlpm.col, COUNTIFS(Kundapura[Preventable 
(Yes / No)],$D$95,Kundapura[Death category],$E$95, _xlpm.col, "YES"))),
                 _xlfn.BYCOL(Kundapura[[LBW]:[Twins / Multiple etc]], _xlfn.LAMBDA(_xlpm.col, COUNTIFS(Kundapura[Preventable 
(Yes / No)],$D$95,Kundapura[Death category],$E$95, _xlpm.col, "YES"))) &gt; 0),
  _xlfn.HSTACK(TRANSPOSE(_xlpm.complications), TRANSPOSE(_xlpm.counts))
)</f>
        <v>Broncho Pneumonia</v>
      </c>
      <c r="I95" s="119">
        <v>1</v>
      </c>
    </row>
    <row r="96" spans="4:9" ht="30" customHeight="1" x14ac:dyDescent="0.3">
      <c r="D96" s="181"/>
      <c r="E96" s="181"/>
      <c r="F96" s="119" t="str">
        <v>Elderly Primi</v>
      </c>
      <c r="G96" s="119">
        <v>1</v>
      </c>
      <c r="H96" s="119" t="str">
        <v>Respiratory Distress</v>
      </c>
      <c r="I96" s="119">
        <v>1</v>
      </c>
    </row>
    <row r="97" spans="4:9" ht="30" customHeight="1" x14ac:dyDescent="0.3">
      <c r="D97" s="181"/>
      <c r="E97" s="181"/>
      <c r="F97" s="119" t="str">
        <v>Previous LSCS</v>
      </c>
      <c r="G97" s="119">
        <v>2</v>
      </c>
      <c r="H97" s="119" t="str">
        <v>Pulmonary Hypertension</v>
      </c>
      <c r="I97" s="119">
        <v>1</v>
      </c>
    </row>
    <row r="98" spans="4:9" ht="30" customHeight="1" x14ac:dyDescent="0.3">
      <c r="D98" s="181"/>
      <c r="E98" s="181"/>
      <c r="F98" s="119" t="str">
        <v>Heigh &lt;145 cms</v>
      </c>
      <c r="G98" s="119">
        <v>1</v>
      </c>
      <c r="H98" s="119" t="str">
        <v>Milk Aspiration</v>
      </c>
      <c r="I98" s="119">
        <v>3</v>
      </c>
    </row>
    <row r="99" spans="4:9" ht="30" customHeight="1" x14ac:dyDescent="0.3">
      <c r="D99" s="182"/>
      <c r="E99" s="182"/>
      <c r="F99" s="119"/>
      <c r="G99" s="119"/>
      <c r="H99" s="119" t="str">
        <v>SIDS</v>
      </c>
      <c r="I99" s="119">
        <v>3</v>
      </c>
    </row>
    <row r="103" spans="4:9" ht="49.8" customHeight="1" x14ac:dyDescent="0.3">
      <c r="D103" s="119" t="s">
        <v>1423</v>
      </c>
      <c r="E103" s="119" t="s">
        <v>1427</v>
      </c>
      <c r="F103" s="119" t="s">
        <v>1424</v>
      </c>
      <c r="G103" s="119" t="s">
        <v>1433</v>
      </c>
      <c r="H103" s="119" t="s">
        <v>1425</v>
      </c>
      <c r="I103" s="119" t="s">
        <v>1433</v>
      </c>
    </row>
    <row r="104" spans="4:9" ht="30" customHeight="1" x14ac:dyDescent="0.3">
      <c r="D104" s="183" t="s">
        <v>60</v>
      </c>
      <c r="E104" s="183" t="s">
        <v>1416</v>
      </c>
      <c r="F104" s="119" t="str" cm="1">
        <f t="array" ref="F104:G111">_xlfn.LET(
  _xlpm.complications, _xlfn._xlws.FILTER(Kundapura[[#Headers],[Diabetes mellitus]:[Twins / Triplets etc]], _xlfn.BYCOL(Kundapura[[Diabetes mellitus]:[Twins / Triplets etc]], _xlfn.LAMBDA(_xlpm.col, COUNTIFS(Kundapura[Preventable 
(Yes / No)],$D$104,Kundapura[Death category],$E$104, _xlpm.col, "YES"))) &gt; 0),
  _xlpm.counts, _xlfn._xlws.FILTER(_xlfn.BYCOL(Kundapura[[Diabetes mellitus]:[Twins / Triplets etc]], _xlfn.LAMBDA(_xlpm.col, COUNTIFS(Kundapura[Preventable 
(Yes / No)],$D$104,Kundapura[Death category],$E$104, _xlpm.col, "YES"))),
                 _xlfn.BYCOL(Kundapura[[Diabetes mellitus]:[Twins / Triplets etc]], _xlfn.LAMBDA(_xlpm.col, COUNTIFS(Kundapura[Preventable 
(Yes / No)],$D$104,Kundapura[Death category],$E$104, _xlpm.col, "YES"))) &gt; 0),
  _xlfn.HSTACK(TRANSPOSE(_xlpm.complications), TRANSPOSE(_xlpm.counts))
)</f>
        <v>Hypertensive Diorders</v>
      </c>
      <c r="G104" s="119">
        <v>1</v>
      </c>
      <c r="H104" s="119" t="str" cm="1">
        <f t="array" ref="H104:I111">_xlfn.LET(
  _xlpm.complications, _xlfn._xlws.FILTER(Kundapura[[#Headers],[LBW]:[Twins / Multiple etc]], _xlfn.BYCOL(Kundapura[[LBW]:[Twins / Multiple etc]], _xlfn.LAMBDA(_xlpm.col, COUNTIFS(Kundapura[Preventable 
(Yes / No)],$D$104,Kundapura[Death category],$E$104, _xlpm.col, "YES"))) &gt; 0),
  _xlpm.counts, _xlfn._xlws.FILTER(_xlfn.BYCOL(Kundapura[[LBW]:[Twins / Multiple etc]], _xlfn.LAMBDA(_xlpm.col, COUNTIFS(Kundapura[Preventable 
(Yes / No)],$D$104,Kundapura[Death category],$E$104, _xlpm.col, "YES"))),
                 _xlfn.BYCOL(Kundapura[[LBW]:[Twins / Multiple etc]], _xlfn.LAMBDA(_xlpm.col, COUNTIFS(Kundapura[Preventable 
(Yes / No)],$D$104,Kundapura[Death category],$E$104, _xlpm.col, "YES"))) &gt; 0),
  _xlfn.HSTACK(TRANSPOSE(_xlpm.complications), TRANSPOSE(_xlpm.counts))
)</f>
        <v>LBW</v>
      </c>
      <c r="I104" s="119">
        <v>14</v>
      </c>
    </row>
    <row r="105" spans="4:9" ht="31.2" customHeight="1" x14ac:dyDescent="0.3">
      <c r="D105" s="183"/>
      <c r="E105" s="183"/>
      <c r="F105" s="119" t="str">
        <v>Mild</v>
      </c>
      <c r="G105" s="119">
        <v>1</v>
      </c>
      <c r="H105" s="119" t="str">
        <v>Extreme preterm 
(&lt;28 weeks)</v>
      </c>
      <c r="I105" s="119">
        <v>7</v>
      </c>
    </row>
    <row r="106" spans="4:9" ht="30" customHeight="1" x14ac:dyDescent="0.3">
      <c r="D106" s="183"/>
      <c r="E106" s="183"/>
      <c r="F106" s="119" t="str">
        <v>Morderate</v>
      </c>
      <c r="G106" s="119">
        <v>3</v>
      </c>
      <c r="H106" s="119" t="str">
        <v>Early Premature 
(28-31 weeks)</v>
      </c>
      <c r="I106" s="119">
        <v>4</v>
      </c>
    </row>
    <row r="107" spans="4:9" ht="31.2" customHeight="1" x14ac:dyDescent="0.3">
      <c r="D107" s="183"/>
      <c r="E107" s="183"/>
      <c r="F107" s="119" t="str">
        <v>BMI &lt; 18</v>
      </c>
      <c r="G107" s="119">
        <v>2</v>
      </c>
      <c r="H107" s="119" t="str">
        <v>Morderate Premature 
(&lt;32-33 weeks)</v>
      </c>
      <c r="I107" s="119">
        <v>3</v>
      </c>
    </row>
    <row r="108" spans="4:9" ht="30" customHeight="1" x14ac:dyDescent="0.3">
      <c r="D108" s="183"/>
      <c r="E108" s="183"/>
      <c r="F108" s="119" t="str">
        <v>Previous LSCS</v>
      </c>
      <c r="G108" s="119">
        <v>6</v>
      </c>
      <c r="H108" s="119" t="str">
        <v>Late Pre-term 
(34-36 weeks)</v>
      </c>
      <c r="I108" s="119">
        <v>1</v>
      </c>
    </row>
    <row r="109" spans="4:9" ht="30" customHeight="1" x14ac:dyDescent="0.3">
      <c r="D109" s="183"/>
      <c r="E109" s="183"/>
      <c r="F109" s="119" t="str">
        <v>Multi Gravida</v>
      </c>
      <c r="G109" s="119">
        <v>1</v>
      </c>
      <c r="H109" s="119" t="str">
        <v>CHD</v>
      </c>
      <c r="I109" s="119">
        <v>1</v>
      </c>
    </row>
    <row r="110" spans="4:9" ht="30" customHeight="1" x14ac:dyDescent="0.3">
      <c r="D110" s="183"/>
      <c r="E110" s="183"/>
      <c r="F110" s="119" t="str">
        <v>Tyroid Disease</v>
      </c>
      <c r="G110" s="119">
        <v>2</v>
      </c>
      <c r="H110" s="119" t="str">
        <v>Sepsis</v>
      </c>
      <c r="I110" s="119">
        <v>4</v>
      </c>
    </row>
    <row r="111" spans="4:9" ht="31.2" customHeight="1" x14ac:dyDescent="0.3">
      <c r="D111" s="183"/>
      <c r="E111" s="183"/>
      <c r="F111" s="119" t="str">
        <v>Twins / Triplets etc</v>
      </c>
      <c r="G111" s="119">
        <v>2</v>
      </c>
      <c r="H111" s="119" t="str">
        <v>Respiratory Distress</v>
      </c>
      <c r="I111" s="119">
        <v>2</v>
      </c>
    </row>
  </sheetData>
  <mergeCells count="4">
    <mergeCell ref="D95:D99"/>
    <mergeCell ref="E95:E99"/>
    <mergeCell ref="D104:D111"/>
    <mergeCell ref="E104:E111"/>
  </mergeCells>
  <dataValidations count="1">
    <dataValidation type="list" allowBlank="1" showInputMessage="1" showErrorMessage="1" sqref="E95 E104" xr:uid="{0C72331B-E1A3-4197-887C-D19F8D7F2D6D}">
      <formula1>"Neonatal Death, Infant Death"</formula1>
    </dataValidation>
  </dataValidation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D9DCF-3D34-4F23-85D5-F9240D6331C3}">
  <sheetPr>
    <tabColor rgb="FF00B0F0"/>
  </sheetPr>
  <dimension ref="D91:I113"/>
  <sheetViews>
    <sheetView topLeftCell="A77" zoomScale="80" zoomScaleNormal="80" workbookViewId="0">
      <selection activeCell="E96" sqref="E96:E104"/>
    </sheetView>
  </sheetViews>
  <sheetFormatPr defaultRowHeight="14.4" x14ac:dyDescent="0.3"/>
  <cols>
    <col min="1" max="1" width="8.88671875" style="118"/>
    <col min="2" max="3" width="8.88671875" style="118" customWidth="1"/>
    <col min="4" max="4" width="21.109375" style="118" customWidth="1"/>
    <col min="5" max="5" width="26.44140625" style="118" customWidth="1"/>
    <col min="6" max="6" width="50.33203125" style="118" customWidth="1"/>
    <col min="7" max="7" width="18.44140625" style="118" customWidth="1"/>
    <col min="8" max="8" width="50.88671875" style="118" customWidth="1"/>
    <col min="9" max="9" width="20.33203125" style="118" customWidth="1"/>
    <col min="10" max="16384" width="8.88671875" style="118"/>
  </cols>
  <sheetData>
    <row r="91" spans="4:9" ht="15.6" customHeight="1" x14ac:dyDescent="0.3"/>
    <row r="92" spans="4:9" ht="13.2" customHeight="1" x14ac:dyDescent="0.3"/>
    <row r="93" spans="4:9" ht="14.4" customHeight="1" x14ac:dyDescent="0.3"/>
    <row r="94" spans="4:9" ht="14.4" customHeight="1" x14ac:dyDescent="0.3"/>
    <row r="95" spans="4:9" ht="49.8" customHeight="1" x14ac:dyDescent="0.3">
      <c r="D95" s="119" t="s">
        <v>1423</v>
      </c>
      <c r="E95" s="119" t="s">
        <v>1427</v>
      </c>
      <c r="F95" s="119" t="s">
        <v>1424</v>
      </c>
      <c r="G95" s="119" t="s">
        <v>1433</v>
      </c>
      <c r="H95" s="119" t="s">
        <v>1425</v>
      </c>
      <c r="I95" s="119" t="s">
        <v>1433</v>
      </c>
    </row>
    <row r="96" spans="4:9" ht="30" customHeight="1" x14ac:dyDescent="0.3">
      <c r="D96" s="180" t="s">
        <v>107</v>
      </c>
      <c r="E96" s="180" t="s">
        <v>1415</v>
      </c>
      <c r="F96" s="119" t="str" cm="1">
        <f t="array" ref="F96:G97">_xlfn.LET(
  _xlpm.complications, _xlfn._xlws.FILTER(Udupi[[#Headers],[Diabetes mellitus]:[Twins / Triplets etc]], _xlfn.BYCOL(Udupi[[Diabetes mellitus]:[Twins / Triplets etc]], _xlfn.LAMBDA(_xlpm.col, COUNTIFS(Udupi[Preventable 
(Yes / No)],$D$96,Udupi[Death category],$E$96, _xlpm.col, "YES"))) &gt; 0),
  _xlpm.counts, _xlfn._xlws.FILTER(_xlfn.BYCOL(Udupi[[Diabetes mellitus]:[Twins / Triplets etc]], _xlfn.LAMBDA(_xlpm.col, COUNTIFS(Udupi[Preventable 
(Yes / No)],$D$96,Udupi[Death category],$E$96, _xlpm.col, "YES"))),
                 _xlfn.BYCOL(Udupi[[Diabetes mellitus]:[Twins / Triplets etc]], _xlfn.LAMBDA(_xlpm.col, COUNTIFS(Udupi[Preventable 
(Yes / No)],$D$96,Udupi[Death category],$E$96, _xlpm.col, "YES"))) &gt; 0),
  _xlfn.HSTACK(TRANSPOSE(_xlpm.complications), TRANSPOSE(_xlpm.counts))
)</f>
        <v>Multi Gravida</v>
      </c>
      <c r="G96" s="119">
        <v>1</v>
      </c>
      <c r="H96" s="119" t="str" cm="1">
        <f t="array" ref="H96:I102">_xlfn.LET(
  _xlpm.complications, _xlfn._xlws.FILTER(Udupi[[#Headers],[LBW]:[Twins / Multiple etc]], _xlfn.BYCOL(Udupi[[LBW]:[Twins / Multiple etc]], _xlfn.LAMBDA(_xlpm.col, COUNTIFS(Udupi[Preventable 
(Yes / No)],$D$96,Udupi[Death category],$E$96, _xlpm.col, "YES"))) &gt; 0),
  _xlpm.counts, _xlfn._xlws.FILTER(_xlfn.BYCOL(Udupi[[LBW]:[Twins / Multiple etc]], _xlfn.LAMBDA(_xlpm.col, COUNTIFS(Udupi[Preventable 
(Yes / No)],$D$96,Udupi[Death category],$E$96, _xlpm.col, "YES"))),
                 _xlfn.BYCOL(Udupi[[LBW]:[Twins / Multiple etc]], _xlfn.LAMBDA(_xlpm.col, COUNTIFS(Udupi[Preventable 
(Yes / No)],$D$96,Udupi[Death category],$E$96, _xlpm.col, "YES"))) &gt; 0),
  _xlfn.HSTACK(TRANSPOSE(_xlpm.complications), TRANSPOSE(_xlpm.counts))
)</f>
        <v>Late Pre-term 
(34-36 weeks)</v>
      </c>
      <c r="I96" s="119">
        <v>1</v>
      </c>
    </row>
    <row r="97" spans="4:9" ht="31.2" customHeight="1" x14ac:dyDescent="0.3">
      <c r="D97" s="181"/>
      <c r="E97" s="181"/>
      <c r="F97" s="119" t="str">
        <v>Twins / Triplets etc</v>
      </c>
      <c r="G97" s="119">
        <v>1</v>
      </c>
      <c r="H97" s="119" t="str">
        <v>Aspitartion Pneumonia</v>
      </c>
      <c r="I97" s="119">
        <v>1</v>
      </c>
    </row>
    <row r="98" spans="4:9" ht="30" customHeight="1" x14ac:dyDescent="0.3">
      <c r="D98" s="181"/>
      <c r="E98" s="181"/>
      <c r="F98" s="119"/>
      <c r="G98" s="119"/>
      <c r="H98" s="119" t="str">
        <v>Broncho Pneumonia</v>
      </c>
      <c r="I98" s="119">
        <v>1</v>
      </c>
    </row>
    <row r="99" spans="4:9" ht="31.2" customHeight="1" x14ac:dyDescent="0.3">
      <c r="D99" s="181"/>
      <c r="E99" s="181"/>
      <c r="F99" s="119"/>
      <c r="G99" s="119"/>
      <c r="H99" s="119" t="str">
        <v>Sepsis</v>
      </c>
      <c r="I99" s="119">
        <v>1</v>
      </c>
    </row>
    <row r="100" spans="4:9" ht="31.2" customHeight="1" x14ac:dyDescent="0.3">
      <c r="D100" s="181"/>
      <c r="E100" s="181"/>
      <c r="F100" s="119"/>
      <c r="G100" s="119"/>
      <c r="H100" s="119" t="str">
        <v>Respiratory Distress</v>
      </c>
      <c r="I100" s="119">
        <v>1</v>
      </c>
    </row>
    <row r="101" spans="4:9" ht="31.2" customHeight="1" x14ac:dyDescent="0.3">
      <c r="D101" s="181"/>
      <c r="E101" s="181"/>
      <c r="F101" s="119"/>
      <c r="G101" s="119"/>
      <c r="H101" s="119" t="str">
        <v>Milk Aspiration</v>
      </c>
      <c r="I101" s="119">
        <v>2</v>
      </c>
    </row>
    <row r="102" spans="4:9" ht="31.2" customHeight="1" x14ac:dyDescent="0.3">
      <c r="D102" s="181"/>
      <c r="E102" s="181"/>
      <c r="F102" s="119"/>
      <c r="G102" s="119"/>
      <c r="H102" s="119" t="str">
        <v>SIDS</v>
      </c>
      <c r="I102" s="119">
        <v>2</v>
      </c>
    </row>
    <row r="103" spans="4:9" ht="31.2" customHeight="1" x14ac:dyDescent="0.3">
      <c r="D103" s="181"/>
      <c r="E103" s="181"/>
      <c r="F103" s="119"/>
      <c r="G103" s="119"/>
      <c r="H103" s="119"/>
      <c r="I103" s="119"/>
    </row>
    <row r="104" spans="4:9" ht="30" customHeight="1" x14ac:dyDescent="0.3">
      <c r="D104" s="182"/>
      <c r="E104" s="182"/>
      <c r="F104" s="119"/>
      <c r="G104" s="119"/>
      <c r="H104" s="119"/>
      <c r="I104" s="119"/>
    </row>
    <row r="105" spans="4:9" ht="14.4" customHeight="1" x14ac:dyDescent="0.3">
      <c r="D105" s="124"/>
      <c r="E105" s="124"/>
      <c r="F105" s="124"/>
      <c r="G105" s="124"/>
      <c r="H105" s="124"/>
      <c r="I105" s="124"/>
    </row>
    <row r="107" spans="4:9" ht="49.8" customHeight="1" x14ac:dyDescent="0.3">
      <c r="D107" s="119" t="s">
        <v>1423</v>
      </c>
      <c r="E107" s="119" t="s">
        <v>1427</v>
      </c>
      <c r="F107" s="119" t="s">
        <v>1424</v>
      </c>
      <c r="G107" s="119" t="s">
        <v>1433</v>
      </c>
      <c r="H107" s="119" t="s">
        <v>1425</v>
      </c>
      <c r="I107" s="119" t="s">
        <v>1433</v>
      </c>
    </row>
    <row r="108" spans="4:9" ht="31.2" customHeight="1" x14ac:dyDescent="0.3">
      <c r="D108" s="183" t="s">
        <v>60</v>
      </c>
      <c r="E108" s="183" t="s">
        <v>1415</v>
      </c>
      <c r="F108" s="119" t="str" cm="1">
        <f t="array" ref="F108:G111">_xlfn.LET(
  _xlpm.complications, _xlfn._xlws.FILTER(Udupi[[#Headers],[Diabetes mellitus]:[Twins / Triplets etc]], _xlfn.BYCOL(Udupi[[Diabetes mellitus]:[Twins / Triplets etc]], _xlfn.LAMBDA(_xlpm.col, COUNTIFS(Udupi[Preventable 
(Yes / No)],$D$108,Udupi[Death category],$E$108, _xlpm.col, "YES"))) &gt; 0),
  _xlpm.counts, _xlfn._xlws.FILTER(_xlfn.BYCOL(Udupi[[Diabetes mellitus]:[Twins / Triplets etc]], _xlfn.LAMBDA(_xlpm.col, COUNTIFS(Udupi[Preventable 
(Yes / No)],$D$108,Udupi[Death category],$E$108, _xlpm.col, "YES"))),
                 _xlfn.BYCOL(Udupi[[Diabetes mellitus]:[Twins / Triplets etc]], _xlfn.LAMBDA(_xlpm.col, COUNTIFS(Udupi[Preventable 
(Yes / No)],$D$108,Udupi[Death category],$E$108, _xlpm.col, "YES"))) &gt; 0),
  _xlfn.HSTACK(TRANSPOSE(_xlpm.complications), TRANSPOSE(_xlpm.counts))
)</f>
        <v>Hypertensive Diorders</v>
      </c>
      <c r="G108" s="119">
        <v>1</v>
      </c>
      <c r="H108" s="119" t="str" cm="1">
        <f t="array" ref="H108:I111">_xlfn.LET(
  _xlpm.complications, _xlfn._xlws.FILTER(Udupi[[#Headers],[LBW]:[Twins / Multiple etc]], _xlfn.BYCOL(Udupi[[LBW]:[Twins / Multiple etc]], _xlfn.LAMBDA(_xlpm.col, COUNTIFS(Udupi[Preventable 
(Yes / No)],$D$108,Udupi[Death category],$E$108, _xlpm.col, "YES"))) &gt; 0),
  _xlpm.counts, _xlfn._xlws.FILTER(_xlfn.BYCOL(Udupi[[LBW]:[Twins / Multiple etc]], _xlfn.LAMBDA(_xlpm.col, COUNTIFS(Udupi[Preventable 
(Yes / No)],$D$108,Udupi[Death category],$E$108, _xlpm.col, "YES"))),
                 _xlfn.BYCOL(Udupi[[LBW]:[Twins / Multiple etc]], _xlfn.LAMBDA(_xlpm.col, COUNTIFS(Udupi[Preventable 
(Yes / No)],$D$108,Udupi[Death category],$E$108, _xlpm.col, "YES"))) &gt; 0),
  _xlfn.HSTACK(TRANSPOSE(_xlpm.complications), TRANSPOSE(_xlpm.counts))
)</f>
        <v>Broncho Pneumonia</v>
      </c>
      <c r="I108" s="119">
        <v>1</v>
      </c>
    </row>
    <row r="109" spans="4:9" ht="30" customHeight="1" x14ac:dyDescent="0.3">
      <c r="D109" s="183"/>
      <c r="E109" s="183"/>
      <c r="F109" s="119" t="str">
        <v>Previous LSCS</v>
      </c>
      <c r="G109" s="119">
        <v>1</v>
      </c>
      <c r="H109" s="119" t="str">
        <v>CHD</v>
      </c>
      <c r="I109" s="119">
        <v>2</v>
      </c>
    </row>
    <row r="110" spans="4:9" ht="30" customHeight="1" x14ac:dyDescent="0.3">
      <c r="D110" s="183"/>
      <c r="E110" s="183"/>
      <c r="F110" s="119" t="str">
        <v>Previous Abortion</v>
      </c>
      <c r="G110" s="119">
        <v>1</v>
      </c>
      <c r="H110" s="119" t="str">
        <v>Sepsis</v>
      </c>
      <c r="I110" s="119">
        <v>1</v>
      </c>
    </row>
    <row r="111" spans="4:9" ht="31.2" customHeight="1" x14ac:dyDescent="0.3">
      <c r="D111" s="183"/>
      <c r="E111" s="183"/>
      <c r="F111" s="119" t="str">
        <v>Twins / Triplets etc</v>
      </c>
      <c r="G111" s="119">
        <v>1</v>
      </c>
      <c r="H111" s="119" t="str">
        <v>Respiratory Distress</v>
      </c>
      <c r="I111" s="119">
        <v>1</v>
      </c>
    </row>
    <row r="112" spans="4:9" ht="31.2" customHeight="1" x14ac:dyDescent="0.3">
      <c r="D112" s="183"/>
      <c r="E112" s="183"/>
      <c r="F112" s="119"/>
      <c r="G112" s="119"/>
      <c r="H112" s="119"/>
      <c r="I112" s="119"/>
    </row>
    <row r="113" spans="4:9" ht="31.2" customHeight="1" x14ac:dyDescent="0.3">
      <c r="D113" s="183"/>
      <c r="E113" s="183"/>
      <c r="F113" s="119"/>
      <c r="G113" s="119"/>
      <c r="H113" s="119"/>
      <c r="I113" s="119"/>
    </row>
  </sheetData>
  <mergeCells count="4">
    <mergeCell ref="D96:D104"/>
    <mergeCell ref="E96:E104"/>
    <mergeCell ref="D108:D113"/>
    <mergeCell ref="E108:E113"/>
  </mergeCells>
  <dataValidations count="1">
    <dataValidation type="list" allowBlank="1" showInputMessage="1" showErrorMessage="1" sqref="E96 E108" xr:uid="{934475D1-72DB-4013-83BE-4832D208EF39}">
      <formula1>"Neonatal Death, Infant Death"</formula1>
    </dataValidation>
  </dataValidation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662B6-088D-4559-9943-EA94C9295512}">
  <dimension ref="F1:H15"/>
  <sheetViews>
    <sheetView workbookViewId="0">
      <selection activeCell="I19" sqref="I19"/>
    </sheetView>
  </sheetViews>
  <sheetFormatPr defaultRowHeight="14.4" x14ac:dyDescent="0.3"/>
  <cols>
    <col min="1" max="1" width="28.109375" bestFit="1" customWidth="1"/>
    <col min="2" max="2" width="20.44140625" bestFit="1" customWidth="1"/>
    <col min="3" max="3" width="23.33203125" bestFit="1" customWidth="1"/>
    <col min="4" max="4" width="14.77734375" customWidth="1"/>
    <col min="5" max="5" width="20.6640625" customWidth="1"/>
    <col min="6" max="6" width="20.44140625" bestFit="1" customWidth="1"/>
    <col min="8" max="8" width="12.33203125" customWidth="1"/>
  </cols>
  <sheetData>
    <row r="1" spans="6:8" x14ac:dyDescent="0.3">
      <c r="F1" s="137" t="s">
        <v>1507</v>
      </c>
      <c r="G1" s="138" t="s">
        <v>1505</v>
      </c>
      <c r="H1" s="139" t="s">
        <v>1506</v>
      </c>
    </row>
    <row r="2" spans="6:8" x14ac:dyDescent="0.3">
      <c r="F2" s="130" t="s">
        <v>1503</v>
      </c>
      <c r="G2" s="131">
        <v>2</v>
      </c>
      <c r="H2" s="132">
        <f t="shared" ref="H2:H13" si="0">(G2/14)</f>
        <v>0.14285714285714285</v>
      </c>
    </row>
    <row r="3" spans="6:8" x14ac:dyDescent="0.3">
      <c r="F3" s="133" t="s">
        <v>1504</v>
      </c>
      <c r="G3" s="134">
        <v>2</v>
      </c>
      <c r="H3" s="135">
        <f t="shared" si="0"/>
        <v>0.14285714285714285</v>
      </c>
    </row>
    <row r="4" spans="6:8" x14ac:dyDescent="0.3">
      <c r="F4" s="130" t="s">
        <v>415</v>
      </c>
      <c r="G4" s="131">
        <v>3</v>
      </c>
      <c r="H4" s="132">
        <f t="shared" si="0"/>
        <v>0.21428571428571427</v>
      </c>
    </row>
    <row r="5" spans="6:8" x14ac:dyDescent="0.3">
      <c r="F5" s="133" t="s">
        <v>1269</v>
      </c>
      <c r="G5" s="134">
        <v>3</v>
      </c>
      <c r="H5" s="135">
        <f t="shared" si="0"/>
        <v>0.21428571428571427</v>
      </c>
    </row>
    <row r="6" spans="6:8" x14ac:dyDescent="0.3">
      <c r="F6" s="130" t="s">
        <v>1486</v>
      </c>
      <c r="G6" s="131">
        <v>1</v>
      </c>
      <c r="H6" s="132">
        <f t="shared" si="0"/>
        <v>7.1428571428571425E-2</v>
      </c>
    </row>
    <row r="7" spans="6:8" x14ac:dyDescent="0.3">
      <c r="F7" s="133" t="s">
        <v>1487</v>
      </c>
      <c r="G7" s="134">
        <v>7</v>
      </c>
      <c r="H7" s="135">
        <f t="shared" si="0"/>
        <v>0.5</v>
      </c>
    </row>
    <row r="8" spans="6:8" x14ac:dyDescent="0.3">
      <c r="F8" s="130" t="s">
        <v>1175</v>
      </c>
      <c r="G8" s="131">
        <v>1</v>
      </c>
      <c r="H8" s="132">
        <f t="shared" si="0"/>
        <v>7.1428571428571425E-2</v>
      </c>
    </row>
    <row r="9" spans="6:8" x14ac:dyDescent="0.3">
      <c r="F9" s="133" t="s">
        <v>1342</v>
      </c>
      <c r="G9" s="134">
        <v>5</v>
      </c>
      <c r="H9" s="135">
        <f t="shared" si="0"/>
        <v>0.35714285714285715</v>
      </c>
    </row>
    <row r="10" spans="6:8" x14ac:dyDescent="0.3">
      <c r="F10" s="130" t="s">
        <v>370</v>
      </c>
      <c r="G10" s="131">
        <v>12</v>
      </c>
      <c r="H10" s="132">
        <f t="shared" si="0"/>
        <v>0.8571428571428571</v>
      </c>
    </row>
    <row r="11" spans="6:8" x14ac:dyDescent="0.3">
      <c r="F11" s="133" t="s">
        <v>1336</v>
      </c>
      <c r="G11" s="134">
        <v>6</v>
      </c>
      <c r="H11" s="135">
        <f t="shared" si="0"/>
        <v>0.42857142857142855</v>
      </c>
    </row>
    <row r="12" spans="6:8" x14ac:dyDescent="0.3">
      <c r="F12" s="130" t="s">
        <v>1337</v>
      </c>
      <c r="G12" s="131">
        <v>3</v>
      </c>
      <c r="H12" s="132">
        <f t="shared" si="0"/>
        <v>0.21428571428571427</v>
      </c>
    </row>
    <row r="13" spans="6:8" x14ac:dyDescent="0.3">
      <c r="F13" s="127" t="s">
        <v>1181</v>
      </c>
      <c r="G13" s="128">
        <v>3</v>
      </c>
      <c r="H13" s="136">
        <f t="shared" si="0"/>
        <v>0.21428571428571427</v>
      </c>
    </row>
    <row r="14" spans="6:8" x14ac:dyDescent="0.3">
      <c r="F14" t="s">
        <v>1340</v>
      </c>
      <c r="G14">
        <v>1</v>
      </c>
      <c r="H14" s="129">
        <f t="shared" ref="H14:H15" si="1">G14/14</f>
        <v>7.1428571428571425E-2</v>
      </c>
    </row>
    <row r="15" spans="6:8" x14ac:dyDescent="0.3">
      <c r="F15" t="s">
        <v>1177</v>
      </c>
      <c r="G15">
        <v>10</v>
      </c>
      <c r="H15" s="129">
        <f t="shared" si="1"/>
        <v>0.7142857142857143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D5530-98E2-498F-8DD0-CEAA7F4EAC38}">
  <sheetPr codeName="Sheet6"/>
  <dimension ref="A1:BR76"/>
  <sheetViews>
    <sheetView workbookViewId="0">
      <selection activeCell="Q14" sqref="Q14"/>
    </sheetView>
  </sheetViews>
  <sheetFormatPr defaultRowHeight="14.4" x14ac:dyDescent="0.3"/>
  <cols>
    <col min="1" max="1" width="16.21875" customWidth="1"/>
    <col min="2" max="2" width="19.21875" customWidth="1"/>
    <col min="3" max="3" width="20.21875" customWidth="1"/>
    <col min="4" max="8" width="19.21875" customWidth="1"/>
    <col min="9" max="9" width="19.6640625" customWidth="1"/>
    <col min="10" max="10" width="15" customWidth="1"/>
    <col min="11" max="11" width="16.21875" customWidth="1"/>
    <col min="12" max="12" width="23.109375" customWidth="1"/>
    <col min="13" max="13" width="12.6640625" customWidth="1"/>
    <col min="14" max="14" width="14.6640625" customWidth="1"/>
    <col min="15" max="15" width="15.44140625" customWidth="1"/>
    <col min="16" max="16" width="12.5546875" customWidth="1"/>
    <col min="17" max="17" width="17.5546875" customWidth="1"/>
    <col min="18" max="18" width="17.33203125" hidden="1" customWidth="1"/>
    <col min="19" max="19" width="28.77734375" hidden="1" customWidth="1"/>
    <col min="20" max="20" width="36.33203125" hidden="1" customWidth="1"/>
    <col min="21" max="21" width="23.109375" hidden="1" customWidth="1"/>
    <col min="22" max="22" width="15.77734375" customWidth="1"/>
    <col min="23" max="23" width="18.77734375" customWidth="1"/>
    <col min="24" max="24" width="23.44140625" hidden="1" customWidth="1"/>
    <col min="25" max="25" width="16.6640625" customWidth="1"/>
    <col min="26" max="26" width="18.77734375" customWidth="1"/>
    <col min="27" max="27" width="0" hidden="1" customWidth="1"/>
    <col min="28" max="28" width="19" bestFit="1" customWidth="1"/>
    <col min="29" max="29" width="32.77734375" hidden="1" customWidth="1"/>
    <col min="30" max="30" width="37.77734375" hidden="1" customWidth="1"/>
    <col min="31" max="31" width="10.33203125" hidden="1" customWidth="1"/>
    <col min="32" max="32" width="9.77734375" hidden="1" customWidth="1"/>
    <col min="33" max="33" width="16.44140625" hidden="1" customWidth="1"/>
    <col min="34" max="34" width="7.21875" hidden="1" customWidth="1"/>
    <col min="35" max="35" width="8.109375" hidden="1" customWidth="1"/>
    <col min="36" max="36" width="11.77734375" hidden="1" customWidth="1"/>
    <col min="37" max="37" width="17.109375" hidden="1" customWidth="1"/>
    <col min="38" max="38" width="22" hidden="1" customWidth="1"/>
    <col min="39" max="39" width="18.5546875" hidden="1" customWidth="1"/>
    <col min="40" max="41" width="18.5546875" customWidth="1"/>
    <col min="42" max="42" width="12.109375" customWidth="1"/>
    <col min="43" max="43" width="28.88671875" customWidth="1"/>
    <col min="44" max="44" width="30.33203125" customWidth="1"/>
    <col min="45" max="45" width="36" customWidth="1"/>
    <col min="46" max="46" width="29.44140625" customWidth="1"/>
    <col min="47" max="47" width="14.6640625" customWidth="1"/>
    <col min="48" max="48" width="12.88671875" customWidth="1"/>
    <col min="49" max="49" width="23" bestFit="1" customWidth="1"/>
    <col min="50" max="50" width="13.109375" hidden="1" customWidth="1"/>
    <col min="51" max="51" width="21.33203125" hidden="1" customWidth="1"/>
    <col min="54" max="54" width="22.6640625" customWidth="1"/>
    <col min="55" max="55" width="26" customWidth="1"/>
    <col min="56" max="56" width="23.109375" customWidth="1"/>
    <col min="57" max="57" width="32.77734375" customWidth="1"/>
    <col min="58" max="58" width="24.88671875" hidden="1" customWidth="1"/>
    <col min="59" max="59" width="15" hidden="1" customWidth="1"/>
    <col min="60" max="60" width="15.88671875" hidden="1" customWidth="1"/>
    <col min="61" max="61" width="20.5546875" customWidth="1"/>
    <col min="62" max="62" width="7" bestFit="1" customWidth="1"/>
    <col min="63" max="63" width="8.44140625" hidden="1" customWidth="1"/>
    <col min="64" max="64" width="19.44140625" customWidth="1"/>
    <col min="65" max="65" width="17.5546875" hidden="1" customWidth="1"/>
    <col min="66" max="66" width="17" hidden="1" customWidth="1"/>
    <col min="67" max="67" width="19.88671875" hidden="1" customWidth="1"/>
    <col min="68" max="68" width="13.5546875" hidden="1" customWidth="1"/>
    <col min="69" max="69" width="41.77734375" hidden="1" customWidth="1"/>
    <col min="70" max="70" width="26.5546875" customWidth="1"/>
  </cols>
  <sheetData>
    <row r="1" spans="1:70" ht="16.2" customHeight="1" x14ac:dyDescent="0.3">
      <c r="I1" s="184" t="s">
        <v>1396</v>
      </c>
      <c r="J1" s="185"/>
      <c r="K1" s="185"/>
      <c r="L1" s="185"/>
      <c r="M1" s="185"/>
      <c r="N1" s="185"/>
      <c r="O1" s="185"/>
      <c r="P1" s="185"/>
      <c r="Q1" s="185"/>
      <c r="R1" s="185"/>
      <c r="S1" s="185"/>
      <c r="T1" s="185"/>
      <c r="U1" s="185"/>
      <c r="V1" s="185"/>
      <c r="W1" s="185"/>
      <c r="X1" s="185"/>
      <c r="Y1" s="185"/>
      <c r="Z1" s="185"/>
      <c r="AA1" s="185"/>
      <c r="AB1" s="185"/>
      <c r="AC1" s="186"/>
      <c r="AP1" s="187" t="s">
        <v>1397</v>
      </c>
      <c r="AQ1" s="188"/>
      <c r="AR1" s="188"/>
      <c r="AS1" s="188"/>
      <c r="AT1" s="188"/>
      <c r="AU1" s="188"/>
      <c r="AV1" s="188"/>
      <c r="AW1" s="188"/>
      <c r="AX1" s="188"/>
      <c r="AY1" s="188"/>
      <c r="AZ1" s="188"/>
      <c r="BA1" s="188"/>
      <c r="BB1" s="188"/>
      <c r="BC1" s="188"/>
      <c r="BD1" s="188"/>
      <c r="BE1" s="188"/>
      <c r="BF1" s="188"/>
      <c r="BG1" s="188"/>
      <c r="BH1" s="188"/>
      <c r="BI1" s="188"/>
      <c r="BJ1" s="188"/>
      <c r="BK1" s="188"/>
      <c r="BL1" s="188"/>
      <c r="BM1" s="188"/>
      <c r="BN1" s="188"/>
      <c r="BO1" s="188"/>
      <c r="BP1" s="189"/>
    </row>
    <row r="2" spans="1:70" ht="15" customHeight="1" x14ac:dyDescent="0.3">
      <c r="M2" s="190" t="s">
        <v>1254</v>
      </c>
      <c r="N2" s="191"/>
      <c r="O2" s="192"/>
      <c r="AF2" s="193" t="s">
        <v>1191</v>
      </c>
      <c r="AG2" s="194"/>
      <c r="AH2" s="194"/>
      <c r="AI2" s="195"/>
      <c r="AJ2" s="102"/>
      <c r="AK2" s="102"/>
      <c r="AQ2" s="126"/>
      <c r="AR2" s="126"/>
      <c r="AS2" s="126"/>
      <c r="AT2" s="126"/>
      <c r="AU2" s="190" t="s">
        <v>1196</v>
      </c>
      <c r="AV2" s="191"/>
      <c r="AW2" s="192"/>
      <c r="AX2" s="196" t="s">
        <v>1205</v>
      </c>
      <c r="AY2" s="197"/>
      <c r="AZ2" s="197"/>
    </row>
    <row r="3" spans="1:70" x14ac:dyDescent="0.3">
      <c r="A3" t="s">
        <v>1171</v>
      </c>
      <c r="B3" t="s">
        <v>1172</v>
      </c>
      <c r="C3" t="s">
        <v>8</v>
      </c>
      <c r="D3" t="s">
        <v>7</v>
      </c>
      <c r="E3" t="s">
        <v>1167</v>
      </c>
      <c r="F3" t="s">
        <v>1408</v>
      </c>
      <c r="G3" t="s">
        <v>1170</v>
      </c>
      <c r="H3" t="s">
        <v>1407</v>
      </c>
      <c r="I3" t="s">
        <v>1248</v>
      </c>
      <c r="J3" t="s">
        <v>1249</v>
      </c>
      <c r="K3" t="s">
        <v>415</v>
      </c>
      <c r="L3" t="s">
        <v>1269</v>
      </c>
      <c r="M3" t="s">
        <v>1486</v>
      </c>
      <c r="N3" t="s">
        <v>1487</v>
      </c>
      <c r="O3" t="s">
        <v>1175</v>
      </c>
      <c r="P3" t="s">
        <v>1342</v>
      </c>
      <c r="Q3" t="s">
        <v>370</v>
      </c>
      <c r="R3" t="s">
        <v>1176</v>
      </c>
      <c r="S3" t="s">
        <v>1184</v>
      </c>
      <c r="T3" t="s">
        <v>1183</v>
      </c>
      <c r="U3" t="s">
        <v>1182</v>
      </c>
      <c r="V3" t="s">
        <v>1336</v>
      </c>
      <c r="W3" t="s">
        <v>1337</v>
      </c>
      <c r="X3" t="s">
        <v>1179</v>
      </c>
      <c r="Y3" t="s">
        <v>1181</v>
      </c>
      <c r="Z3" t="s">
        <v>1340</v>
      </c>
      <c r="AA3" t="s">
        <v>1178</v>
      </c>
      <c r="AB3" t="s">
        <v>1177</v>
      </c>
      <c r="AC3" t="s">
        <v>1180</v>
      </c>
      <c r="AD3" t="s">
        <v>1488</v>
      </c>
      <c r="AE3" t="s">
        <v>1489</v>
      </c>
      <c r="AF3" t="s">
        <v>1185</v>
      </c>
      <c r="AG3" t="s">
        <v>1405</v>
      </c>
      <c r="AH3" t="s">
        <v>1186</v>
      </c>
      <c r="AI3" t="s">
        <v>1187</v>
      </c>
      <c r="AJ3" t="s">
        <v>1406</v>
      </c>
      <c r="AK3" t="s">
        <v>1490</v>
      </c>
      <c r="AL3" t="s">
        <v>10</v>
      </c>
      <c r="AM3" t="s">
        <v>1173</v>
      </c>
      <c r="AN3" t="s">
        <v>1502</v>
      </c>
      <c r="AO3" t="s">
        <v>1508</v>
      </c>
      <c r="AP3" t="s">
        <v>1195</v>
      </c>
      <c r="AQ3" t="s">
        <v>1359</v>
      </c>
      <c r="AR3" t="s">
        <v>1360</v>
      </c>
      <c r="AS3" t="s">
        <v>1361</v>
      </c>
      <c r="AT3" t="s">
        <v>1362</v>
      </c>
      <c r="AU3" t="s">
        <v>1491</v>
      </c>
      <c r="AV3" t="s">
        <v>1492</v>
      </c>
      <c r="AW3" t="s">
        <v>1493</v>
      </c>
      <c r="AX3" t="s">
        <v>1208</v>
      </c>
      <c r="AY3" t="s">
        <v>1217</v>
      </c>
      <c r="AZ3" t="s">
        <v>1216</v>
      </c>
      <c r="BA3" t="s">
        <v>1197</v>
      </c>
      <c r="BB3" t="s">
        <v>1210</v>
      </c>
      <c r="BC3" t="s">
        <v>1334</v>
      </c>
      <c r="BD3" t="s">
        <v>1202</v>
      </c>
      <c r="BE3" t="s">
        <v>1212</v>
      </c>
      <c r="BF3" t="s">
        <v>1213</v>
      </c>
      <c r="BG3" t="s">
        <v>1218</v>
      </c>
      <c r="BH3" t="s">
        <v>1214</v>
      </c>
      <c r="BI3" t="s">
        <v>343</v>
      </c>
      <c r="BJ3" t="s">
        <v>1215</v>
      </c>
      <c r="BK3" t="s">
        <v>1371</v>
      </c>
      <c r="BL3" t="s">
        <v>1250</v>
      </c>
      <c r="BM3" t="s">
        <v>1225</v>
      </c>
      <c r="BN3" t="s">
        <v>1372</v>
      </c>
      <c r="BO3" t="s">
        <v>1232</v>
      </c>
      <c r="BP3" t="s">
        <v>1206</v>
      </c>
      <c r="BQ3" t="s">
        <v>1328</v>
      </c>
      <c r="BR3" t="s">
        <v>1245</v>
      </c>
    </row>
    <row r="4" spans="1:70" x14ac:dyDescent="0.3">
      <c r="A4" t="s">
        <v>1188</v>
      </c>
      <c r="B4" t="s">
        <v>142</v>
      </c>
      <c r="C4" t="s">
        <v>66</v>
      </c>
      <c r="D4" t="s">
        <v>1082</v>
      </c>
      <c r="E4" t="s">
        <v>1398</v>
      </c>
      <c r="F4" t="s">
        <v>48</v>
      </c>
      <c r="G4" t="s">
        <v>39</v>
      </c>
      <c r="H4" t="str">
        <f>IF('Infant dataset'!$AJ4&lt;=28,"Neonatal Death","Infant Death")</f>
        <v>Neonatal Death</v>
      </c>
      <c r="I4" t="s">
        <v>61</v>
      </c>
      <c r="J4" t="s">
        <v>61</v>
      </c>
      <c r="K4" t="s">
        <v>61</v>
      </c>
      <c r="L4" t="s">
        <v>61</v>
      </c>
      <c r="M4" t="s">
        <v>61</v>
      </c>
      <c r="N4" t="s">
        <v>61</v>
      </c>
      <c r="O4" t="s">
        <v>61</v>
      </c>
      <c r="P4" t="s">
        <v>61</v>
      </c>
      <c r="Q4" t="s">
        <v>1398</v>
      </c>
      <c r="R4" t="s">
        <v>61</v>
      </c>
      <c r="S4" t="s">
        <v>61</v>
      </c>
      <c r="T4" t="s">
        <v>61</v>
      </c>
      <c r="U4" t="s">
        <v>61</v>
      </c>
      <c r="V4" t="s">
        <v>61</v>
      </c>
      <c r="W4" t="s">
        <v>61</v>
      </c>
      <c r="X4" t="s">
        <v>61</v>
      </c>
      <c r="Y4" t="s">
        <v>61</v>
      </c>
      <c r="Z4" t="s">
        <v>61</v>
      </c>
      <c r="AA4" t="s">
        <v>61</v>
      </c>
      <c r="AB4" t="s">
        <v>61</v>
      </c>
      <c r="AC4" t="s">
        <v>61</v>
      </c>
      <c r="AD4" t="s">
        <v>48</v>
      </c>
      <c r="AE4" t="s">
        <v>39</v>
      </c>
      <c r="AF4">
        <v>0</v>
      </c>
      <c r="AG4">
        <f>('Infant dataset'!$AF4 * 30)</f>
        <v>0</v>
      </c>
      <c r="AH4">
        <v>13</v>
      </c>
      <c r="AI4" t="s">
        <v>61</v>
      </c>
      <c r="AJ4">
        <f>'Infant dataset'!$AG4+'Infant dataset'!$AH4</f>
        <v>13</v>
      </c>
      <c r="AK4" t="str">
        <f>IF('Infant dataset'!$AJ4&lt;=28,"Neonatal Death","Infant Death")</f>
        <v>Neonatal Death</v>
      </c>
      <c r="AL4" t="s">
        <v>1203</v>
      </c>
      <c r="AM4" t="s">
        <v>1203</v>
      </c>
      <c r="AN4" s="140">
        <v>925</v>
      </c>
      <c r="AO4" s="140"/>
      <c r="AP4" t="s">
        <v>1398</v>
      </c>
      <c r="AQ4" t="s">
        <v>61</v>
      </c>
      <c r="AR4" t="s">
        <v>61</v>
      </c>
      <c r="AS4" t="s">
        <v>1398</v>
      </c>
      <c r="AT4" t="s">
        <v>61</v>
      </c>
      <c r="AU4" t="s">
        <v>61</v>
      </c>
      <c r="AV4" t="s">
        <v>61</v>
      </c>
      <c r="AW4" t="s">
        <v>61</v>
      </c>
      <c r="AX4" t="s">
        <v>61</v>
      </c>
      <c r="AY4" t="s">
        <v>61</v>
      </c>
      <c r="AZ4" t="s">
        <v>61</v>
      </c>
      <c r="BA4" t="s">
        <v>61</v>
      </c>
      <c r="BB4" t="s">
        <v>61</v>
      </c>
      <c r="BC4" t="s">
        <v>61</v>
      </c>
      <c r="BD4" t="s">
        <v>61</v>
      </c>
      <c r="BE4" t="s">
        <v>61</v>
      </c>
      <c r="BF4" t="s">
        <v>61</v>
      </c>
      <c r="BG4" t="s">
        <v>61</v>
      </c>
      <c r="BH4" t="s">
        <v>61</v>
      </c>
      <c r="BI4" t="s">
        <v>61</v>
      </c>
      <c r="BJ4" t="s">
        <v>61</v>
      </c>
      <c r="BK4" t="s">
        <v>61</v>
      </c>
      <c r="BL4" t="s">
        <v>61</v>
      </c>
      <c r="BM4" t="s">
        <v>61</v>
      </c>
      <c r="BN4" t="s">
        <v>61</v>
      </c>
      <c r="BO4" t="s">
        <v>61</v>
      </c>
      <c r="BP4" t="s">
        <v>61</v>
      </c>
      <c r="BQ4" t="s">
        <v>61</v>
      </c>
      <c r="BR4" t="s">
        <v>61</v>
      </c>
    </row>
    <row r="5" spans="1:70" x14ac:dyDescent="0.3">
      <c r="A5" t="s">
        <v>1189</v>
      </c>
      <c r="B5" t="s">
        <v>174</v>
      </c>
      <c r="C5" t="s">
        <v>40</v>
      </c>
      <c r="D5" t="s">
        <v>40</v>
      </c>
      <c r="E5" t="s">
        <v>1398</v>
      </c>
      <c r="F5" t="s">
        <v>48</v>
      </c>
      <c r="G5" t="s">
        <v>89</v>
      </c>
      <c r="H5" t="str">
        <f>IF('Infant dataset'!$AJ5&lt;=28,"Neonatal Death","Infant Death")</f>
        <v>Infant Death</v>
      </c>
      <c r="I5" t="s">
        <v>61</v>
      </c>
      <c r="J5" t="s">
        <v>61</v>
      </c>
      <c r="K5" t="s">
        <v>61</v>
      </c>
      <c r="L5" t="s">
        <v>1398</v>
      </c>
      <c r="M5" t="s">
        <v>61</v>
      </c>
      <c r="N5" t="s">
        <v>61</v>
      </c>
      <c r="O5" t="s">
        <v>61</v>
      </c>
      <c r="P5" t="s">
        <v>61</v>
      </c>
      <c r="Q5" t="s">
        <v>1398</v>
      </c>
      <c r="R5" t="s">
        <v>61</v>
      </c>
      <c r="S5" t="s">
        <v>61</v>
      </c>
      <c r="T5" t="s">
        <v>61</v>
      </c>
      <c r="U5" t="s">
        <v>61</v>
      </c>
      <c r="V5" t="s">
        <v>61</v>
      </c>
      <c r="W5" t="s">
        <v>61</v>
      </c>
      <c r="X5" t="s">
        <v>61</v>
      </c>
      <c r="Y5" t="s">
        <v>61</v>
      </c>
      <c r="Z5" t="s">
        <v>61</v>
      </c>
      <c r="AA5" t="s">
        <v>61</v>
      </c>
      <c r="AB5" t="s">
        <v>61</v>
      </c>
      <c r="AC5" t="s">
        <v>61</v>
      </c>
      <c r="AD5" t="s">
        <v>48</v>
      </c>
      <c r="AE5" t="s">
        <v>89</v>
      </c>
      <c r="AF5">
        <v>2</v>
      </c>
      <c r="AG5">
        <f>('Infant dataset'!$AF5 * 30)</f>
        <v>60</v>
      </c>
      <c r="AH5">
        <v>3</v>
      </c>
      <c r="AI5" t="s">
        <v>61</v>
      </c>
      <c r="AJ5">
        <f>'Infant dataset'!$AG5+'Infant dataset'!$AH5</f>
        <v>63</v>
      </c>
      <c r="AK5" t="str">
        <f>IF('Infant dataset'!$AJ5&lt;=28,"Neonatal Death","Infant Death")</f>
        <v>Infant Death</v>
      </c>
      <c r="AL5" t="s">
        <v>1203</v>
      </c>
      <c r="AM5" t="s">
        <v>1203</v>
      </c>
      <c r="AN5" s="140">
        <v>2075</v>
      </c>
      <c r="AO5" s="140"/>
      <c r="AP5" t="s">
        <v>61</v>
      </c>
      <c r="AQ5" t="s">
        <v>61</v>
      </c>
      <c r="AR5" t="s">
        <v>61</v>
      </c>
      <c r="AS5" t="s">
        <v>61</v>
      </c>
      <c r="AT5" t="s">
        <v>61</v>
      </c>
      <c r="AU5" t="s">
        <v>61</v>
      </c>
      <c r="AV5" t="s">
        <v>61</v>
      </c>
      <c r="AW5" t="s">
        <v>61</v>
      </c>
      <c r="AX5" t="s">
        <v>61</v>
      </c>
      <c r="AY5" t="s">
        <v>61</v>
      </c>
      <c r="AZ5" t="s">
        <v>61</v>
      </c>
      <c r="BA5" t="s">
        <v>61</v>
      </c>
      <c r="BB5" t="s">
        <v>61</v>
      </c>
      <c r="BC5" t="s">
        <v>61</v>
      </c>
      <c r="BD5" t="s">
        <v>61</v>
      </c>
      <c r="BE5" t="s">
        <v>61</v>
      </c>
      <c r="BF5" t="s">
        <v>61</v>
      </c>
      <c r="BG5" t="s">
        <v>61</v>
      </c>
      <c r="BH5" t="s">
        <v>61</v>
      </c>
      <c r="BI5" t="s">
        <v>61</v>
      </c>
      <c r="BJ5" t="s">
        <v>61</v>
      </c>
      <c r="BK5" t="s">
        <v>61</v>
      </c>
      <c r="BL5" t="s">
        <v>61</v>
      </c>
      <c r="BM5" t="s">
        <v>61</v>
      </c>
      <c r="BN5" t="s">
        <v>61</v>
      </c>
      <c r="BO5" t="s">
        <v>61</v>
      </c>
      <c r="BP5" t="s">
        <v>1398</v>
      </c>
      <c r="BQ5" t="s">
        <v>1399</v>
      </c>
      <c r="BR5" t="s">
        <v>61</v>
      </c>
    </row>
    <row r="6" spans="1:70" x14ac:dyDescent="0.3">
      <c r="A6" t="s">
        <v>1190</v>
      </c>
      <c r="B6" t="s">
        <v>920</v>
      </c>
      <c r="C6" t="s">
        <v>1093</v>
      </c>
      <c r="D6" t="s">
        <v>1093</v>
      </c>
      <c r="E6" t="s">
        <v>1398</v>
      </c>
      <c r="F6" t="s">
        <v>48</v>
      </c>
      <c r="G6" t="s">
        <v>89</v>
      </c>
      <c r="H6" t="str">
        <f>IF('Infant dataset'!$AJ6&lt;=28,"Neonatal Death","Infant Death")</f>
        <v>Neonatal Death</v>
      </c>
      <c r="I6" t="s">
        <v>61</v>
      </c>
      <c r="J6" t="s">
        <v>61</v>
      </c>
      <c r="K6" t="s">
        <v>61</v>
      </c>
      <c r="L6" t="s">
        <v>61</v>
      </c>
      <c r="M6" t="s">
        <v>61</v>
      </c>
      <c r="N6" t="s">
        <v>61</v>
      </c>
      <c r="O6" t="s">
        <v>61</v>
      </c>
      <c r="P6" t="s">
        <v>61</v>
      </c>
      <c r="Q6" t="s">
        <v>1398</v>
      </c>
      <c r="R6" t="s">
        <v>61</v>
      </c>
      <c r="S6" t="s">
        <v>61</v>
      </c>
      <c r="T6" t="s">
        <v>61</v>
      </c>
      <c r="U6" t="s">
        <v>61</v>
      </c>
      <c r="V6" t="s">
        <v>61</v>
      </c>
      <c r="W6" t="s">
        <v>61</v>
      </c>
      <c r="X6" t="s">
        <v>61</v>
      </c>
      <c r="Y6" t="s">
        <v>61</v>
      </c>
      <c r="Z6" t="s">
        <v>61</v>
      </c>
      <c r="AA6" t="s">
        <v>61</v>
      </c>
      <c r="AB6" t="s">
        <v>61</v>
      </c>
      <c r="AC6" t="s">
        <v>61</v>
      </c>
      <c r="AD6" t="s">
        <v>48</v>
      </c>
      <c r="AE6" t="s">
        <v>89</v>
      </c>
      <c r="AF6">
        <v>0</v>
      </c>
      <c r="AG6">
        <f>('Infant dataset'!$AF6 * 30)</f>
        <v>0</v>
      </c>
      <c r="AH6">
        <v>3</v>
      </c>
      <c r="AI6" t="s">
        <v>61</v>
      </c>
      <c r="AJ6">
        <f>'Infant dataset'!$AG6+'Infant dataset'!$AH6</f>
        <v>3</v>
      </c>
      <c r="AK6" t="str">
        <f>IF('Infant dataset'!$AJ6&lt;=28,"Neonatal Death","Infant Death")</f>
        <v>Neonatal Death</v>
      </c>
      <c r="AL6" t="s">
        <v>1193</v>
      </c>
      <c r="AM6" t="s">
        <v>1193</v>
      </c>
      <c r="AN6" s="140">
        <v>2950</v>
      </c>
      <c r="AO6" s="140"/>
      <c r="AP6" t="s">
        <v>61</v>
      </c>
      <c r="AQ6" t="s">
        <v>61</v>
      </c>
      <c r="AR6" t="s">
        <v>61</v>
      </c>
      <c r="AS6" t="s">
        <v>61</v>
      </c>
      <c r="AT6" t="s">
        <v>61</v>
      </c>
      <c r="AU6" t="s">
        <v>61</v>
      </c>
      <c r="AV6" t="s">
        <v>61</v>
      </c>
      <c r="AW6" t="s">
        <v>61</v>
      </c>
      <c r="AX6" t="s">
        <v>61</v>
      </c>
      <c r="AY6" t="s">
        <v>61</v>
      </c>
      <c r="AZ6" t="s">
        <v>61</v>
      </c>
      <c r="BA6" t="s">
        <v>61</v>
      </c>
      <c r="BB6" t="s">
        <v>61</v>
      </c>
      <c r="BC6" t="s">
        <v>61</v>
      </c>
      <c r="BD6" t="s">
        <v>61</v>
      </c>
      <c r="BE6" t="s">
        <v>61</v>
      </c>
      <c r="BF6" t="s">
        <v>61</v>
      </c>
      <c r="BG6" t="s">
        <v>61</v>
      </c>
      <c r="BH6" t="s">
        <v>61</v>
      </c>
      <c r="BI6" t="s">
        <v>61</v>
      </c>
      <c r="BJ6" t="s">
        <v>61</v>
      </c>
      <c r="BK6" t="s">
        <v>61</v>
      </c>
      <c r="BL6" t="s">
        <v>61</v>
      </c>
      <c r="BM6" t="s">
        <v>61</v>
      </c>
      <c r="BN6" t="s">
        <v>61</v>
      </c>
      <c r="BO6" t="s">
        <v>61</v>
      </c>
      <c r="BP6" t="s">
        <v>1398</v>
      </c>
      <c r="BQ6" t="s">
        <v>1401</v>
      </c>
      <c r="BR6" t="s">
        <v>61</v>
      </c>
    </row>
    <row r="7" spans="1:70" x14ac:dyDescent="0.3">
      <c r="A7" t="s">
        <v>1188</v>
      </c>
      <c r="B7" t="s">
        <v>1102</v>
      </c>
      <c r="C7" t="s">
        <v>66</v>
      </c>
      <c r="D7" t="s">
        <v>1009</v>
      </c>
      <c r="E7" t="s">
        <v>1398</v>
      </c>
      <c r="F7" t="s">
        <v>74</v>
      </c>
      <c r="G7" t="s">
        <v>39</v>
      </c>
      <c r="H7" t="str">
        <f>IF('Infant dataset'!$AJ7&lt;=28,"Neonatal Death","Infant Death")</f>
        <v>Infant Death</v>
      </c>
      <c r="I7" t="s">
        <v>61</v>
      </c>
      <c r="J7" t="s">
        <v>1398</v>
      </c>
      <c r="K7" t="s">
        <v>61</v>
      </c>
      <c r="L7" t="s">
        <v>61</v>
      </c>
      <c r="M7" t="s">
        <v>61</v>
      </c>
      <c r="N7" t="s">
        <v>61</v>
      </c>
      <c r="O7" t="s">
        <v>61</v>
      </c>
      <c r="P7" t="s">
        <v>61</v>
      </c>
      <c r="Q7" t="s">
        <v>61</v>
      </c>
      <c r="R7" t="s">
        <v>61</v>
      </c>
      <c r="S7" t="s">
        <v>61</v>
      </c>
      <c r="T7" t="s">
        <v>61</v>
      </c>
      <c r="U7" t="s">
        <v>61</v>
      </c>
      <c r="V7" t="s">
        <v>61</v>
      </c>
      <c r="W7" t="s">
        <v>61</v>
      </c>
      <c r="X7" t="s">
        <v>61</v>
      </c>
      <c r="Y7" t="s">
        <v>61</v>
      </c>
      <c r="Z7" t="s">
        <v>61</v>
      </c>
      <c r="AA7" t="s">
        <v>61</v>
      </c>
      <c r="AB7" t="s">
        <v>61</v>
      </c>
      <c r="AC7" t="s">
        <v>61</v>
      </c>
      <c r="AD7" t="s">
        <v>74</v>
      </c>
      <c r="AE7" t="s">
        <v>39</v>
      </c>
      <c r="AF7">
        <v>2</v>
      </c>
      <c r="AG7">
        <f>('Infant dataset'!$AF7 * 30)</f>
        <v>60</v>
      </c>
      <c r="AH7">
        <v>8</v>
      </c>
      <c r="AI7" t="s">
        <v>61</v>
      </c>
      <c r="AJ7">
        <f>'Infant dataset'!$AG7+'Infant dataset'!$AH7</f>
        <v>68</v>
      </c>
      <c r="AK7" t="str">
        <f>IF('Infant dataset'!$AJ7&lt;=28,"Neonatal Death","Infant Death")</f>
        <v>Infant Death</v>
      </c>
      <c r="AL7" t="s">
        <v>1193</v>
      </c>
      <c r="AM7" t="s">
        <v>162</v>
      </c>
      <c r="AN7" s="140">
        <v>2006</v>
      </c>
      <c r="AO7" s="140"/>
      <c r="AP7" t="s">
        <v>61</v>
      </c>
      <c r="AQ7" t="s">
        <v>61</v>
      </c>
      <c r="AR7" t="s">
        <v>61</v>
      </c>
      <c r="AS7" t="s">
        <v>61</v>
      </c>
      <c r="AT7" t="s">
        <v>61</v>
      </c>
      <c r="AU7" t="s">
        <v>61</v>
      </c>
      <c r="AV7" t="s">
        <v>61</v>
      </c>
      <c r="AW7" t="s">
        <v>61</v>
      </c>
      <c r="AX7" t="s">
        <v>61</v>
      </c>
      <c r="AY7" t="s">
        <v>61</v>
      </c>
      <c r="AZ7" t="s">
        <v>61</v>
      </c>
      <c r="BA7" t="s">
        <v>61</v>
      </c>
      <c r="BB7" t="s">
        <v>61</v>
      </c>
      <c r="BC7" t="s">
        <v>61</v>
      </c>
      <c r="BD7" t="s">
        <v>61</v>
      </c>
      <c r="BE7" t="s">
        <v>61</v>
      </c>
      <c r="BF7" t="s">
        <v>61</v>
      </c>
      <c r="BG7" t="s">
        <v>61</v>
      </c>
      <c r="BH7" t="s">
        <v>61</v>
      </c>
      <c r="BI7" t="s">
        <v>61</v>
      </c>
      <c r="BJ7" t="s">
        <v>1398</v>
      </c>
      <c r="BK7" t="s">
        <v>61</v>
      </c>
      <c r="BL7" t="s">
        <v>61</v>
      </c>
      <c r="BM7" t="s">
        <v>61</v>
      </c>
      <c r="BN7" t="s">
        <v>61</v>
      </c>
      <c r="BO7" t="s">
        <v>61</v>
      </c>
      <c r="BP7" t="s">
        <v>61</v>
      </c>
      <c r="BQ7" t="s">
        <v>61</v>
      </c>
      <c r="BR7" t="s">
        <v>1398</v>
      </c>
    </row>
    <row r="8" spans="1:70" x14ac:dyDescent="0.3">
      <c r="A8" t="s">
        <v>1188</v>
      </c>
      <c r="B8" t="s">
        <v>142</v>
      </c>
      <c r="C8" t="s">
        <v>66</v>
      </c>
      <c r="D8" t="s">
        <v>1082</v>
      </c>
      <c r="E8" t="s">
        <v>1398</v>
      </c>
      <c r="F8" t="s">
        <v>48</v>
      </c>
      <c r="G8" t="s">
        <v>89</v>
      </c>
      <c r="H8" t="str">
        <f>IF('Infant dataset'!$AJ8&lt;=28,"Neonatal Death","Infant Death")</f>
        <v>Neonatal Death</v>
      </c>
      <c r="I8" t="s">
        <v>61</v>
      </c>
      <c r="J8" t="s">
        <v>61</v>
      </c>
      <c r="K8" t="s">
        <v>61</v>
      </c>
      <c r="L8" t="s">
        <v>61</v>
      </c>
      <c r="M8" t="s">
        <v>61</v>
      </c>
      <c r="N8" t="s">
        <v>61</v>
      </c>
      <c r="O8" t="s">
        <v>61</v>
      </c>
      <c r="P8" t="s">
        <v>61</v>
      </c>
      <c r="Q8" t="s">
        <v>61</v>
      </c>
      <c r="R8" t="s">
        <v>61</v>
      </c>
      <c r="S8" t="s">
        <v>61</v>
      </c>
      <c r="T8" t="s">
        <v>61</v>
      </c>
      <c r="U8" t="s">
        <v>61</v>
      </c>
      <c r="V8" t="s">
        <v>61</v>
      </c>
      <c r="W8" t="s">
        <v>61</v>
      </c>
      <c r="X8" t="s">
        <v>61</v>
      </c>
      <c r="Y8" t="s">
        <v>1398</v>
      </c>
      <c r="Z8" t="s">
        <v>61</v>
      </c>
      <c r="AA8" t="s">
        <v>61</v>
      </c>
      <c r="AB8" t="s">
        <v>61</v>
      </c>
      <c r="AC8" t="s">
        <v>61</v>
      </c>
      <c r="AD8" t="s">
        <v>48</v>
      </c>
      <c r="AE8" t="s">
        <v>89</v>
      </c>
      <c r="AF8">
        <v>0</v>
      </c>
      <c r="AG8">
        <f>('Infant dataset'!$AF8 * 30)</f>
        <v>0</v>
      </c>
      <c r="AH8">
        <v>8</v>
      </c>
      <c r="AI8" t="s">
        <v>61</v>
      </c>
      <c r="AJ8">
        <f>'Infant dataset'!$AG8+'Infant dataset'!$AH8</f>
        <v>8</v>
      </c>
      <c r="AK8" t="str">
        <f>IF('Infant dataset'!$AJ8&lt;=28,"Neonatal Death","Infant Death")</f>
        <v>Neonatal Death</v>
      </c>
      <c r="AL8" t="s">
        <v>1193</v>
      </c>
      <c r="AM8" t="s">
        <v>1193</v>
      </c>
      <c r="AN8" s="140">
        <v>980</v>
      </c>
      <c r="AO8" s="140"/>
      <c r="AP8" t="s">
        <v>1398</v>
      </c>
      <c r="AQ8" t="s">
        <v>1398</v>
      </c>
      <c r="AR8" t="s">
        <v>61</v>
      </c>
      <c r="AS8" t="s">
        <v>61</v>
      </c>
      <c r="AT8" t="s">
        <v>61</v>
      </c>
      <c r="AU8" t="s">
        <v>61</v>
      </c>
      <c r="AV8" t="s">
        <v>61</v>
      </c>
      <c r="AW8" t="s">
        <v>61</v>
      </c>
      <c r="AX8" t="s">
        <v>61</v>
      </c>
      <c r="AY8" t="s">
        <v>61</v>
      </c>
      <c r="AZ8" t="s">
        <v>61</v>
      </c>
      <c r="BA8" t="s">
        <v>1398</v>
      </c>
      <c r="BB8" t="s">
        <v>61</v>
      </c>
      <c r="BC8" t="s">
        <v>61</v>
      </c>
      <c r="BD8" t="s">
        <v>61</v>
      </c>
      <c r="BE8" t="s">
        <v>61</v>
      </c>
      <c r="BF8" t="s">
        <v>61</v>
      </c>
      <c r="BG8" t="s">
        <v>61</v>
      </c>
      <c r="BH8" t="s">
        <v>61</v>
      </c>
      <c r="BI8" t="s">
        <v>61</v>
      </c>
      <c r="BJ8" t="s">
        <v>61</v>
      </c>
      <c r="BK8" t="s">
        <v>61</v>
      </c>
      <c r="BL8" t="s">
        <v>61</v>
      </c>
      <c r="BM8" t="s">
        <v>61</v>
      </c>
      <c r="BN8" t="s">
        <v>61</v>
      </c>
      <c r="BO8" t="s">
        <v>61</v>
      </c>
      <c r="BP8" t="s">
        <v>61</v>
      </c>
      <c r="BQ8" t="s">
        <v>61</v>
      </c>
      <c r="BR8" t="s">
        <v>61</v>
      </c>
    </row>
    <row r="9" spans="1:70" x14ac:dyDescent="0.3">
      <c r="A9" t="s">
        <v>1188</v>
      </c>
      <c r="B9" t="s">
        <v>1123</v>
      </c>
      <c r="C9" t="s">
        <v>66</v>
      </c>
      <c r="D9" t="s">
        <v>1082</v>
      </c>
      <c r="E9" t="s">
        <v>61</v>
      </c>
      <c r="F9" t="s">
        <v>48</v>
      </c>
      <c r="G9" t="s">
        <v>89</v>
      </c>
      <c r="H9" t="str">
        <f>IF('Infant dataset'!$AJ9&lt;=28,"Neonatal Death","Infant Death")</f>
        <v>Neonatal Death</v>
      </c>
      <c r="I9" t="s">
        <v>61</v>
      </c>
      <c r="J9" t="s">
        <v>61</v>
      </c>
      <c r="K9" t="s">
        <v>61</v>
      </c>
      <c r="L9" t="s">
        <v>61</v>
      </c>
      <c r="M9" t="s">
        <v>61</v>
      </c>
      <c r="N9" t="s">
        <v>61</v>
      </c>
      <c r="O9" t="s">
        <v>61</v>
      </c>
      <c r="P9" t="s">
        <v>61</v>
      </c>
      <c r="Q9" t="s">
        <v>61</v>
      </c>
      <c r="R9" t="s">
        <v>61</v>
      </c>
      <c r="S9" t="s">
        <v>61</v>
      </c>
      <c r="T9" t="s">
        <v>61</v>
      </c>
      <c r="U9" t="s">
        <v>61</v>
      </c>
      <c r="V9" t="s">
        <v>61</v>
      </c>
      <c r="W9" t="s">
        <v>61</v>
      </c>
      <c r="X9" t="s">
        <v>61</v>
      </c>
      <c r="Y9" t="s">
        <v>61</v>
      </c>
      <c r="Z9" t="s">
        <v>61</v>
      </c>
      <c r="AA9" t="s">
        <v>61</v>
      </c>
      <c r="AB9" t="s">
        <v>61</v>
      </c>
      <c r="AC9" t="s">
        <v>61</v>
      </c>
      <c r="AD9" t="s">
        <v>48</v>
      </c>
      <c r="AE9" t="s">
        <v>89</v>
      </c>
      <c r="AF9">
        <v>0</v>
      </c>
      <c r="AG9">
        <f>('Infant dataset'!$AF9 * 30)</f>
        <v>0</v>
      </c>
      <c r="AH9">
        <v>3</v>
      </c>
      <c r="AI9" t="s">
        <v>61</v>
      </c>
      <c r="AJ9">
        <f>'Infant dataset'!$AG9+'Infant dataset'!$AH9</f>
        <v>3</v>
      </c>
      <c r="AK9" t="str">
        <f>IF('Infant dataset'!$AJ9&lt;=28,"Neonatal Death","Infant Death")</f>
        <v>Neonatal Death</v>
      </c>
      <c r="AL9" t="s">
        <v>1203</v>
      </c>
      <c r="AM9" t="s">
        <v>162</v>
      </c>
      <c r="AN9" s="140">
        <v>1990</v>
      </c>
      <c r="AO9" s="140"/>
      <c r="AP9" t="s">
        <v>61</v>
      </c>
      <c r="AQ9" t="s">
        <v>61</v>
      </c>
      <c r="AR9" t="s">
        <v>61</v>
      </c>
      <c r="AS9" t="s">
        <v>1398</v>
      </c>
      <c r="AT9" t="s">
        <v>61</v>
      </c>
      <c r="AU9" t="s">
        <v>61</v>
      </c>
      <c r="AV9" t="s">
        <v>61</v>
      </c>
      <c r="AW9" t="s">
        <v>61</v>
      </c>
      <c r="AX9" t="s">
        <v>61</v>
      </c>
      <c r="AY9" t="s">
        <v>61</v>
      </c>
      <c r="AZ9" t="s">
        <v>61</v>
      </c>
      <c r="BA9" t="s">
        <v>61</v>
      </c>
      <c r="BB9" t="s">
        <v>61</v>
      </c>
      <c r="BC9" t="s">
        <v>61</v>
      </c>
      <c r="BD9" t="s">
        <v>61</v>
      </c>
      <c r="BE9" t="s">
        <v>61</v>
      </c>
      <c r="BF9" t="s">
        <v>61</v>
      </c>
      <c r="BG9" t="s">
        <v>61</v>
      </c>
      <c r="BH9" t="s">
        <v>61</v>
      </c>
      <c r="BI9" t="s">
        <v>61</v>
      </c>
      <c r="BJ9" t="s">
        <v>61</v>
      </c>
      <c r="BK9" t="s">
        <v>61</v>
      </c>
      <c r="BL9" t="s">
        <v>61</v>
      </c>
      <c r="BM9" t="s">
        <v>61</v>
      </c>
      <c r="BN9" t="s">
        <v>61</v>
      </c>
      <c r="BO9" t="s">
        <v>61</v>
      </c>
      <c r="BP9" t="s">
        <v>61</v>
      </c>
      <c r="BQ9" t="s">
        <v>61</v>
      </c>
      <c r="BR9" t="s">
        <v>61</v>
      </c>
    </row>
    <row r="10" spans="1:70" x14ac:dyDescent="0.3">
      <c r="A10" t="s">
        <v>1189</v>
      </c>
      <c r="B10" t="s">
        <v>445</v>
      </c>
      <c r="C10" t="s">
        <v>40</v>
      </c>
      <c r="D10" t="s">
        <v>40</v>
      </c>
      <c r="E10" t="s">
        <v>61</v>
      </c>
      <c r="F10" t="s">
        <v>74</v>
      </c>
      <c r="G10" t="s">
        <v>89</v>
      </c>
      <c r="H10" t="str">
        <f>IF('Infant dataset'!$AJ10&lt;=28,"Neonatal Death","Infant Death")</f>
        <v>Infant Death</v>
      </c>
      <c r="I10" t="s">
        <v>61</v>
      </c>
      <c r="J10" t="s">
        <v>61</v>
      </c>
      <c r="K10" t="s">
        <v>61</v>
      </c>
      <c r="L10" t="s">
        <v>61</v>
      </c>
      <c r="M10" t="s">
        <v>61</v>
      </c>
      <c r="N10" t="s">
        <v>61</v>
      </c>
      <c r="O10" t="s">
        <v>61</v>
      </c>
      <c r="P10" t="s">
        <v>61</v>
      </c>
      <c r="Q10" t="s">
        <v>61</v>
      </c>
      <c r="R10" t="s">
        <v>61</v>
      </c>
      <c r="S10" t="s">
        <v>61</v>
      </c>
      <c r="T10" t="s">
        <v>61</v>
      </c>
      <c r="U10" t="s">
        <v>61</v>
      </c>
      <c r="V10" t="s">
        <v>61</v>
      </c>
      <c r="W10" t="s">
        <v>61</v>
      </c>
      <c r="X10" t="s">
        <v>61</v>
      </c>
      <c r="Y10" t="s">
        <v>61</v>
      </c>
      <c r="Z10" t="s">
        <v>61</v>
      </c>
      <c r="AA10" t="s">
        <v>61</v>
      </c>
      <c r="AB10" t="s">
        <v>61</v>
      </c>
      <c r="AC10" t="s">
        <v>61</v>
      </c>
      <c r="AD10" t="s">
        <v>74</v>
      </c>
      <c r="AE10" t="s">
        <v>89</v>
      </c>
      <c r="AF10">
        <v>2</v>
      </c>
      <c r="AG10">
        <f>('Infant dataset'!$AF10 * 30)</f>
        <v>60</v>
      </c>
      <c r="AH10">
        <v>0</v>
      </c>
      <c r="AI10" t="s">
        <v>61</v>
      </c>
      <c r="AJ10">
        <f>'Infant dataset'!$AG10+'Infant dataset'!$AH10</f>
        <v>60</v>
      </c>
      <c r="AK10" t="str">
        <f>IF('Infant dataset'!$AJ10&lt;=28,"Neonatal Death","Infant Death")</f>
        <v>Infant Death</v>
      </c>
      <c r="AL10" t="s">
        <v>1192</v>
      </c>
      <c r="AM10" t="s">
        <v>1192</v>
      </c>
      <c r="AN10" s="140">
        <v>3200</v>
      </c>
      <c r="AO10" s="140"/>
      <c r="AP10" t="s">
        <v>61</v>
      </c>
      <c r="AQ10" t="s">
        <v>61</v>
      </c>
      <c r="AR10" t="s">
        <v>61</v>
      </c>
      <c r="AS10" t="s">
        <v>61</v>
      </c>
      <c r="AT10" t="s">
        <v>61</v>
      </c>
      <c r="AU10" t="s">
        <v>61</v>
      </c>
      <c r="AV10" t="s">
        <v>61</v>
      </c>
      <c r="AW10" t="s">
        <v>61</v>
      </c>
      <c r="AX10" t="s">
        <v>61</v>
      </c>
      <c r="AY10" t="s">
        <v>61</v>
      </c>
      <c r="AZ10" t="s">
        <v>1398</v>
      </c>
      <c r="BA10" t="s">
        <v>61</v>
      </c>
      <c r="BB10" t="s">
        <v>61</v>
      </c>
      <c r="BC10" t="s">
        <v>61</v>
      </c>
      <c r="BD10" t="s">
        <v>61</v>
      </c>
      <c r="BE10" t="s">
        <v>61</v>
      </c>
      <c r="BF10" t="s">
        <v>61</v>
      </c>
      <c r="BG10" t="s">
        <v>61</v>
      </c>
      <c r="BH10" t="s">
        <v>61</v>
      </c>
      <c r="BI10" t="s">
        <v>61</v>
      </c>
      <c r="BJ10" t="s">
        <v>61</v>
      </c>
      <c r="BK10" t="s">
        <v>61</v>
      </c>
      <c r="BL10" t="s">
        <v>61</v>
      </c>
      <c r="BM10" t="s">
        <v>61</v>
      </c>
      <c r="BN10" t="s">
        <v>61</v>
      </c>
      <c r="BO10" t="s">
        <v>61</v>
      </c>
      <c r="BP10" t="s">
        <v>61</v>
      </c>
      <c r="BQ10" t="s">
        <v>61</v>
      </c>
      <c r="BR10" t="s">
        <v>61</v>
      </c>
    </row>
    <row r="11" spans="1:70" x14ac:dyDescent="0.3">
      <c r="A11" t="s">
        <v>1190</v>
      </c>
      <c r="B11" t="s">
        <v>1142</v>
      </c>
      <c r="C11" t="s">
        <v>66</v>
      </c>
      <c r="D11" t="s">
        <v>1144</v>
      </c>
      <c r="E11" t="s">
        <v>1398</v>
      </c>
      <c r="F11" t="s">
        <v>48</v>
      </c>
      <c r="G11" t="s">
        <v>39</v>
      </c>
      <c r="H11" t="str">
        <f>IF('Infant dataset'!$AJ11&lt;=28,"Neonatal Death","Infant Death")</f>
        <v>Neonatal Death</v>
      </c>
      <c r="I11" t="s">
        <v>61</v>
      </c>
      <c r="J11" t="s">
        <v>61</v>
      </c>
      <c r="K11" t="s">
        <v>61</v>
      </c>
      <c r="L11" t="s">
        <v>61</v>
      </c>
      <c r="M11" t="s">
        <v>61</v>
      </c>
      <c r="N11" t="s">
        <v>61</v>
      </c>
      <c r="O11" t="s">
        <v>61</v>
      </c>
      <c r="P11" t="s">
        <v>61</v>
      </c>
      <c r="Q11" t="s">
        <v>61</v>
      </c>
      <c r="R11" t="s">
        <v>61</v>
      </c>
      <c r="S11" t="s">
        <v>61</v>
      </c>
      <c r="T11" t="s">
        <v>61</v>
      </c>
      <c r="U11" t="s">
        <v>61</v>
      </c>
      <c r="V11" t="s">
        <v>61</v>
      </c>
      <c r="W11" t="s">
        <v>61</v>
      </c>
      <c r="X11" t="s">
        <v>61</v>
      </c>
      <c r="Y11" t="s">
        <v>61</v>
      </c>
      <c r="Z11" t="s">
        <v>61</v>
      </c>
      <c r="AA11" t="s">
        <v>61</v>
      </c>
      <c r="AB11" t="s">
        <v>1398</v>
      </c>
      <c r="AC11" t="s">
        <v>61</v>
      </c>
      <c r="AD11" t="s">
        <v>48</v>
      </c>
      <c r="AE11" t="s">
        <v>39</v>
      </c>
      <c r="AF11">
        <v>0</v>
      </c>
      <c r="AG11">
        <f>('Infant dataset'!$AF11 * 30)</f>
        <v>0</v>
      </c>
      <c r="AH11">
        <v>16</v>
      </c>
      <c r="AI11" t="s">
        <v>61</v>
      </c>
      <c r="AJ11">
        <f>'Infant dataset'!$AG11+'Infant dataset'!$AH11</f>
        <v>16</v>
      </c>
      <c r="AK11" t="str">
        <f>IF('Infant dataset'!$AJ11&lt;=28,"Neonatal Death","Infant Death")</f>
        <v>Neonatal Death</v>
      </c>
      <c r="AL11" t="s">
        <v>1203</v>
      </c>
      <c r="AM11" t="s">
        <v>1203</v>
      </c>
      <c r="AN11" s="140">
        <v>1590</v>
      </c>
      <c r="AO11" s="140"/>
      <c r="AP11" t="s">
        <v>1398</v>
      </c>
      <c r="AQ11" t="s">
        <v>61</v>
      </c>
      <c r="AR11" t="s">
        <v>61</v>
      </c>
      <c r="AS11" t="s">
        <v>61</v>
      </c>
      <c r="AT11" t="s">
        <v>61</v>
      </c>
      <c r="AU11" t="s">
        <v>61</v>
      </c>
      <c r="AV11" t="s">
        <v>61</v>
      </c>
      <c r="AW11" t="s">
        <v>61</v>
      </c>
      <c r="AX11" t="s">
        <v>61</v>
      </c>
      <c r="AY11" t="s">
        <v>61</v>
      </c>
      <c r="AZ11" t="s">
        <v>61</v>
      </c>
      <c r="BA11" t="s">
        <v>61</v>
      </c>
      <c r="BB11" t="s">
        <v>61</v>
      </c>
      <c r="BC11" t="s">
        <v>61</v>
      </c>
      <c r="BD11" t="s">
        <v>61</v>
      </c>
      <c r="BE11" t="s">
        <v>61</v>
      </c>
      <c r="BF11" t="s">
        <v>61</v>
      </c>
      <c r="BG11" t="s">
        <v>61</v>
      </c>
      <c r="BH11" t="s">
        <v>61</v>
      </c>
      <c r="BI11" t="s">
        <v>61</v>
      </c>
      <c r="BJ11" t="s">
        <v>61</v>
      </c>
      <c r="BK11" t="s">
        <v>61</v>
      </c>
      <c r="BL11" t="s">
        <v>1398</v>
      </c>
      <c r="BM11" t="s">
        <v>61</v>
      </c>
      <c r="BN11" t="s">
        <v>61</v>
      </c>
      <c r="BO11" t="s">
        <v>61</v>
      </c>
      <c r="BP11" t="s">
        <v>1398</v>
      </c>
      <c r="BQ11" t="s">
        <v>1400</v>
      </c>
      <c r="BR11" t="s">
        <v>61</v>
      </c>
    </row>
    <row r="12" spans="1:70" x14ac:dyDescent="0.3">
      <c r="A12" t="s">
        <v>1190</v>
      </c>
      <c r="B12" t="s">
        <v>1142</v>
      </c>
      <c r="C12" t="s">
        <v>66</v>
      </c>
      <c r="D12" t="s">
        <v>1144</v>
      </c>
      <c r="E12" t="s">
        <v>1398</v>
      </c>
      <c r="F12" t="s">
        <v>48</v>
      </c>
      <c r="G12" t="s">
        <v>39</v>
      </c>
      <c r="H12" t="str">
        <f>IF('Infant dataset'!$AJ12&lt;=28,"Neonatal Death","Infant Death")</f>
        <v>Neonatal Death</v>
      </c>
      <c r="I12" t="s">
        <v>61</v>
      </c>
      <c r="J12" t="s">
        <v>61</v>
      </c>
      <c r="K12" t="s">
        <v>61</v>
      </c>
      <c r="L12" t="s">
        <v>61</v>
      </c>
      <c r="M12" t="s">
        <v>61</v>
      </c>
      <c r="N12" t="s">
        <v>61</v>
      </c>
      <c r="O12" t="s">
        <v>61</v>
      </c>
      <c r="P12" t="s">
        <v>61</v>
      </c>
      <c r="Q12" t="s">
        <v>61</v>
      </c>
      <c r="R12" t="s">
        <v>61</v>
      </c>
      <c r="S12" t="s">
        <v>61</v>
      </c>
      <c r="T12" t="s">
        <v>61</v>
      </c>
      <c r="U12" t="s">
        <v>61</v>
      </c>
      <c r="V12" t="s">
        <v>61</v>
      </c>
      <c r="W12" t="s">
        <v>61</v>
      </c>
      <c r="X12" t="s">
        <v>61</v>
      </c>
      <c r="Y12" t="s">
        <v>61</v>
      </c>
      <c r="Z12" t="s">
        <v>61</v>
      </c>
      <c r="AA12" t="s">
        <v>61</v>
      </c>
      <c r="AB12" t="s">
        <v>1398</v>
      </c>
      <c r="AC12" t="s">
        <v>61</v>
      </c>
      <c r="AD12" t="s">
        <v>48</v>
      </c>
      <c r="AE12" t="s">
        <v>39</v>
      </c>
      <c r="AF12">
        <v>0</v>
      </c>
      <c r="AG12">
        <f>('Infant dataset'!$AF12 * 30)</f>
        <v>0</v>
      </c>
      <c r="AH12">
        <v>16</v>
      </c>
      <c r="AI12" t="s">
        <v>61</v>
      </c>
      <c r="AJ12">
        <f>'Infant dataset'!$AG12+'Infant dataset'!$AH12</f>
        <v>16</v>
      </c>
      <c r="AK12" t="str">
        <f>IF('Infant dataset'!$AJ12&lt;=28,"Neonatal Death","Infant Death")</f>
        <v>Neonatal Death</v>
      </c>
      <c r="AL12" t="s">
        <v>1203</v>
      </c>
      <c r="AM12" t="s">
        <v>1203</v>
      </c>
      <c r="AN12" s="140">
        <v>1550</v>
      </c>
      <c r="AO12" s="140"/>
      <c r="AP12" t="s">
        <v>1398</v>
      </c>
      <c r="AQ12" t="s">
        <v>61</v>
      </c>
      <c r="AR12" t="s">
        <v>61</v>
      </c>
      <c r="AS12" t="s">
        <v>61</v>
      </c>
      <c r="AT12" t="s">
        <v>61</v>
      </c>
      <c r="AU12" t="s">
        <v>61</v>
      </c>
      <c r="AV12" t="s">
        <v>61</v>
      </c>
      <c r="AW12" t="s">
        <v>61</v>
      </c>
      <c r="AX12" t="s">
        <v>61</v>
      </c>
      <c r="AY12" t="s">
        <v>61</v>
      </c>
      <c r="AZ12" t="s">
        <v>61</v>
      </c>
      <c r="BA12" t="s">
        <v>61</v>
      </c>
      <c r="BB12" t="s">
        <v>61</v>
      </c>
      <c r="BC12" t="s">
        <v>61</v>
      </c>
      <c r="BD12" t="s">
        <v>61</v>
      </c>
      <c r="BE12" t="s">
        <v>61</v>
      </c>
      <c r="BF12" t="s">
        <v>61</v>
      </c>
      <c r="BG12" t="s">
        <v>61</v>
      </c>
      <c r="BH12" t="s">
        <v>61</v>
      </c>
      <c r="BI12" t="s">
        <v>61</v>
      </c>
      <c r="BJ12" t="s">
        <v>61</v>
      </c>
      <c r="BK12" t="s">
        <v>61</v>
      </c>
      <c r="BL12" t="s">
        <v>1398</v>
      </c>
      <c r="BM12" t="s">
        <v>61</v>
      </c>
      <c r="BN12" t="s">
        <v>61</v>
      </c>
      <c r="BO12" t="s">
        <v>61</v>
      </c>
      <c r="BP12" t="s">
        <v>1398</v>
      </c>
      <c r="BQ12" t="s">
        <v>1400</v>
      </c>
      <c r="BR12" t="s">
        <v>61</v>
      </c>
    </row>
    <row r="13" spans="1:70" x14ac:dyDescent="0.3">
      <c r="A13" t="s">
        <v>1190</v>
      </c>
      <c r="B13" t="s">
        <v>920</v>
      </c>
      <c r="C13" t="s">
        <v>66</v>
      </c>
      <c r="D13" t="s">
        <v>462</v>
      </c>
      <c r="E13" t="s">
        <v>61</v>
      </c>
      <c r="F13" t="s">
        <v>48</v>
      </c>
      <c r="G13" t="s">
        <v>89</v>
      </c>
      <c r="H13" t="str">
        <f>IF('Infant dataset'!$AJ13&lt;=28,"Neonatal Death","Infant Death")</f>
        <v>Infant Death</v>
      </c>
      <c r="I13" t="s">
        <v>61</v>
      </c>
      <c r="J13" t="s">
        <v>61</v>
      </c>
      <c r="K13" t="s">
        <v>61</v>
      </c>
      <c r="L13" t="s">
        <v>61</v>
      </c>
      <c r="M13" t="s">
        <v>61</v>
      </c>
      <c r="N13" t="s">
        <v>61</v>
      </c>
      <c r="O13" t="s">
        <v>61</v>
      </c>
      <c r="P13" t="s">
        <v>61</v>
      </c>
      <c r="Q13" t="s">
        <v>61</v>
      </c>
      <c r="R13" t="s">
        <v>61</v>
      </c>
      <c r="S13" t="s">
        <v>61</v>
      </c>
      <c r="T13" t="s">
        <v>61</v>
      </c>
      <c r="U13" t="s">
        <v>61</v>
      </c>
      <c r="V13" t="s">
        <v>61</v>
      </c>
      <c r="W13" t="s">
        <v>61</v>
      </c>
      <c r="X13" t="s">
        <v>61</v>
      </c>
      <c r="Y13" t="s">
        <v>61</v>
      </c>
      <c r="Z13" t="s">
        <v>61</v>
      </c>
      <c r="AA13" t="s">
        <v>61</v>
      </c>
      <c r="AB13" t="s">
        <v>61</v>
      </c>
      <c r="AC13" t="s">
        <v>61</v>
      </c>
      <c r="AD13" t="s">
        <v>48</v>
      </c>
      <c r="AE13" t="s">
        <v>89</v>
      </c>
      <c r="AF13">
        <v>1</v>
      </c>
      <c r="AG13">
        <f>('Infant dataset'!$AF13 * 30)</f>
        <v>30</v>
      </c>
      <c r="AH13">
        <v>15</v>
      </c>
      <c r="AI13" t="s">
        <v>61</v>
      </c>
      <c r="AJ13">
        <f>'Infant dataset'!$AG13+'Infant dataset'!$AH13</f>
        <v>45</v>
      </c>
      <c r="AK13" t="str">
        <f>IF('Infant dataset'!$AJ13&lt;=28,"Neonatal Death","Infant Death")</f>
        <v>Infant Death</v>
      </c>
      <c r="AL13" t="s">
        <v>1193</v>
      </c>
      <c r="AM13" t="s">
        <v>1203</v>
      </c>
      <c r="AN13" s="140">
        <v>2580</v>
      </c>
      <c r="AO13" s="140"/>
      <c r="AP13" t="s">
        <v>61</v>
      </c>
      <c r="AQ13" t="s">
        <v>61</v>
      </c>
      <c r="AR13" t="s">
        <v>61</v>
      </c>
      <c r="AS13" t="s">
        <v>61</v>
      </c>
      <c r="AT13" t="s">
        <v>61</v>
      </c>
      <c r="AU13" t="s">
        <v>61</v>
      </c>
      <c r="AV13" t="s">
        <v>61</v>
      </c>
      <c r="AW13" t="s">
        <v>61</v>
      </c>
      <c r="AX13" t="s">
        <v>61</v>
      </c>
      <c r="AY13" t="s">
        <v>61</v>
      </c>
      <c r="AZ13" t="s">
        <v>61</v>
      </c>
      <c r="BA13" t="s">
        <v>61</v>
      </c>
      <c r="BB13" t="s">
        <v>61</v>
      </c>
      <c r="BC13" t="s">
        <v>61</v>
      </c>
      <c r="BD13" t="s">
        <v>61</v>
      </c>
      <c r="BE13" t="s">
        <v>61</v>
      </c>
      <c r="BF13" t="s">
        <v>61</v>
      </c>
      <c r="BG13" t="s">
        <v>61</v>
      </c>
      <c r="BH13" t="s">
        <v>61</v>
      </c>
      <c r="BI13" t="s">
        <v>61</v>
      </c>
      <c r="BJ13" t="s">
        <v>61</v>
      </c>
      <c r="BK13" t="s">
        <v>61</v>
      </c>
      <c r="BL13" t="s">
        <v>61</v>
      </c>
      <c r="BM13" t="s">
        <v>61</v>
      </c>
      <c r="BN13" t="s">
        <v>61</v>
      </c>
      <c r="BO13" t="s">
        <v>61</v>
      </c>
      <c r="BP13" t="s">
        <v>1398</v>
      </c>
      <c r="BQ13" t="s">
        <v>1160</v>
      </c>
      <c r="BR13" t="s">
        <v>61</v>
      </c>
    </row>
    <row r="14" spans="1:70" x14ac:dyDescent="0.3">
      <c r="A14" t="s">
        <v>1189</v>
      </c>
      <c r="B14" t="s">
        <v>325</v>
      </c>
      <c r="C14" t="s">
        <v>66</v>
      </c>
      <c r="D14" t="s">
        <v>231</v>
      </c>
      <c r="E14" t="s">
        <v>61</v>
      </c>
      <c r="F14" t="s">
        <v>74</v>
      </c>
      <c r="G14" t="s">
        <v>89</v>
      </c>
      <c r="H14" t="str">
        <f>IF('Infant dataset'!$AJ14&lt;=28,"Neonatal Death","Infant Death")</f>
        <v>Neonatal Death</v>
      </c>
      <c r="I14" t="s">
        <v>61</v>
      </c>
      <c r="J14" t="s">
        <v>61</v>
      </c>
      <c r="K14" t="s">
        <v>61</v>
      </c>
      <c r="L14" t="s">
        <v>61</v>
      </c>
      <c r="M14" t="s">
        <v>61</v>
      </c>
      <c r="N14" t="s">
        <v>61</v>
      </c>
      <c r="O14" t="s">
        <v>61</v>
      </c>
      <c r="P14" t="s">
        <v>61</v>
      </c>
      <c r="Q14" t="s">
        <v>61</v>
      </c>
      <c r="R14" t="s">
        <v>61</v>
      </c>
      <c r="S14" t="s">
        <v>61</v>
      </c>
      <c r="T14" t="s">
        <v>61</v>
      </c>
      <c r="U14" t="s">
        <v>61</v>
      </c>
      <c r="V14" t="s">
        <v>61</v>
      </c>
      <c r="W14" t="s">
        <v>61</v>
      </c>
      <c r="X14" t="s">
        <v>61</v>
      </c>
      <c r="Y14" t="s">
        <v>61</v>
      </c>
      <c r="Z14" t="s">
        <v>61</v>
      </c>
      <c r="AA14" t="s">
        <v>61</v>
      </c>
      <c r="AB14" t="s">
        <v>61</v>
      </c>
      <c r="AC14" t="s">
        <v>61</v>
      </c>
      <c r="AD14" t="s">
        <v>74</v>
      </c>
      <c r="AE14" t="s">
        <v>89</v>
      </c>
      <c r="AF14">
        <v>0</v>
      </c>
      <c r="AG14">
        <f>('Infant dataset'!$AF14 * 30)</f>
        <v>0</v>
      </c>
      <c r="AH14">
        <v>2</v>
      </c>
      <c r="AI14" t="s">
        <v>61</v>
      </c>
      <c r="AJ14">
        <f>'Infant dataset'!$AG14+'Infant dataset'!$AH14</f>
        <v>2</v>
      </c>
      <c r="AK14" t="str">
        <f>IF('Infant dataset'!$AJ14&lt;=28,"Neonatal Death","Infant Death")</f>
        <v>Neonatal Death</v>
      </c>
      <c r="AL14" t="s">
        <v>1192</v>
      </c>
      <c r="AM14" t="s">
        <v>1192</v>
      </c>
      <c r="AN14" s="140">
        <v>2980</v>
      </c>
      <c r="AO14" s="140"/>
      <c r="AP14" t="s">
        <v>61</v>
      </c>
      <c r="AQ14" t="s">
        <v>61</v>
      </c>
      <c r="AR14" t="s">
        <v>61</v>
      </c>
      <c r="AS14" t="s">
        <v>61</v>
      </c>
      <c r="AT14" t="s">
        <v>61</v>
      </c>
      <c r="AU14" t="s">
        <v>61</v>
      </c>
      <c r="AV14" t="s">
        <v>61</v>
      </c>
      <c r="AW14" t="s">
        <v>61</v>
      </c>
      <c r="AX14" t="s">
        <v>61</v>
      </c>
      <c r="AY14" t="s">
        <v>61</v>
      </c>
      <c r="AZ14" t="s">
        <v>61</v>
      </c>
      <c r="BA14" t="s">
        <v>1398</v>
      </c>
      <c r="BB14" t="s">
        <v>61</v>
      </c>
      <c r="BC14" t="s">
        <v>61</v>
      </c>
      <c r="BD14" t="s">
        <v>61</v>
      </c>
      <c r="BE14" t="s">
        <v>61</v>
      </c>
      <c r="BF14" t="s">
        <v>61</v>
      </c>
      <c r="BG14" t="s">
        <v>61</v>
      </c>
      <c r="BH14" t="s">
        <v>61</v>
      </c>
      <c r="BI14" t="s">
        <v>61</v>
      </c>
      <c r="BJ14" t="s">
        <v>61</v>
      </c>
      <c r="BK14" t="s">
        <v>61</v>
      </c>
      <c r="BL14" t="s">
        <v>61</v>
      </c>
      <c r="BM14" t="s">
        <v>61</v>
      </c>
      <c r="BN14" t="s">
        <v>61</v>
      </c>
      <c r="BO14" t="s">
        <v>61</v>
      </c>
      <c r="BP14" t="s">
        <v>1398</v>
      </c>
      <c r="BQ14" t="s">
        <v>1329</v>
      </c>
      <c r="BR14" t="s">
        <v>1398</v>
      </c>
    </row>
    <row r="15" spans="1:70" x14ac:dyDescent="0.3">
      <c r="A15" t="s">
        <v>1189</v>
      </c>
      <c r="B15" t="s">
        <v>325</v>
      </c>
      <c r="C15" t="s">
        <v>66</v>
      </c>
      <c r="D15" t="s">
        <v>231</v>
      </c>
      <c r="E15" t="s">
        <v>61</v>
      </c>
      <c r="F15" t="s">
        <v>74</v>
      </c>
      <c r="G15" t="s">
        <v>39</v>
      </c>
      <c r="H15" t="str">
        <f>IF('Infant dataset'!$AJ15&lt;=28,"Neonatal Death","Infant Death")</f>
        <v>Neonatal Death</v>
      </c>
      <c r="I15" t="s">
        <v>61</v>
      </c>
      <c r="J15" t="s">
        <v>61</v>
      </c>
      <c r="K15" t="s">
        <v>61</v>
      </c>
      <c r="L15" t="s">
        <v>61</v>
      </c>
      <c r="M15" t="s">
        <v>61</v>
      </c>
      <c r="N15" t="s">
        <v>61</v>
      </c>
      <c r="O15" t="s">
        <v>61</v>
      </c>
      <c r="P15" t="s">
        <v>61</v>
      </c>
      <c r="Q15" t="s">
        <v>61</v>
      </c>
      <c r="R15" t="s">
        <v>61</v>
      </c>
      <c r="S15" t="s">
        <v>61</v>
      </c>
      <c r="T15" t="s">
        <v>61</v>
      </c>
      <c r="U15" t="s">
        <v>61</v>
      </c>
      <c r="V15" t="s">
        <v>61</v>
      </c>
      <c r="W15" t="s">
        <v>61</v>
      </c>
      <c r="X15" t="s">
        <v>61</v>
      </c>
      <c r="Y15" t="s">
        <v>61</v>
      </c>
      <c r="Z15" t="s">
        <v>61</v>
      </c>
      <c r="AA15" t="s">
        <v>61</v>
      </c>
      <c r="AB15" t="s">
        <v>61</v>
      </c>
      <c r="AC15" t="s">
        <v>61</v>
      </c>
      <c r="AD15" t="s">
        <v>74</v>
      </c>
      <c r="AE15" t="s">
        <v>39</v>
      </c>
      <c r="AF15">
        <v>0</v>
      </c>
      <c r="AG15">
        <f>('Infant dataset'!$AF15 * 30)</f>
        <v>0</v>
      </c>
      <c r="AH15">
        <v>4</v>
      </c>
      <c r="AI15" t="s">
        <v>61</v>
      </c>
      <c r="AJ15">
        <f>'Infant dataset'!$AG15+'Infant dataset'!$AH15</f>
        <v>4</v>
      </c>
      <c r="AK15" t="str">
        <f>IF('Infant dataset'!$AJ15&lt;=28,"Neonatal Death","Infant Death")</f>
        <v>Neonatal Death</v>
      </c>
      <c r="AL15" t="s">
        <v>1203</v>
      </c>
      <c r="AM15" t="s">
        <v>1203</v>
      </c>
      <c r="AN15" s="140">
        <v>780</v>
      </c>
      <c r="AO15" s="140"/>
      <c r="AP15" t="s">
        <v>1398</v>
      </c>
      <c r="AQ15" t="s">
        <v>1398</v>
      </c>
      <c r="AR15" t="s">
        <v>61</v>
      </c>
      <c r="AS15" t="s">
        <v>61</v>
      </c>
      <c r="AT15" t="s">
        <v>61</v>
      </c>
      <c r="AU15" t="s">
        <v>61</v>
      </c>
      <c r="AV15" t="s">
        <v>61</v>
      </c>
      <c r="AW15" t="s">
        <v>61</v>
      </c>
      <c r="AX15" t="s">
        <v>61</v>
      </c>
      <c r="AY15" t="s">
        <v>61</v>
      </c>
      <c r="AZ15" t="s">
        <v>61</v>
      </c>
      <c r="BA15" t="s">
        <v>61</v>
      </c>
      <c r="BB15" t="s">
        <v>1398</v>
      </c>
      <c r="BC15" t="s">
        <v>61</v>
      </c>
      <c r="BD15" t="s">
        <v>61</v>
      </c>
      <c r="BE15" t="s">
        <v>61</v>
      </c>
      <c r="BF15" t="s">
        <v>61</v>
      </c>
      <c r="BG15" t="s">
        <v>61</v>
      </c>
      <c r="BH15" t="s">
        <v>61</v>
      </c>
      <c r="BI15" t="s">
        <v>61</v>
      </c>
      <c r="BJ15" t="s">
        <v>61</v>
      </c>
      <c r="BK15" t="s">
        <v>61</v>
      </c>
      <c r="BL15" t="s">
        <v>61</v>
      </c>
      <c r="BM15" t="s">
        <v>61</v>
      </c>
      <c r="BN15" t="s">
        <v>61</v>
      </c>
      <c r="BO15" t="s">
        <v>61</v>
      </c>
      <c r="BP15" t="s">
        <v>1398</v>
      </c>
      <c r="BQ15" t="s">
        <v>1402</v>
      </c>
      <c r="BR15" t="s">
        <v>61</v>
      </c>
    </row>
    <row r="16" spans="1:70" x14ac:dyDescent="0.3">
      <c r="A16" t="s">
        <v>1189</v>
      </c>
      <c r="B16" t="s">
        <v>445</v>
      </c>
      <c r="C16" t="s">
        <v>66</v>
      </c>
      <c r="D16" t="s">
        <v>462</v>
      </c>
      <c r="E16" t="s">
        <v>1398</v>
      </c>
      <c r="F16" t="s">
        <v>48</v>
      </c>
      <c r="G16" t="s">
        <v>39</v>
      </c>
      <c r="H16" t="str">
        <f>IF('Infant dataset'!$AJ16&lt;=28,"Neonatal Death","Infant Death")</f>
        <v>Neonatal Death</v>
      </c>
      <c r="I16" t="s">
        <v>1398</v>
      </c>
      <c r="J16" t="s">
        <v>61</v>
      </c>
      <c r="K16" t="s">
        <v>61</v>
      </c>
      <c r="L16" t="s">
        <v>61</v>
      </c>
      <c r="M16" t="s">
        <v>61</v>
      </c>
      <c r="N16" t="s">
        <v>61</v>
      </c>
      <c r="O16" t="s">
        <v>61</v>
      </c>
      <c r="P16" t="s">
        <v>61</v>
      </c>
      <c r="Q16" t="s">
        <v>61</v>
      </c>
      <c r="R16" t="s">
        <v>61</v>
      </c>
      <c r="S16" t="s">
        <v>61</v>
      </c>
      <c r="T16" t="s">
        <v>61</v>
      </c>
      <c r="U16" t="s">
        <v>61</v>
      </c>
      <c r="V16" t="s">
        <v>61</v>
      </c>
      <c r="W16" t="s">
        <v>61</v>
      </c>
      <c r="X16" t="s">
        <v>61</v>
      </c>
      <c r="Y16" t="s">
        <v>61</v>
      </c>
      <c r="Z16" t="s">
        <v>61</v>
      </c>
      <c r="AA16" t="s">
        <v>61</v>
      </c>
      <c r="AB16" t="s">
        <v>61</v>
      </c>
      <c r="AC16" t="s">
        <v>61</v>
      </c>
      <c r="AD16" t="s">
        <v>48</v>
      </c>
      <c r="AE16" t="s">
        <v>39</v>
      </c>
      <c r="AF16">
        <v>0</v>
      </c>
      <c r="AG16">
        <f>('Infant dataset'!$AF16 * 30)</f>
        <v>0</v>
      </c>
      <c r="AH16">
        <v>0</v>
      </c>
      <c r="AI16">
        <v>4</v>
      </c>
      <c r="AJ16">
        <f>'Infant dataset'!$AG16+'Infant dataset'!$AH16</f>
        <v>0</v>
      </c>
      <c r="AK16" t="str">
        <f>IF('Infant dataset'!$AJ16&lt;=28,"Neonatal Death","Infant Death")</f>
        <v>Neonatal Death</v>
      </c>
      <c r="AL16" t="s">
        <v>1192</v>
      </c>
      <c r="AM16" t="s">
        <v>1203</v>
      </c>
      <c r="AN16" s="140">
        <v>2750</v>
      </c>
      <c r="AO16" s="140"/>
      <c r="AP16" t="s">
        <v>61</v>
      </c>
      <c r="AQ16" t="s">
        <v>61</v>
      </c>
      <c r="AR16" t="s">
        <v>61</v>
      </c>
      <c r="AS16" t="s">
        <v>61</v>
      </c>
      <c r="AT16" t="s">
        <v>61</v>
      </c>
      <c r="AU16" t="s">
        <v>61</v>
      </c>
      <c r="AV16" t="s">
        <v>61</v>
      </c>
      <c r="AW16" t="s">
        <v>61</v>
      </c>
      <c r="AX16" t="s">
        <v>61</v>
      </c>
      <c r="AY16" t="s">
        <v>61</v>
      </c>
      <c r="AZ16" t="s">
        <v>61</v>
      </c>
      <c r="BA16" t="s">
        <v>61</v>
      </c>
      <c r="BB16" t="s">
        <v>61</v>
      </c>
      <c r="BC16" t="s">
        <v>61</v>
      </c>
      <c r="BD16" t="s">
        <v>1398</v>
      </c>
      <c r="BE16" t="s">
        <v>1398</v>
      </c>
      <c r="BF16" t="s">
        <v>61</v>
      </c>
      <c r="BG16" t="s">
        <v>61</v>
      </c>
      <c r="BH16" t="s">
        <v>61</v>
      </c>
      <c r="BI16" t="s">
        <v>61</v>
      </c>
      <c r="BJ16" t="s">
        <v>61</v>
      </c>
      <c r="BK16" t="s">
        <v>61</v>
      </c>
      <c r="BL16" t="s">
        <v>61</v>
      </c>
      <c r="BM16" t="s">
        <v>61</v>
      </c>
      <c r="BN16" t="s">
        <v>61</v>
      </c>
      <c r="BO16" t="s">
        <v>61</v>
      </c>
      <c r="BP16" t="s">
        <v>1398</v>
      </c>
      <c r="BQ16" t="s">
        <v>1331</v>
      </c>
      <c r="BR16" t="s">
        <v>1398</v>
      </c>
    </row>
    <row r="17" spans="1:70" x14ac:dyDescent="0.3">
      <c r="A17" t="s">
        <v>1188</v>
      </c>
      <c r="B17" t="s">
        <v>371</v>
      </c>
      <c r="C17" t="s">
        <v>66</v>
      </c>
      <c r="D17" t="s">
        <v>1322</v>
      </c>
      <c r="E17" t="s">
        <v>1398</v>
      </c>
      <c r="F17" t="s">
        <v>48</v>
      </c>
      <c r="G17" t="s">
        <v>89</v>
      </c>
      <c r="H17" t="str">
        <f>IF('Infant dataset'!$AJ17&lt;=28,"Neonatal Death","Infant Death")</f>
        <v>Neonatal Death</v>
      </c>
      <c r="I17" t="s">
        <v>61</v>
      </c>
      <c r="J17" t="s">
        <v>61</v>
      </c>
      <c r="K17" t="s">
        <v>61</v>
      </c>
      <c r="L17" t="s">
        <v>61</v>
      </c>
      <c r="M17" s="117" t="s">
        <v>61</v>
      </c>
      <c r="N17" s="117" t="s">
        <v>1398</v>
      </c>
      <c r="O17" s="117" t="s">
        <v>61</v>
      </c>
      <c r="P17" t="s">
        <v>61</v>
      </c>
      <c r="Q17" t="s">
        <v>1398</v>
      </c>
      <c r="R17" t="s">
        <v>61</v>
      </c>
      <c r="S17" t="s">
        <v>61</v>
      </c>
      <c r="T17" t="s">
        <v>61</v>
      </c>
      <c r="U17" t="s">
        <v>61</v>
      </c>
      <c r="V17" t="s">
        <v>61</v>
      </c>
      <c r="W17" t="s">
        <v>61</v>
      </c>
      <c r="X17" t="s">
        <v>61</v>
      </c>
      <c r="Y17" t="s">
        <v>61</v>
      </c>
      <c r="Z17" t="s">
        <v>61</v>
      </c>
      <c r="AA17" t="s">
        <v>61</v>
      </c>
      <c r="AB17" t="s">
        <v>61</v>
      </c>
      <c r="AC17" t="s">
        <v>61</v>
      </c>
      <c r="AD17" t="s">
        <v>48</v>
      </c>
      <c r="AE17" t="s">
        <v>89</v>
      </c>
      <c r="AF17">
        <v>0</v>
      </c>
      <c r="AG17">
        <f>('Infant dataset'!$AF17 * 30)</f>
        <v>0</v>
      </c>
      <c r="AH17">
        <v>9</v>
      </c>
      <c r="AI17" t="s">
        <v>61</v>
      </c>
      <c r="AJ17">
        <f>'Infant dataset'!$AG17+'Infant dataset'!$AH17</f>
        <v>9</v>
      </c>
      <c r="AK17" t="str">
        <f>IF('Infant dataset'!$AJ17&lt;=28,"Neonatal Death","Infant Death")</f>
        <v>Neonatal Death</v>
      </c>
      <c r="AL17" t="s">
        <v>1203</v>
      </c>
      <c r="AM17" t="s">
        <v>1203</v>
      </c>
      <c r="AN17" s="140">
        <v>900</v>
      </c>
      <c r="AO17" s="140"/>
      <c r="AP17" t="s">
        <v>1398</v>
      </c>
      <c r="AQ17" t="s">
        <v>1398</v>
      </c>
      <c r="AR17" t="s">
        <v>61</v>
      </c>
      <c r="AS17" t="s">
        <v>61</v>
      </c>
      <c r="AT17" t="s">
        <v>61</v>
      </c>
      <c r="AU17" t="s">
        <v>61</v>
      </c>
      <c r="AV17" t="s">
        <v>61</v>
      </c>
      <c r="AW17" t="s">
        <v>61</v>
      </c>
      <c r="AX17" t="s">
        <v>61</v>
      </c>
      <c r="AY17" t="s">
        <v>61</v>
      </c>
      <c r="AZ17" t="s">
        <v>61</v>
      </c>
      <c r="BA17" t="s">
        <v>61</v>
      </c>
      <c r="BB17" t="s">
        <v>1398</v>
      </c>
      <c r="BC17" t="s">
        <v>61</v>
      </c>
      <c r="BD17" t="s">
        <v>61</v>
      </c>
      <c r="BE17" t="s">
        <v>61</v>
      </c>
      <c r="BF17" t="s">
        <v>61</v>
      </c>
      <c r="BG17" t="s">
        <v>61</v>
      </c>
      <c r="BH17" t="s">
        <v>61</v>
      </c>
      <c r="BI17" t="s">
        <v>61</v>
      </c>
      <c r="BJ17" t="s">
        <v>61</v>
      </c>
      <c r="BK17" t="s">
        <v>61</v>
      </c>
      <c r="BL17" t="s">
        <v>61</v>
      </c>
      <c r="BM17" t="s">
        <v>61</v>
      </c>
      <c r="BN17" t="s">
        <v>61</v>
      </c>
      <c r="BO17" t="s">
        <v>61</v>
      </c>
      <c r="BP17" t="s">
        <v>61</v>
      </c>
      <c r="BQ17" t="s">
        <v>61</v>
      </c>
      <c r="BR17" t="s">
        <v>61</v>
      </c>
    </row>
    <row r="18" spans="1:70" x14ac:dyDescent="0.3">
      <c r="A18" t="s">
        <v>1188</v>
      </c>
      <c r="B18" t="s">
        <v>280</v>
      </c>
      <c r="C18" t="s">
        <v>66</v>
      </c>
      <c r="D18" t="s">
        <v>1323</v>
      </c>
      <c r="E18" t="s">
        <v>1398</v>
      </c>
      <c r="F18" t="s">
        <v>48</v>
      </c>
      <c r="G18" t="s">
        <v>39</v>
      </c>
      <c r="H18" t="str">
        <f>IF('Infant dataset'!$AJ18&lt;=28,"Neonatal Death","Infant Death")</f>
        <v>Infant Death</v>
      </c>
      <c r="I18" t="s">
        <v>61</v>
      </c>
      <c r="J18" t="s">
        <v>61</v>
      </c>
      <c r="K18" t="s">
        <v>1398</v>
      </c>
      <c r="L18" t="s">
        <v>61</v>
      </c>
      <c r="M18" t="s">
        <v>61</v>
      </c>
      <c r="N18" t="s">
        <v>61</v>
      </c>
      <c r="O18" t="s">
        <v>61</v>
      </c>
      <c r="P18" t="s">
        <v>61</v>
      </c>
      <c r="Q18" t="s">
        <v>61</v>
      </c>
      <c r="R18" t="s">
        <v>61</v>
      </c>
      <c r="S18" t="s">
        <v>61</v>
      </c>
      <c r="T18" t="s">
        <v>61</v>
      </c>
      <c r="U18" t="s">
        <v>61</v>
      </c>
      <c r="V18" t="s">
        <v>61</v>
      </c>
      <c r="W18" t="s">
        <v>61</v>
      </c>
      <c r="X18" t="s">
        <v>61</v>
      </c>
      <c r="Y18" t="s">
        <v>61</v>
      </c>
      <c r="Z18" t="s">
        <v>61</v>
      </c>
      <c r="AA18" t="s">
        <v>61</v>
      </c>
      <c r="AB18" t="s">
        <v>61</v>
      </c>
      <c r="AC18" t="s">
        <v>61</v>
      </c>
      <c r="AD18" t="s">
        <v>48</v>
      </c>
      <c r="AE18" t="s">
        <v>39</v>
      </c>
      <c r="AF18">
        <v>1</v>
      </c>
      <c r="AG18">
        <f>('Infant dataset'!$AF18 * 30)</f>
        <v>30</v>
      </c>
      <c r="AH18">
        <v>14</v>
      </c>
      <c r="AI18" t="s">
        <v>61</v>
      </c>
      <c r="AJ18">
        <f>'Infant dataset'!$AG18+'Infant dataset'!$AH18</f>
        <v>44</v>
      </c>
      <c r="AK18" t="str">
        <f>IF('Infant dataset'!$AJ18&lt;=28,"Neonatal Death","Infant Death")</f>
        <v>Infant Death</v>
      </c>
      <c r="AL18" t="s">
        <v>1192</v>
      </c>
      <c r="AM18" t="s">
        <v>162</v>
      </c>
      <c r="AN18" s="140">
        <v>2700</v>
      </c>
      <c r="AO18" s="140"/>
      <c r="AP18" t="s">
        <v>61</v>
      </c>
      <c r="AQ18" t="s">
        <v>61</v>
      </c>
      <c r="AR18" t="s">
        <v>61</v>
      </c>
      <c r="AS18" t="s">
        <v>61</v>
      </c>
      <c r="AT18" t="s">
        <v>61</v>
      </c>
      <c r="AU18" t="s">
        <v>61</v>
      </c>
      <c r="AV18" t="s">
        <v>61</v>
      </c>
      <c r="AW18" t="s">
        <v>61</v>
      </c>
      <c r="AX18" t="s">
        <v>61</v>
      </c>
      <c r="AY18" t="s">
        <v>61</v>
      </c>
      <c r="AZ18" t="s">
        <v>61</v>
      </c>
      <c r="BA18" t="s">
        <v>61</v>
      </c>
      <c r="BB18" t="s">
        <v>61</v>
      </c>
      <c r="BC18" t="s">
        <v>61</v>
      </c>
      <c r="BD18" t="s">
        <v>61</v>
      </c>
      <c r="BE18" t="s">
        <v>61</v>
      </c>
      <c r="BF18" t="s">
        <v>61</v>
      </c>
      <c r="BG18" t="s">
        <v>61</v>
      </c>
      <c r="BH18" t="s">
        <v>61</v>
      </c>
      <c r="BI18" t="s">
        <v>1398</v>
      </c>
      <c r="BJ18" t="s">
        <v>1398</v>
      </c>
      <c r="BK18" t="s">
        <v>61</v>
      </c>
      <c r="BL18" t="s">
        <v>61</v>
      </c>
      <c r="BM18" t="s">
        <v>61</v>
      </c>
      <c r="BN18" t="s">
        <v>61</v>
      </c>
      <c r="BO18" t="s">
        <v>61</v>
      </c>
      <c r="BP18" t="s">
        <v>1398</v>
      </c>
      <c r="BQ18" t="s">
        <v>1333</v>
      </c>
      <c r="BR18" t="s">
        <v>1398</v>
      </c>
    </row>
    <row r="19" spans="1:70" x14ac:dyDescent="0.3">
      <c r="A19" t="s">
        <v>1189</v>
      </c>
      <c r="B19" t="s">
        <v>446</v>
      </c>
      <c r="C19" t="s">
        <v>66</v>
      </c>
      <c r="D19" t="s">
        <v>299</v>
      </c>
      <c r="E19" t="s">
        <v>61</v>
      </c>
      <c r="F19" t="s">
        <v>74</v>
      </c>
      <c r="G19" t="s">
        <v>39</v>
      </c>
      <c r="H19" t="str">
        <f>IF('Infant dataset'!$AJ19&lt;=28,"Neonatal Death","Infant Death")</f>
        <v>Neonatal Death</v>
      </c>
      <c r="I19" t="s">
        <v>61</v>
      </c>
      <c r="J19" t="s">
        <v>61</v>
      </c>
      <c r="K19" t="s">
        <v>61</v>
      </c>
      <c r="L19" t="s">
        <v>61</v>
      </c>
      <c r="M19" t="s">
        <v>61</v>
      </c>
      <c r="N19" t="s">
        <v>61</v>
      </c>
      <c r="O19" t="s">
        <v>61</v>
      </c>
      <c r="P19" t="s">
        <v>61</v>
      </c>
      <c r="Q19" t="s">
        <v>61</v>
      </c>
      <c r="R19" t="s">
        <v>61</v>
      </c>
      <c r="S19" t="s">
        <v>61</v>
      </c>
      <c r="T19" t="s">
        <v>61</v>
      </c>
      <c r="U19" t="s">
        <v>61</v>
      </c>
      <c r="V19" t="s">
        <v>61</v>
      </c>
      <c r="W19" t="s">
        <v>61</v>
      </c>
      <c r="X19" t="s">
        <v>61</v>
      </c>
      <c r="Y19" t="s">
        <v>61</v>
      </c>
      <c r="Z19" t="s">
        <v>61</v>
      </c>
      <c r="AA19" t="s">
        <v>61</v>
      </c>
      <c r="AB19" t="s">
        <v>61</v>
      </c>
      <c r="AC19" t="s">
        <v>61</v>
      </c>
      <c r="AD19" t="s">
        <v>74</v>
      </c>
      <c r="AE19" t="s">
        <v>39</v>
      </c>
      <c r="AF19">
        <v>0</v>
      </c>
      <c r="AG19">
        <f>('Infant dataset'!$AF19 * 30)</f>
        <v>0</v>
      </c>
      <c r="AH19">
        <v>14</v>
      </c>
      <c r="AI19" t="s">
        <v>61</v>
      </c>
      <c r="AJ19">
        <f>'Infant dataset'!$AG19+'Infant dataset'!$AH19</f>
        <v>14</v>
      </c>
      <c r="AK19" t="str">
        <f>IF('Infant dataset'!$AJ19&lt;=28,"Neonatal Death","Infant Death")</f>
        <v>Neonatal Death</v>
      </c>
      <c r="AL19" t="s">
        <v>1193</v>
      </c>
      <c r="AM19" t="s">
        <v>1203</v>
      </c>
      <c r="AN19" s="140">
        <v>2850</v>
      </c>
      <c r="AO19" s="140"/>
      <c r="AP19" t="s">
        <v>61</v>
      </c>
      <c r="AQ19" t="s">
        <v>61</v>
      </c>
      <c r="AR19" t="s">
        <v>61</v>
      </c>
      <c r="AS19" t="s">
        <v>61</v>
      </c>
      <c r="AT19" t="s">
        <v>61</v>
      </c>
      <c r="AU19" t="s">
        <v>61</v>
      </c>
      <c r="AV19" t="s">
        <v>61</v>
      </c>
      <c r="AW19" t="s">
        <v>61</v>
      </c>
      <c r="AX19" t="s">
        <v>61</v>
      </c>
      <c r="AY19" t="s">
        <v>61</v>
      </c>
      <c r="AZ19" t="s">
        <v>61</v>
      </c>
      <c r="BA19" t="s">
        <v>61</v>
      </c>
      <c r="BB19" t="s">
        <v>61</v>
      </c>
      <c r="BC19" t="s">
        <v>1398</v>
      </c>
      <c r="BD19" t="s">
        <v>61</v>
      </c>
      <c r="BE19" t="s">
        <v>61</v>
      </c>
      <c r="BF19" t="s">
        <v>61</v>
      </c>
      <c r="BG19" t="s">
        <v>61</v>
      </c>
      <c r="BH19" t="s">
        <v>61</v>
      </c>
      <c r="BI19" t="s">
        <v>61</v>
      </c>
      <c r="BJ19" t="s">
        <v>61</v>
      </c>
      <c r="BK19" t="s">
        <v>61</v>
      </c>
      <c r="BL19" t="s">
        <v>61</v>
      </c>
      <c r="BM19" t="s">
        <v>61</v>
      </c>
      <c r="BN19" t="s">
        <v>61</v>
      </c>
      <c r="BO19" t="s">
        <v>61</v>
      </c>
      <c r="BP19" t="s">
        <v>1398</v>
      </c>
      <c r="BQ19" t="s">
        <v>1409</v>
      </c>
      <c r="BR19" t="s">
        <v>61</v>
      </c>
    </row>
    <row r="20" spans="1:70" x14ac:dyDescent="0.3">
      <c r="A20" t="s">
        <v>1190</v>
      </c>
      <c r="B20" t="s">
        <v>160</v>
      </c>
      <c r="C20" t="s">
        <v>40</v>
      </c>
      <c r="D20" t="s">
        <v>40</v>
      </c>
      <c r="E20" t="s">
        <v>1398</v>
      </c>
      <c r="F20" t="s">
        <v>74</v>
      </c>
      <c r="G20" t="s">
        <v>39</v>
      </c>
      <c r="H20" t="str">
        <f>IF('Infant dataset'!$AJ20&lt;=28,"Neonatal Death","Infant Death")</f>
        <v>Neonatal Death</v>
      </c>
      <c r="I20" t="s">
        <v>61</v>
      </c>
      <c r="J20" t="s">
        <v>61</v>
      </c>
      <c r="K20" t="s">
        <v>61</v>
      </c>
      <c r="L20" t="s">
        <v>61</v>
      </c>
      <c r="M20" t="s">
        <v>61</v>
      </c>
      <c r="N20" t="s">
        <v>61</v>
      </c>
      <c r="O20" t="s">
        <v>61</v>
      </c>
      <c r="P20" t="s">
        <v>61</v>
      </c>
      <c r="Q20" t="s">
        <v>61</v>
      </c>
      <c r="R20" t="s">
        <v>61</v>
      </c>
      <c r="S20" t="s">
        <v>61</v>
      </c>
      <c r="T20" t="s">
        <v>61</v>
      </c>
      <c r="U20" t="s">
        <v>61</v>
      </c>
      <c r="V20" t="s">
        <v>1398</v>
      </c>
      <c r="W20" t="s">
        <v>1398</v>
      </c>
      <c r="X20" t="s">
        <v>61</v>
      </c>
      <c r="Y20" t="s">
        <v>61</v>
      </c>
      <c r="Z20" t="s">
        <v>61</v>
      </c>
      <c r="AA20" t="s">
        <v>61</v>
      </c>
      <c r="AB20" t="s">
        <v>61</v>
      </c>
      <c r="AC20" t="s">
        <v>61</v>
      </c>
      <c r="AD20" t="s">
        <v>74</v>
      </c>
      <c r="AE20" t="s">
        <v>39</v>
      </c>
      <c r="AF20">
        <v>0</v>
      </c>
      <c r="AG20">
        <f>('Infant dataset'!$AF20 * 30)</f>
        <v>0</v>
      </c>
      <c r="AH20">
        <v>5</v>
      </c>
      <c r="AI20">
        <v>15</v>
      </c>
      <c r="AJ20">
        <f>'Infant dataset'!$AG20+'Infant dataset'!$AH20</f>
        <v>5</v>
      </c>
      <c r="AK20" t="str">
        <f>IF('Infant dataset'!$AJ20&lt;=28,"Neonatal Death","Infant Death")</f>
        <v>Neonatal Death</v>
      </c>
      <c r="AL20" t="s">
        <v>1332</v>
      </c>
      <c r="AM20" t="s">
        <v>162</v>
      </c>
      <c r="AN20" s="140">
        <v>3220</v>
      </c>
      <c r="AO20" s="140"/>
      <c r="AP20" t="s">
        <v>61</v>
      </c>
      <c r="AQ20" t="s">
        <v>61</v>
      </c>
      <c r="AR20" t="s">
        <v>61</v>
      </c>
      <c r="AS20" t="s">
        <v>61</v>
      </c>
      <c r="AT20" t="s">
        <v>61</v>
      </c>
      <c r="AU20" t="s">
        <v>61</v>
      </c>
      <c r="AV20" t="s">
        <v>61</v>
      </c>
      <c r="AW20" t="s">
        <v>61</v>
      </c>
      <c r="AX20" t="s">
        <v>61</v>
      </c>
      <c r="AY20" t="s">
        <v>61</v>
      </c>
      <c r="AZ20" t="s">
        <v>61</v>
      </c>
      <c r="BA20" t="s">
        <v>61</v>
      </c>
      <c r="BB20" t="s">
        <v>61</v>
      </c>
      <c r="BC20" t="s">
        <v>61</v>
      </c>
      <c r="BD20" t="s">
        <v>61</v>
      </c>
      <c r="BE20" t="s">
        <v>61</v>
      </c>
      <c r="BF20" t="s">
        <v>61</v>
      </c>
      <c r="BG20" t="s">
        <v>61</v>
      </c>
      <c r="BH20" t="s">
        <v>61</v>
      </c>
      <c r="BI20" t="s">
        <v>61</v>
      </c>
      <c r="BJ20" t="s">
        <v>61</v>
      </c>
      <c r="BK20" t="s">
        <v>61</v>
      </c>
      <c r="BL20" t="s">
        <v>61</v>
      </c>
      <c r="BM20" t="s">
        <v>61</v>
      </c>
      <c r="BN20" t="s">
        <v>61</v>
      </c>
      <c r="BO20" t="s">
        <v>61</v>
      </c>
      <c r="BP20" t="s">
        <v>1398</v>
      </c>
      <c r="BQ20" t="s">
        <v>1339</v>
      </c>
      <c r="BR20" t="s">
        <v>61</v>
      </c>
    </row>
    <row r="21" spans="1:70" x14ac:dyDescent="0.3">
      <c r="A21" t="s">
        <v>1190</v>
      </c>
      <c r="B21" t="s">
        <v>513</v>
      </c>
      <c r="C21" t="s">
        <v>66</v>
      </c>
      <c r="D21" t="s">
        <v>462</v>
      </c>
      <c r="E21" t="s">
        <v>1398</v>
      </c>
      <c r="F21" t="s">
        <v>74</v>
      </c>
      <c r="G21" t="s">
        <v>39</v>
      </c>
      <c r="H21" t="str">
        <f>IF('Infant dataset'!$AJ21&lt;=28,"Neonatal Death","Infant Death")</f>
        <v>Neonatal Death</v>
      </c>
      <c r="I21" t="s">
        <v>61</v>
      </c>
      <c r="J21" t="s">
        <v>61</v>
      </c>
      <c r="K21" t="s">
        <v>61</v>
      </c>
      <c r="L21" t="s">
        <v>61</v>
      </c>
      <c r="M21" t="s">
        <v>61</v>
      </c>
      <c r="N21" t="s">
        <v>61</v>
      </c>
      <c r="O21" t="s">
        <v>61</v>
      </c>
      <c r="P21" t="s">
        <v>61</v>
      </c>
      <c r="Q21" t="s">
        <v>61</v>
      </c>
      <c r="R21" t="s">
        <v>61</v>
      </c>
      <c r="S21" t="s">
        <v>61</v>
      </c>
      <c r="T21" t="s">
        <v>61</v>
      </c>
      <c r="U21" t="s">
        <v>61</v>
      </c>
      <c r="V21" t="s">
        <v>61</v>
      </c>
      <c r="W21" t="s">
        <v>61</v>
      </c>
      <c r="X21" t="s">
        <v>61</v>
      </c>
      <c r="Y21" t="s">
        <v>61</v>
      </c>
      <c r="Z21" t="s">
        <v>61</v>
      </c>
      <c r="AA21" t="s">
        <v>61</v>
      </c>
      <c r="AB21" t="s">
        <v>1398</v>
      </c>
      <c r="AC21" t="s">
        <v>61</v>
      </c>
      <c r="AD21" t="s">
        <v>74</v>
      </c>
      <c r="AE21" t="s">
        <v>39</v>
      </c>
      <c r="AF21">
        <v>0</v>
      </c>
      <c r="AG21">
        <f>('Infant dataset'!$AF21 * 30)</f>
        <v>0</v>
      </c>
      <c r="AH21">
        <v>7</v>
      </c>
      <c r="AI21" t="s">
        <v>61</v>
      </c>
      <c r="AJ21">
        <f>'Infant dataset'!$AG21+'Infant dataset'!$AH21</f>
        <v>7</v>
      </c>
      <c r="AK21" t="str">
        <f>IF('Infant dataset'!$AJ21&lt;=28,"Neonatal Death","Infant Death")</f>
        <v>Neonatal Death</v>
      </c>
      <c r="AL21" t="s">
        <v>1193</v>
      </c>
      <c r="AM21" t="s">
        <v>1193</v>
      </c>
      <c r="AN21" s="140">
        <v>1560</v>
      </c>
      <c r="AO21" s="140"/>
      <c r="AP21" t="s">
        <v>1398</v>
      </c>
      <c r="AQ21" t="s">
        <v>61</v>
      </c>
      <c r="AR21" t="s">
        <v>61</v>
      </c>
      <c r="AS21" t="s">
        <v>1398</v>
      </c>
      <c r="AT21" t="s">
        <v>61</v>
      </c>
      <c r="AU21" t="s">
        <v>61</v>
      </c>
      <c r="AV21" t="s">
        <v>61</v>
      </c>
      <c r="AW21" t="s">
        <v>61</v>
      </c>
      <c r="AX21" t="s">
        <v>61</v>
      </c>
      <c r="AY21" t="s">
        <v>61</v>
      </c>
      <c r="AZ21" t="s">
        <v>61</v>
      </c>
      <c r="BA21" t="s">
        <v>61</v>
      </c>
      <c r="BB21" t="s">
        <v>61</v>
      </c>
      <c r="BC21" t="s">
        <v>61</v>
      </c>
      <c r="BD21" t="s">
        <v>61</v>
      </c>
      <c r="BE21" t="s">
        <v>61</v>
      </c>
      <c r="BF21" t="s">
        <v>61</v>
      </c>
      <c r="BG21" t="s">
        <v>61</v>
      </c>
      <c r="BH21" t="s">
        <v>61</v>
      </c>
      <c r="BI21" t="s">
        <v>61</v>
      </c>
      <c r="BJ21" t="s">
        <v>61</v>
      </c>
      <c r="BK21" t="s">
        <v>61</v>
      </c>
      <c r="BL21" t="s">
        <v>61</v>
      </c>
      <c r="BM21" t="s">
        <v>61</v>
      </c>
      <c r="BN21" t="s">
        <v>61</v>
      </c>
      <c r="BO21" t="s">
        <v>61</v>
      </c>
      <c r="BP21" t="s">
        <v>61</v>
      </c>
      <c r="BQ21" t="s">
        <v>61</v>
      </c>
      <c r="BR21" t="s">
        <v>1398</v>
      </c>
    </row>
    <row r="22" spans="1:70" x14ac:dyDescent="0.3">
      <c r="A22" t="s">
        <v>1190</v>
      </c>
      <c r="B22" t="s">
        <v>157</v>
      </c>
      <c r="C22" t="s">
        <v>66</v>
      </c>
      <c r="D22" t="s">
        <v>1093</v>
      </c>
      <c r="E22" t="s">
        <v>1398</v>
      </c>
      <c r="F22" t="s">
        <v>48</v>
      </c>
      <c r="G22" t="s">
        <v>39</v>
      </c>
      <c r="H22" t="str">
        <f>IF('Infant dataset'!$AJ22&lt;=28,"Neonatal Death","Infant Death")</f>
        <v>Neonatal Death</v>
      </c>
      <c r="I22" t="s">
        <v>61</v>
      </c>
      <c r="J22" t="s">
        <v>61</v>
      </c>
      <c r="K22" t="s">
        <v>61</v>
      </c>
      <c r="L22" t="s">
        <v>61</v>
      </c>
      <c r="M22" s="117" t="s">
        <v>61</v>
      </c>
      <c r="N22" s="117" t="s">
        <v>1398</v>
      </c>
      <c r="O22" s="117" t="s">
        <v>61</v>
      </c>
      <c r="P22" t="s">
        <v>61</v>
      </c>
      <c r="Q22" t="s">
        <v>61</v>
      </c>
      <c r="R22" t="s">
        <v>61</v>
      </c>
      <c r="S22" t="s">
        <v>61</v>
      </c>
      <c r="T22" t="s">
        <v>61</v>
      </c>
      <c r="U22" t="s">
        <v>61</v>
      </c>
      <c r="V22" t="s">
        <v>1398</v>
      </c>
      <c r="W22" t="s">
        <v>1398</v>
      </c>
      <c r="X22" t="s">
        <v>61</v>
      </c>
      <c r="Y22" t="s">
        <v>61</v>
      </c>
      <c r="Z22" t="s">
        <v>1398</v>
      </c>
      <c r="AA22" t="s">
        <v>61</v>
      </c>
      <c r="AB22" t="s">
        <v>61</v>
      </c>
      <c r="AC22" t="s">
        <v>61</v>
      </c>
      <c r="AD22" t="s">
        <v>48</v>
      </c>
      <c r="AE22" t="s">
        <v>39</v>
      </c>
      <c r="AF22">
        <v>0</v>
      </c>
      <c r="AG22">
        <f>('Infant dataset'!$AF22 * 30)</f>
        <v>0</v>
      </c>
      <c r="AH22">
        <v>1</v>
      </c>
      <c r="AI22" t="s">
        <v>61</v>
      </c>
      <c r="AJ22">
        <f>'Infant dataset'!$AG22+'Infant dataset'!$AH22</f>
        <v>1</v>
      </c>
      <c r="AK22" t="str">
        <f>IF('Infant dataset'!$AJ22&lt;=28,"Neonatal Death","Infant Death")</f>
        <v>Neonatal Death</v>
      </c>
      <c r="AL22" t="s">
        <v>1193</v>
      </c>
      <c r="AM22" t="s">
        <v>1193</v>
      </c>
      <c r="AN22" s="140">
        <v>1100</v>
      </c>
      <c r="AO22" s="140"/>
      <c r="AP22" t="s">
        <v>1398</v>
      </c>
      <c r="AQ22" t="s">
        <v>61</v>
      </c>
      <c r="AR22" t="s">
        <v>1398</v>
      </c>
      <c r="AS22" t="s">
        <v>61</v>
      </c>
      <c r="AT22" t="s">
        <v>61</v>
      </c>
      <c r="AU22" t="s">
        <v>61</v>
      </c>
      <c r="AV22" t="s">
        <v>61</v>
      </c>
      <c r="AW22" t="s">
        <v>61</v>
      </c>
      <c r="AX22" t="s">
        <v>61</v>
      </c>
      <c r="AY22" t="s">
        <v>61</v>
      </c>
      <c r="AZ22" t="s">
        <v>61</v>
      </c>
      <c r="BA22" t="s">
        <v>61</v>
      </c>
      <c r="BB22" t="s">
        <v>1398</v>
      </c>
      <c r="BC22" t="s">
        <v>61</v>
      </c>
      <c r="BD22" t="s">
        <v>61</v>
      </c>
      <c r="BE22" t="s">
        <v>61</v>
      </c>
      <c r="BF22" t="s">
        <v>61</v>
      </c>
      <c r="BG22" t="s">
        <v>61</v>
      </c>
      <c r="BH22" t="s">
        <v>61</v>
      </c>
      <c r="BI22" t="s">
        <v>61</v>
      </c>
      <c r="BJ22" t="s">
        <v>61</v>
      </c>
      <c r="BK22" t="s">
        <v>61</v>
      </c>
      <c r="BL22" t="s">
        <v>61</v>
      </c>
      <c r="BM22" t="s">
        <v>61</v>
      </c>
      <c r="BN22" t="s">
        <v>61</v>
      </c>
      <c r="BO22" t="s">
        <v>61</v>
      </c>
      <c r="BP22" t="s">
        <v>1398</v>
      </c>
      <c r="BQ22" t="s">
        <v>1341</v>
      </c>
      <c r="BR22" t="s">
        <v>61</v>
      </c>
    </row>
    <row r="23" spans="1:70" x14ac:dyDescent="0.3">
      <c r="A23" t="s">
        <v>1190</v>
      </c>
      <c r="B23" t="s">
        <v>1142</v>
      </c>
      <c r="C23" t="s">
        <v>66</v>
      </c>
      <c r="D23" t="s">
        <v>231</v>
      </c>
      <c r="E23" t="s">
        <v>1398</v>
      </c>
      <c r="F23" t="s">
        <v>48</v>
      </c>
      <c r="G23" t="s">
        <v>39</v>
      </c>
      <c r="H23" t="str">
        <f>IF('Infant dataset'!$AJ23&lt;=28,"Neonatal Death","Infant Death")</f>
        <v>Neonatal Death</v>
      </c>
      <c r="I23" t="s">
        <v>61</v>
      </c>
      <c r="J23" t="s">
        <v>61</v>
      </c>
      <c r="K23" t="s">
        <v>61</v>
      </c>
      <c r="L23" t="s">
        <v>61</v>
      </c>
      <c r="M23" t="s">
        <v>61</v>
      </c>
      <c r="N23" t="s">
        <v>61</v>
      </c>
      <c r="O23" t="s">
        <v>61</v>
      </c>
      <c r="P23" t="s">
        <v>61</v>
      </c>
      <c r="Q23" t="s">
        <v>61</v>
      </c>
      <c r="R23" t="s">
        <v>61</v>
      </c>
      <c r="S23" t="s">
        <v>61</v>
      </c>
      <c r="T23" t="s">
        <v>61</v>
      </c>
      <c r="U23" t="s">
        <v>61</v>
      </c>
      <c r="V23" t="s">
        <v>61</v>
      </c>
      <c r="W23" t="s">
        <v>61</v>
      </c>
      <c r="X23" t="s">
        <v>61</v>
      </c>
      <c r="Y23" t="s">
        <v>61</v>
      </c>
      <c r="Z23" t="s">
        <v>61</v>
      </c>
      <c r="AA23" t="s">
        <v>61</v>
      </c>
      <c r="AB23" t="s">
        <v>1398</v>
      </c>
      <c r="AC23" t="s">
        <v>61</v>
      </c>
      <c r="AD23" t="s">
        <v>48</v>
      </c>
      <c r="AE23" t="s">
        <v>39</v>
      </c>
      <c r="AF23">
        <v>0</v>
      </c>
      <c r="AG23">
        <f>('Infant dataset'!$AF23 * 30)</f>
        <v>0</v>
      </c>
      <c r="AH23">
        <v>1</v>
      </c>
      <c r="AI23" t="s">
        <v>61</v>
      </c>
      <c r="AJ23">
        <f>'Infant dataset'!$AG23+'Infant dataset'!$AH23</f>
        <v>1</v>
      </c>
      <c r="AK23" t="str">
        <f>IF('Infant dataset'!$AJ23&lt;=28,"Neonatal Death","Infant Death")</f>
        <v>Neonatal Death</v>
      </c>
      <c r="AL23" t="s">
        <v>1203</v>
      </c>
      <c r="AM23" t="s">
        <v>1203</v>
      </c>
      <c r="AN23" s="140">
        <v>530</v>
      </c>
      <c r="AO23" s="140"/>
      <c r="AP23" t="s">
        <v>1398</v>
      </c>
      <c r="AQ23" t="s">
        <v>1398</v>
      </c>
      <c r="AR23" t="s">
        <v>61</v>
      </c>
      <c r="AS23" t="s">
        <v>61</v>
      </c>
      <c r="AT23" t="s">
        <v>61</v>
      </c>
      <c r="AU23" t="s">
        <v>61</v>
      </c>
      <c r="AV23" t="s">
        <v>61</v>
      </c>
      <c r="AW23" t="s">
        <v>61</v>
      </c>
      <c r="AX23" t="s">
        <v>61</v>
      </c>
      <c r="AY23" t="s">
        <v>61</v>
      </c>
      <c r="AZ23" t="s">
        <v>61</v>
      </c>
      <c r="BA23" t="s">
        <v>61</v>
      </c>
      <c r="BB23" t="s">
        <v>1398</v>
      </c>
      <c r="BC23" t="s">
        <v>61</v>
      </c>
      <c r="BD23" t="s">
        <v>61</v>
      </c>
      <c r="BE23" t="s">
        <v>61</v>
      </c>
      <c r="BF23" t="s">
        <v>61</v>
      </c>
      <c r="BG23" t="s">
        <v>61</v>
      </c>
      <c r="BH23" t="s">
        <v>61</v>
      </c>
      <c r="BI23" t="s">
        <v>61</v>
      </c>
      <c r="BJ23" t="s">
        <v>61</v>
      </c>
      <c r="BK23" t="s">
        <v>61</v>
      </c>
      <c r="BL23" t="s">
        <v>61</v>
      </c>
      <c r="BM23" t="s">
        <v>61</v>
      </c>
      <c r="BN23" t="s">
        <v>61</v>
      </c>
      <c r="BO23" t="s">
        <v>61</v>
      </c>
      <c r="BP23" t="s">
        <v>61</v>
      </c>
      <c r="BQ23" t="s">
        <v>61</v>
      </c>
      <c r="BR23" t="s">
        <v>61</v>
      </c>
    </row>
    <row r="24" spans="1:70" x14ac:dyDescent="0.3">
      <c r="A24" t="s">
        <v>1189</v>
      </c>
      <c r="B24" t="s">
        <v>1316</v>
      </c>
      <c r="C24" t="s">
        <v>40</v>
      </c>
      <c r="D24" t="s">
        <v>40</v>
      </c>
      <c r="E24" t="s">
        <v>1398</v>
      </c>
      <c r="F24" t="s">
        <v>74</v>
      </c>
      <c r="G24" t="s">
        <v>39</v>
      </c>
      <c r="H24" t="str">
        <f>IF('Infant dataset'!$AJ24&lt;=28,"Neonatal Death","Infant Death")</f>
        <v>Neonatal Death</v>
      </c>
      <c r="I24" t="s">
        <v>61</v>
      </c>
      <c r="J24" t="s">
        <v>61</v>
      </c>
      <c r="K24" t="s">
        <v>61</v>
      </c>
      <c r="L24" t="s">
        <v>61</v>
      </c>
      <c r="M24" t="s">
        <v>61</v>
      </c>
      <c r="N24" t="s">
        <v>61</v>
      </c>
      <c r="O24" t="s">
        <v>61</v>
      </c>
      <c r="P24" t="s">
        <v>61</v>
      </c>
      <c r="Q24" t="s">
        <v>1398</v>
      </c>
      <c r="R24" t="s">
        <v>61</v>
      </c>
      <c r="S24" t="s">
        <v>61</v>
      </c>
      <c r="T24" t="s">
        <v>61</v>
      </c>
      <c r="U24" t="s">
        <v>61</v>
      </c>
      <c r="V24" t="s">
        <v>1398</v>
      </c>
      <c r="W24" t="s">
        <v>61</v>
      </c>
      <c r="X24" t="s">
        <v>61</v>
      </c>
      <c r="Y24" t="s">
        <v>61</v>
      </c>
      <c r="Z24" t="s">
        <v>61</v>
      </c>
      <c r="AA24" t="s">
        <v>61</v>
      </c>
      <c r="AB24" t="s">
        <v>61</v>
      </c>
      <c r="AC24" t="s">
        <v>61</v>
      </c>
      <c r="AD24" t="s">
        <v>74</v>
      </c>
      <c r="AE24" t="s">
        <v>39</v>
      </c>
      <c r="AF24">
        <v>0</v>
      </c>
      <c r="AG24">
        <f>('Infant dataset'!$AF24 * 30)</f>
        <v>0</v>
      </c>
      <c r="AH24">
        <v>9</v>
      </c>
      <c r="AI24" t="s">
        <v>61</v>
      </c>
      <c r="AJ24">
        <f>'Infant dataset'!$AG24+'Infant dataset'!$AH24</f>
        <v>9</v>
      </c>
      <c r="AK24" t="str">
        <f>IF('Infant dataset'!$AJ24&lt;=28,"Neonatal Death","Infant Death")</f>
        <v>Neonatal Death</v>
      </c>
      <c r="AL24" t="s">
        <v>1192</v>
      </c>
      <c r="AM24" t="s">
        <v>1193</v>
      </c>
      <c r="AN24" s="140">
        <v>800</v>
      </c>
      <c r="AO24" s="140"/>
      <c r="AP24" t="s">
        <v>1398</v>
      </c>
      <c r="AQ24" t="s">
        <v>1398</v>
      </c>
      <c r="AR24" t="s">
        <v>61</v>
      </c>
      <c r="AS24" t="s">
        <v>61</v>
      </c>
      <c r="AT24" t="s">
        <v>61</v>
      </c>
      <c r="AU24" t="s">
        <v>61</v>
      </c>
      <c r="AV24" t="s">
        <v>61</v>
      </c>
      <c r="AW24" t="s">
        <v>61</v>
      </c>
      <c r="AX24" t="s">
        <v>61</v>
      </c>
      <c r="AY24" t="s">
        <v>61</v>
      </c>
      <c r="AZ24" t="s">
        <v>61</v>
      </c>
      <c r="BA24" t="s">
        <v>61</v>
      </c>
      <c r="BB24" t="s">
        <v>61</v>
      </c>
      <c r="BC24" t="s">
        <v>61</v>
      </c>
      <c r="BD24" t="s">
        <v>61</v>
      </c>
      <c r="BE24" t="s">
        <v>61</v>
      </c>
      <c r="BF24" t="s">
        <v>61</v>
      </c>
      <c r="BG24" t="s">
        <v>61</v>
      </c>
      <c r="BH24" t="s">
        <v>61</v>
      </c>
      <c r="BI24" t="s">
        <v>61</v>
      </c>
      <c r="BJ24" t="s">
        <v>61</v>
      </c>
      <c r="BK24" t="s">
        <v>61</v>
      </c>
      <c r="BL24" t="s">
        <v>61</v>
      </c>
      <c r="BM24" t="s">
        <v>61</v>
      </c>
      <c r="BN24" t="s">
        <v>61</v>
      </c>
      <c r="BO24" t="s">
        <v>61</v>
      </c>
      <c r="BP24" t="s">
        <v>61</v>
      </c>
      <c r="BQ24" t="s">
        <v>61</v>
      </c>
      <c r="BR24" t="s">
        <v>61</v>
      </c>
    </row>
    <row r="25" spans="1:70" x14ac:dyDescent="0.3">
      <c r="A25" t="s">
        <v>1189</v>
      </c>
      <c r="B25" t="s">
        <v>732</v>
      </c>
      <c r="C25" t="s">
        <v>66</v>
      </c>
      <c r="D25" t="s">
        <v>65</v>
      </c>
      <c r="E25" t="s">
        <v>1398</v>
      </c>
      <c r="F25" t="s">
        <v>74</v>
      </c>
      <c r="G25" t="s">
        <v>89</v>
      </c>
      <c r="H25" t="str">
        <f>IF('Infant dataset'!$AJ25&lt;=28,"Neonatal Death","Infant Death")</f>
        <v>Neonatal Death</v>
      </c>
      <c r="I25" t="s">
        <v>61</v>
      </c>
      <c r="J25" t="s">
        <v>61</v>
      </c>
      <c r="K25" t="s">
        <v>1398</v>
      </c>
      <c r="L25" t="s">
        <v>61</v>
      </c>
      <c r="M25" t="s">
        <v>61</v>
      </c>
      <c r="N25" t="s">
        <v>61</v>
      </c>
      <c r="O25" t="s">
        <v>61</v>
      </c>
      <c r="P25" t="s">
        <v>61</v>
      </c>
      <c r="Q25" t="s">
        <v>61</v>
      </c>
      <c r="R25" t="s">
        <v>61</v>
      </c>
      <c r="S25" t="s">
        <v>61</v>
      </c>
      <c r="T25" t="s">
        <v>61</v>
      </c>
      <c r="U25" t="s">
        <v>61</v>
      </c>
      <c r="V25" t="s">
        <v>61</v>
      </c>
      <c r="W25" t="s">
        <v>61</v>
      </c>
      <c r="X25" t="s">
        <v>61</v>
      </c>
      <c r="Y25" t="s">
        <v>61</v>
      </c>
      <c r="Z25" t="s">
        <v>61</v>
      </c>
      <c r="AA25" t="s">
        <v>61</v>
      </c>
      <c r="AB25" t="s">
        <v>61</v>
      </c>
      <c r="AC25" t="s">
        <v>61</v>
      </c>
      <c r="AD25" t="s">
        <v>74</v>
      </c>
      <c r="AE25" t="s">
        <v>89</v>
      </c>
      <c r="AF25">
        <v>0</v>
      </c>
      <c r="AG25">
        <f>('Infant dataset'!$AF25 * 30)</f>
        <v>0</v>
      </c>
      <c r="AH25">
        <v>3</v>
      </c>
      <c r="AI25" t="s">
        <v>61</v>
      </c>
      <c r="AJ25">
        <f>'Infant dataset'!$AG25+'Infant dataset'!$AH25</f>
        <v>3</v>
      </c>
      <c r="AK25" t="str">
        <f>IF('Infant dataset'!$AJ25&lt;=28,"Neonatal Death","Infant Death")</f>
        <v>Neonatal Death</v>
      </c>
      <c r="AL25" t="s">
        <v>1193</v>
      </c>
      <c r="AM25" t="s">
        <v>1193</v>
      </c>
      <c r="AN25" s="140">
        <v>1360</v>
      </c>
      <c r="AO25" s="140"/>
      <c r="AP25" t="s">
        <v>1398</v>
      </c>
      <c r="AQ25" t="s">
        <v>61</v>
      </c>
      <c r="AR25" t="s">
        <v>1398</v>
      </c>
      <c r="AS25" t="s">
        <v>61</v>
      </c>
      <c r="AT25" t="s">
        <v>61</v>
      </c>
      <c r="AU25" t="s">
        <v>61</v>
      </c>
      <c r="AV25" t="s">
        <v>61</v>
      </c>
      <c r="AW25" t="s">
        <v>61</v>
      </c>
      <c r="AX25" t="s">
        <v>61</v>
      </c>
      <c r="AY25" t="s">
        <v>61</v>
      </c>
      <c r="AZ25" t="s">
        <v>61</v>
      </c>
      <c r="BA25" t="s">
        <v>1398</v>
      </c>
      <c r="BB25" t="s">
        <v>61</v>
      </c>
      <c r="BC25" t="s">
        <v>61</v>
      </c>
      <c r="BD25" t="s">
        <v>61</v>
      </c>
      <c r="BE25" t="s">
        <v>61</v>
      </c>
      <c r="BF25" t="s">
        <v>61</v>
      </c>
      <c r="BG25" t="s">
        <v>61</v>
      </c>
      <c r="BH25" t="s">
        <v>61</v>
      </c>
      <c r="BI25" t="s">
        <v>61</v>
      </c>
      <c r="BJ25" t="s">
        <v>61</v>
      </c>
      <c r="BK25" t="s">
        <v>61</v>
      </c>
      <c r="BL25" t="s">
        <v>61</v>
      </c>
      <c r="BM25" t="s">
        <v>61</v>
      </c>
      <c r="BN25" t="s">
        <v>61</v>
      </c>
      <c r="BO25" t="s">
        <v>61</v>
      </c>
      <c r="BP25" t="s">
        <v>61</v>
      </c>
      <c r="BQ25" t="s">
        <v>61</v>
      </c>
      <c r="BR25" t="s">
        <v>1398</v>
      </c>
    </row>
    <row r="26" spans="1:70" x14ac:dyDescent="0.3">
      <c r="A26" t="s">
        <v>1190</v>
      </c>
      <c r="B26" t="s">
        <v>1317</v>
      </c>
      <c r="C26" t="s">
        <v>66</v>
      </c>
      <c r="D26" t="s">
        <v>1239</v>
      </c>
      <c r="E26" t="s">
        <v>1398</v>
      </c>
      <c r="F26" t="s">
        <v>74</v>
      </c>
      <c r="G26" t="s">
        <v>89</v>
      </c>
      <c r="H26" t="str">
        <f>IF('Infant dataset'!$AJ26&lt;=28,"Neonatal Death","Infant Death")</f>
        <v>Neonatal Death</v>
      </c>
      <c r="I26" t="s">
        <v>61</v>
      </c>
      <c r="J26" t="s">
        <v>61</v>
      </c>
      <c r="K26" t="s">
        <v>61</v>
      </c>
      <c r="L26" t="s">
        <v>61</v>
      </c>
      <c r="M26" t="s">
        <v>61</v>
      </c>
      <c r="N26" t="s">
        <v>61</v>
      </c>
      <c r="O26" t="s">
        <v>61</v>
      </c>
      <c r="P26" t="s">
        <v>61</v>
      </c>
      <c r="Q26" t="s">
        <v>61</v>
      </c>
      <c r="R26" t="s">
        <v>61</v>
      </c>
      <c r="S26" t="s">
        <v>61</v>
      </c>
      <c r="T26" t="s">
        <v>61</v>
      </c>
      <c r="U26" t="s">
        <v>61</v>
      </c>
      <c r="V26" t="s">
        <v>61</v>
      </c>
      <c r="W26" t="s">
        <v>61</v>
      </c>
      <c r="X26" t="s">
        <v>61</v>
      </c>
      <c r="Y26" t="s">
        <v>61</v>
      </c>
      <c r="Z26" t="s">
        <v>61</v>
      </c>
      <c r="AA26" t="s">
        <v>61</v>
      </c>
      <c r="AB26" t="s">
        <v>1398</v>
      </c>
      <c r="AC26" t="s">
        <v>61</v>
      </c>
      <c r="AD26" t="s">
        <v>74</v>
      </c>
      <c r="AE26" t="s">
        <v>89</v>
      </c>
      <c r="AF26">
        <v>0</v>
      </c>
      <c r="AG26">
        <f>('Infant dataset'!$AF26 * 30)</f>
        <v>0</v>
      </c>
      <c r="AH26">
        <v>4</v>
      </c>
      <c r="AI26" t="s">
        <v>61</v>
      </c>
      <c r="AJ26">
        <f>'Infant dataset'!$AG26+'Infant dataset'!$AH26</f>
        <v>4</v>
      </c>
      <c r="AK26" t="str">
        <f>IF('Infant dataset'!$AJ26&lt;=28,"Neonatal Death","Infant Death")</f>
        <v>Neonatal Death</v>
      </c>
      <c r="AL26" t="s">
        <v>1193</v>
      </c>
      <c r="AM26" t="s">
        <v>1193</v>
      </c>
      <c r="AN26" s="140">
        <v>990</v>
      </c>
      <c r="AO26" s="140"/>
      <c r="AP26" t="s">
        <v>1398</v>
      </c>
      <c r="AQ26" t="s">
        <v>1398</v>
      </c>
      <c r="AR26" t="s">
        <v>61</v>
      </c>
      <c r="AS26" t="s">
        <v>61</v>
      </c>
      <c r="AT26" t="s">
        <v>61</v>
      </c>
      <c r="AU26" t="s">
        <v>61</v>
      </c>
      <c r="AV26" t="s">
        <v>61</v>
      </c>
      <c r="AW26" t="s">
        <v>61</v>
      </c>
      <c r="AX26" t="s">
        <v>61</v>
      </c>
      <c r="AY26" t="s">
        <v>61</v>
      </c>
      <c r="AZ26" t="s">
        <v>61</v>
      </c>
      <c r="BA26" t="s">
        <v>61</v>
      </c>
      <c r="BB26" t="s">
        <v>61</v>
      </c>
      <c r="BC26" t="s">
        <v>61</v>
      </c>
      <c r="BD26" t="s">
        <v>61</v>
      </c>
      <c r="BE26" t="s">
        <v>61</v>
      </c>
      <c r="BF26" t="s">
        <v>61</v>
      </c>
      <c r="BG26" t="s">
        <v>61</v>
      </c>
      <c r="BH26" t="s">
        <v>61</v>
      </c>
      <c r="BI26" t="s">
        <v>61</v>
      </c>
      <c r="BJ26" t="s">
        <v>61</v>
      </c>
      <c r="BK26" t="s">
        <v>61</v>
      </c>
      <c r="BL26" t="s">
        <v>61</v>
      </c>
      <c r="BM26" t="s">
        <v>61</v>
      </c>
      <c r="BN26" t="s">
        <v>61</v>
      </c>
      <c r="BO26" t="s">
        <v>61</v>
      </c>
      <c r="BP26" t="s">
        <v>61</v>
      </c>
      <c r="BQ26" t="s">
        <v>61</v>
      </c>
      <c r="BR26" t="s">
        <v>61</v>
      </c>
    </row>
    <row r="27" spans="1:70" x14ac:dyDescent="0.3">
      <c r="A27" t="s">
        <v>1190</v>
      </c>
      <c r="B27" t="s">
        <v>1318</v>
      </c>
      <c r="C27" t="s">
        <v>66</v>
      </c>
      <c r="D27" t="s">
        <v>462</v>
      </c>
      <c r="E27" t="s">
        <v>1398</v>
      </c>
      <c r="F27" t="s">
        <v>74</v>
      </c>
      <c r="G27" t="s">
        <v>39</v>
      </c>
      <c r="H27" t="str">
        <f>IF('Infant dataset'!$AJ27&lt;=28,"Neonatal Death","Infant Death")</f>
        <v>Infant Death</v>
      </c>
      <c r="I27" t="s">
        <v>61</v>
      </c>
      <c r="J27" t="s">
        <v>61</v>
      </c>
      <c r="K27" t="s">
        <v>61</v>
      </c>
      <c r="L27" t="s">
        <v>61</v>
      </c>
      <c r="M27" t="s">
        <v>61</v>
      </c>
      <c r="N27" t="s">
        <v>61</v>
      </c>
      <c r="O27" t="s">
        <v>61</v>
      </c>
      <c r="P27" t="s">
        <v>1398</v>
      </c>
      <c r="Q27" t="s">
        <v>61</v>
      </c>
      <c r="R27" t="s">
        <v>61</v>
      </c>
      <c r="S27" t="s">
        <v>61</v>
      </c>
      <c r="T27" t="s">
        <v>61</v>
      </c>
      <c r="U27" t="s">
        <v>61</v>
      </c>
      <c r="V27" t="s">
        <v>61</v>
      </c>
      <c r="W27" t="s">
        <v>61</v>
      </c>
      <c r="X27" t="s">
        <v>61</v>
      </c>
      <c r="Y27" t="s">
        <v>61</v>
      </c>
      <c r="Z27" t="s">
        <v>61</v>
      </c>
      <c r="AA27" t="s">
        <v>61</v>
      </c>
      <c r="AB27" t="s">
        <v>61</v>
      </c>
      <c r="AC27" t="s">
        <v>61</v>
      </c>
      <c r="AD27" t="s">
        <v>74</v>
      </c>
      <c r="AE27" t="s">
        <v>39</v>
      </c>
      <c r="AF27">
        <v>2</v>
      </c>
      <c r="AG27">
        <f>('Infant dataset'!$AF27 * 30)</f>
        <v>60</v>
      </c>
      <c r="AH27">
        <v>10</v>
      </c>
      <c r="AI27" t="s">
        <v>61</v>
      </c>
      <c r="AJ27">
        <f>'Infant dataset'!$AG27+'Infant dataset'!$AH27</f>
        <v>70</v>
      </c>
      <c r="AK27" t="str">
        <f>IF('Infant dataset'!$AJ27&lt;=28,"Neonatal Death","Infant Death")</f>
        <v>Infant Death</v>
      </c>
      <c r="AL27" t="s">
        <v>1193</v>
      </c>
      <c r="AM27" t="s">
        <v>1194</v>
      </c>
      <c r="AN27" s="140">
        <v>2800</v>
      </c>
      <c r="AO27" s="140"/>
      <c r="AP27" t="s">
        <v>61</v>
      </c>
      <c r="AQ27" t="s">
        <v>61</v>
      </c>
      <c r="AR27" t="s">
        <v>61</v>
      </c>
      <c r="AS27" t="s">
        <v>61</v>
      </c>
      <c r="AT27" t="s">
        <v>61</v>
      </c>
      <c r="AU27" t="s">
        <v>61</v>
      </c>
      <c r="AV27" t="s">
        <v>61</v>
      </c>
      <c r="AW27" t="s">
        <v>61</v>
      </c>
      <c r="AX27" t="s">
        <v>61</v>
      </c>
      <c r="AY27" t="s">
        <v>61</v>
      </c>
      <c r="AZ27" t="s">
        <v>61</v>
      </c>
      <c r="BA27" t="s">
        <v>61</v>
      </c>
      <c r="BB27" t="s">
        <v>61</v>
      </c>
      <c r="BC27" t="s">
        <v>61</v>
      </c>
      <c r="BD27" t="s">
        <v>61</v>
      </c>
      <c r="BE27" t="s">
        <v>61</v>
      </c>
      <c r="BF27" t="s">
        <v>61</v>
      </c>
      <c r="BG27" t="s">
        <v>61</v>
      </c>
      <c r="BH27" t="s">
        <v>61</v>
      </c>
      <c r="BI27" t="s">
        <v>61</v>
      </c>
      <c r="BJ27" t="s">
        <v>61</v>
      </c>
      <c r="BK27" t="s">
        <v>61</v>
      </c>
      <c r="BL27" t="s">
        <v>61</v>
      </c>
      <c r="BM27" t="s">
        <v>61</v>
      </c>
      <c r="BN27" t="s">
        <v>61</v>
      </c>
      <c r="BO27" t="s">
        <v>61</v>
      </c>
      <c r="BP27" t="s">
        <v>1398</v>
      </c>
      <c r="BQ27" t="s">
        <v>1343</v>
      </c>
      <c r="BR27" t="s">
        <v>61</v>
      </c>
    </row>
    <row r="28" spans="1:70" x14ac:dyDescent="0.3">
      <c r="A28" t="s">
        <v>1190</v>
      </c>
      <c r="B28" t="s">
        <v>1319</v>
      </c>
      <c r="C28" t="s">
        <v>66</v>
      </c>
      <c r="D28" t="s">
        <v>1240</v>
      </c>
      <c r="E28" t="s">
        <v>61</v>
      </c>
      <c r="F28" t="s">
        <v>74</v>
      </c>
      <c r="G28" t="s">
        <v>89</v>
      </c>
      <c r="H28" t="str">
        <f>IF('Infant dataset'!$AJ28&lt;=28,"Neonatal Death","Infant Death")</f>
        <v>Infant Death</v>
      </c>
      <c r="I28" t="s">
        <v>61</v>
      </c>
      <c r="J28" t="s">
        <v>61</v>
      </c>
      <c r="K28" t="s">
        <v>61</v>
      </c>
      <c r="L28" t="s">
        <v>61</v>
      </c>
      <c r="M28" t="s">
        <v>61</v>
      </c>
      <c r="N28" t="s">
        <v>61</v>
      </c>
      <c r="O28" t="s">
        <v>61</v>
      </c>
      <c r="P28" t="s">
        <v>61</v>
      </c>
      <c r="Q28" t="s">
        <v>61</v>
      </c>
      <c r="R28" t="s">
        <v>61</v>
      </c>
      <c r="S28" t="s">
        <v>61</v>
      </c>
      <c r="T28" t="s">
        <v>61</v>
      </c>
      <c r="U28" t="s">
        <v>61</v>
      </c>
      <c r="V28" t="s">
        <v>61</v>
      </c>
      <c r="W28" t="s">
        <v>61</v>
      </c>
      <c r="X28" t="s">
        <v>61</v>
      </c>
      <c r="Y28" t="s">
        <v>61</v>
      </c>
      <c r="Z28" t="s">
        <v>61</v>
      </c>
      <c r="AA28" t="s">
        <v>61</v>
      </c>
      <c r="AB28" t="s">
        <v>61</v>
      </c>
      <c r="AC28" t="s">
        <v>61</v>
      </c>
      <c r="AD28" t="s">
        <v>74</v>
      </c>
      <c r="AE28" t="s">
        <v>89</v>
      </c>
      <c r="AF28">
        <v>1</v>
      </c>
      <c r="AG28">
        <f>('Infant dataset'!$AF28 * 30)</f>
        <v>30</v>
      </c>
      <c r="AH28">
        <v>12</v>
      </c>
      <c r="AI28" t="s">
        <v>61</v>
      </c>
      <c r="AJ28">
        <f>'Infant dataset'!$AG28+'Infant dataset'!$AH28</f>
        <v>42</v>
      </c>
      <c r="AK28" t="str">
        <f>IF('Infant dataset'!$AJ28&lt;=28,"Neonatal Death","Infant Death")</f>
        <v>Infant Death</v>
      </c>
      <c r="AL28" t="s">
        <v>1203</v>
      </c>
      <c r="AM28" t="s">
        <v>1203</v>
      </c>
      <c r="AN28" s="140">
        <v>2500</v>
      </c>
      <c r="AO28" s="140"/>
      <c r="AP28" t="s">
        <v>61</v>
      </c>
      <c r="AQ28" t="s">
        <v>61</v>
      </c>
      <c r="AR28" t="s">
        <v>61</v>
      </c>
      <c r="AS28" t="s">
        <v>61</v>
      </c>
      <c r="AT28" t="s">
        <v>61</v>
      </c>
      <c r="AU28" t="s">
        <v>61</v>
      </c>
      <c r="AV28" t="s">
        <v>61</v>
      </c>
      <c r="AW28" t="s">
        <v>61</v>
      </c>
      <c r="AX28" t="s">
        <v>61</v>
      </c>
      <c r="AY28" t="s">
        <v>61</v>
      </c>
      <c r="AZ28" t="s">
        <v>61</v>
      </c>
      <c r="BA28" t="s">
        <v>1398</v>
      </c>
      <c r="BB28" t="s">
        <v>1398</v>
      </c>
      <c r="BC28" t="s">
        <v>61</v>
      </c>
      <c r="BD28" t="s">
        <v>61</v>
      </c>
      <c r="BE28" t="s">
        <v>61</v>
      </c>
      <c r="BF28" t="s">
        <v>61</v>
      </c>
      <c r="BG28" t="s">
        <v>61</v>
      </c>
      <c r="BH28" t="s">
        <v>61</v>
      </c>
      <c r="BI28" t="s">
        <v>61</v>
      </c>
      <c r="BJ28" t="s">
        <v>61</v>
      </c>
      <c r="BK28" t="s">
        <v>61</v>
      </c>
      <c r="BL28" t="s">
        <v>61</v>
      </c>
      <c r="BM28" t="s">
        <v>61</v>
      </c>
      <c r="BN28" t="s">
        <v>61</v>
      </c>
      <c r="BO28" t="s">
        <v>61</v>
      </c>
      <c r="BP28" t="s">
        <v>1398</v>
      </c>
      <c r="BQ28" t="s">
        <v>1403</v>
      </c>
      <c r="BR28" t="s">
        <v>61</v>
      </c>
    </row>
    <row r="29" spans="1:70" x14ac:dyDescent="0.3">
      <c r="A29" t="s">
        <v>1188</v>
      </c>
      <c r="B29" t="s">
        <v>1055</v>
      </c>
      <c r="C29" t="s">
        <v>66</v>
      </c>
      <c r="D29" t="s">
        <v>231</v>
      </c>
      <c r="E29" t="s">
        <v>61</v>
      </c>
      <c r="F29" t="s">
        <v>74</v>
      </c>
      <c r="G29" t="s">
        <v>39</v>
      </c>
      <c r="H29" t="str">
        <f>IF('Infant dataset'!$AJ29&lt;=28,"Neonatal Death","Infant Death")</f>
        <v>Neonatal Death</v>
      </c>
      <c r="I29" t="s">
        <v>61</v>
      </c>
      <c r="J29" t="s">
        <v>61</v>
      </c>
      <c r="K29" t="s">
        <v>61</v>
      </c>
      <c r="L29" t="s">
        <v>61</v>
      </c>
      <c r="M29" t="s">
        <v>61</v>
      </c>
      <c r="N29" t="s">
        <v>61</v>
      </c>
      <c r="O29" t="s">
        <v>61</v>
      </c>
      <c r="P29" t="s">
        <v>61</v>
      </c>
      <c r="Q29" t="s">
        <v>61</v>
      </c>
      <c r="R29" t="s">
        <v>61</v>
      </c>
      <c r="S29" t="s">
        <v>61</v>
      </c>
      <c r="T29" t="s">
        <v>61</v>
      </c>
      <c r="U29" t="s">
        <v>61</v>
      </c>
      <c r="V29" t="s">
        <v>61</v>
      </c>
      <c r="W29" t="s">
        <v>61</v>
      </c>
      <c r="X29" t="s">
        <v>61</v>
      </c>
      <c r="Y29" t="s">
        <v>61</v>
      </c>
      <c r="Z29" t="s">
        <v>61</v>
      </c>
      <c r="AA29" t="s">
        <v>61</v>
      </c>
      <c r="AB29" t="s">
        <v>61</v>
      </c>
      <c r="AC29" t="s">
        <v>61</v>
      </c>
      <c r="AD29" t="s">
        <v>74</v>
      </c>
      <c r="AE29" t="s">
        <v>39</v>
      </c>
      <c r="AF29">
        <v>0</v>
      </c>
      <c r="AG29">
        <f>('Infant dataset'!$AF29 * 30)</f>
        <v>0</v>
      </c>
      <c r="AH29">
        <v>2</v>
      </c>
      <c r="AI29" t="s">
        <v>61</v>
      </c>
      <c r="AJ29">
        <f>'Infant dataset'!$AG29+'Infant dataset'!$AH29</f>
        <v>2</v>
      </c>
      <c r="AK29" t="str">
        <f>IF('Infant dataset'!$AJ29&lt;=28,"Neonatal Death","Infant Death")</f>
        <v>Neonatal Death</v>
      </c>
      <c r="AL29" t="s">
        <v>1193</v>
      </c>
      <c r="AM29" t="s">
        <v>1193</v>
      </c>
      <c r="AN29" s="140">
        <v>720</v>
      </c>
      <c r="AO29" s="140"/>
      <c r="AP29" t="s">
        <v>1398</v>
      </c>
      <c r="AQ29" t="s">
        <v>1398</v>
      </c>
      <c r="AR29" t="s">
        <v>61</v>
      </c>
      <c r="AS29" t="s">
        <v>61</v>
      </c>
      <c r="AT29" t="s">
        <v>61</v>
      </c>
      <c r="AU29" t="s">
        <v>61</v>
      </c>
      <c r="AV29" t="s">
        <v>61</v>
      </c>
      <c r="AW29" t="s">
        <v>61</v>
      </c>
      <c r="AX29" t="s">
        <v>61</v>
      </c>
      <c r="AY29" t="s">
        <v>61</v>
      </c>
      <c r="AZ29" t="s">
        <v>61</v>
      </c>
      <c r="BA29" t="s">
        <v>61</v>
      </c>
      <c r="BB29" t="s">
        <v>61</v>
      </c>
      <c r="BC29" t="s">
        <v>61</v>
      </c>
      <c r="BD29" t="s">
        <v>61</v>
      </c>
      <c r="BE29" t="s">
        <v>61</v>
      </c>
      <c r="BF29" t="s">
        <v>61</v>
      </c>
      <c r="BG29" t="s">
        <v>61</v>
      </c>
      <c r="BH29" t="s">
        <v>61</v>
      </c>
      <c r="BI29" t="s">
        <v>61</v>
      </c>
      <c r="BJ29" t="s">
        <v>61</v>
      </c>
      <c r="BK29" t="s">
        <v>61</v>
      </c>
      <c r="BL29" t="s">
        <v>61</v>
      </c>
      <c r="BM29" t="s">
        <v>61</v>
      </c>
      <c r="BN29" t="s">
        <v>61</v>
      </c>
      <c r="BO29" t="s">
        <v>61</v>
      </c>
      <c r="BP29" t="s">
        <v>61</v>
      </c>
      <c r="BQ29" t="s">
        <v>61</v>
      </c>
      <c r="BR29" t="s">
        <v>61</v>
      </c>
    </row>
    <row r="30" spans="1:70" x14ac:dyDescent="0.3">
      <c r="A30" t="s">
        <v>1188</v>
      </c>
      <c r="B30" t="s">
        <v>142</v>
      </c>
      <c r="C30" t="s">
        <v>66</v>
      </c>
      <c r="D30" t="s">
        <v>65</v>
      </c>
      <c r="E30" t="s">
        <v>61</v>
      </c>
      <c r="F30" t="s">
        <v>48</v>
      </c>
      <c r="G30" t="s">
        <v>39</v>
      </c>
      <c r="H30" t="str">
        <f>IF('Infant dataset'!$AJ30&lt;=28,"Neonatal Death","Infant Death")</f>
        <v>Infant Death</v>
      </c>
      <c r="I30" t="s">
        <v>61</v>
      </c>
      <c r="J30" t="s">
        <v>61</v>
      </c>
      <c r="K30" t="s">
        <v>61</v>
      </c>
      <c r="L30" t="s">
        <v>61</v>
      </c>
      <c r="M30" t="s">
        <v>61</v>
      </c>
      <c r="N30" t="s">
        <v>61</v>
      </c>
      <c r="O30" t="s">
        <v>61</v>
      </c>
      <c r="P30" t="s">
        <v>61</v>
      </c>
      <c r="Q30" t="s">
        <v>61</v>
      </c>
      <c r="R30" t="s">
        <v>61</v>
      </c>
      <c r="S30" t="s">
        <v>61</v>
      </c>
      <c r="T30" t="s">
        <v>61</v>
      </c>
      <c r="U30" t="s">
        <v>61</v>
      </c>
      <c r="V30" t="s">
        <v>61</v>
      </c>
      <c r="W30" t="s">
        <v>61</v>
      </c>
      <c r="X30" t="s">
        <v>61</v>
      </c>
      <c r="Y30" t="s">
        <v>61</v>
      </c>
      <c r="Z30" t="s">
        <v>61</v>
      </c>
      <c r="AA30" t="s">
        <v>61</v>
      </c>
      <c r="AB30" t="s">
        <v>61</v>
      </c>
      <c r="AC30" t="s">
        <v>61</v>
      </c>
      <c r="AD30" t="s">
        <v>48</v>
      </c>
      <c r="AE30" t="s">
        <v>39</v>
      </c>
      <c r="AF30">
        <v>6</v>
      </c>
      <c r="AG30">
        <f>('Infant dataset'!$AF30 * 30)</f>
        <v>180</v>
      </c>
      <c r="AH30">
        <v>0</v>
      </c>
      <c r="AI30" t="s">
        <v>61</v>
      </c>
      <c r="AJ30">
        <f>'Infant dataset'!$AG30+'Infant dataset'!$AH30</f>
        <v>180</v>
      </c>
      <c r="AK30" t="str">
        <f>IF('Infant dataset'!$AJ30&lt;=28,"Neonatal Death","Infant Death")</f>
        <v>Infant Death</v>
      </c>
      <c r="AL30" t="s">
        <v>1192</v>
      </c>
      <c r="AM30" t="s">
        <v>162</v>
      </c>
      <c r="AN30" s="140">
        <v>2350</v>
      </c>
      <c r="AO30" s="140"/>
      <c r="AP30" t="s">
        <v>61</v>
      </c>
      <c r="AQ30" t="s">
        <v>61</v>
      </c>
      <c r="AR30" t="s">
        <v>61</v>
      </c>
      <c r="AS30" t="s">
        <v>61</v>
      </c>
      <c r="AT30" t="s">
        <v>61</v>
      </c>
      <c r="AU30" t="s">
        <v>61</v>
      </c>
      <c r="AV30" t="s">
        <v>61</v>
      </c>
      <c r="AW30" t="s">
        <v>61</v>
      </c>
      <c r="AX30" t="s">
        <v>61</v>
      </c>
      <c r="AY30" t="s">
        <v>61</v>
      </c>
      <c r="AZ30" t="s">
        <v>61</v>
      </c>
      <c r="BA30" t="s">
        <v>61</v>
      </c>
      <c r="BB30" t="s">
        <v>61</v>
      </c>
      <c r="BC30" t="s">
        <v>61</v>
      </c>
      <c r="BD30" t="s">
        <v>61</v>
      </c>
      <c r="BE30" t="s">
        <v>61</v>
      </c>
      <c r="BF30" t="s">
        <v>61</v>
      </c>
      <c r="BG30" t="s">
        <v>61</v>
      </c>
      <c r="BH30" t="s">
        <v>61</v>
      </c>
      <c r="BI30" t="s">
        <v>61</v>
      </c>
      <c r="BJ30" t="s">
        <v>61</v>
      </c>
      <c r="BK30" t="s">
        <v>61</v>
      </c>
      <c r="BL30" t="s">
        <v>61</v>
      </c>
      <c r="BM30" t="s">
        <v>61</v>
      </c>
      <c r="BN30" t="s">
        <v>61</v>
      </c>
      <c r="BO30" t="s">
        <v>61</v>
      </c>
      <c r="BP30" t="s">
        <v>1398</v>
      </c>
      <c r="BQ30" t="s">
        <v>1345</v>
      </c>
      <c r="BR30" t="s">
        <v>61</v>
      </c>
    </row>
    <row r="31" spans="1:70" x14ac:dyDescent="0.3">
      <c r="A31" t="s">
        <v>1188</v>
      </c>
      <c r="B31" t="s">
        <v>280</v>
      </c>
      <c r="C31" t="s">
        <v>40</v>
      </c>
      <c r="D31" t="s">
        <v>40</v>
      </c>
      <c r="E31" t="s">
        <v>1398</v>
      </c>
      <c r="F31" t="s">
        <v>48</v>
      </c>
      <c r="G31" t="s">
        <v>39</v>
      </c>
      <c r="H31" t="str">
        <f>IF('Infant dataset'!$AJ31&lt;=28,"Neonatal Death","Infant Death")</f>
        <v>Neonatal Death</v>
      </c>
      <c r="I31" t="s">
        <v>61</v>
      </c>
      <c r="J31" t="s">
        <v>61</v>
      </c>
      <c r="K31" t="s">
        <v>61</v>
      </c>
      <c r="L31" t="s">
        <v>61</v>
      </c>
      <c r="M31" t="s">
        <v>61</v>
      </c>
      <c r="N31" t="s">
        <v>61</v>
      </c>
      <c r="O31" t="s">
        <v>61</v>
      </c>
      <c r="P31" t="s">
        <v>61</v>
      </c>
      <c r="Q31" t="s">
        <v>1398</v>
      </c>
      <c r="R31" t="s">
        <v>61</v>
      </c>
      <c r="S31" t="s">
        <v>61</v>
      </c>
      <c r="T31" t="s">
        <v>61</v>
      </c>
      <c r="U31" t="s">
        <v>61</v>
      </c>
      <c r="V31" t="s">
        <v>61</v>
      </c>
      <c r="W31" t="s">
        <v>61</v>
      </c>
      <c r="X31" t="s">
        <v>61</v>
      </c>
      <c r="Y31" t="s">
        <v>61</v>
      </c>
      <c r="Z31" t="s">
        <v>61</v>
      </c>
      <c r="AA31" t="s">
        <v>61</v>
      </c>
      <c r="AB31" t="s">
        <v>61</v>
      </c>
      <c r="AC31" t="s">
        <v>61</v>
      </c>
      <c r="AD31" t="s">
        <v>48</v>
      </c>
      <c r="AE31" t="s">
        <v>39</v>
      </c>
      <c r="AF31">
        <v>0</v>
      </c>
      <c r="AG31">
        <f>('Infant dataset'!$AF31 * 30)</f>
        <v>0</v>
      </c>
      <c r="AH31">
        <v>25</v>
      </c>
      <c r="AI31" t="s">
        <v>61</v>
      </c>
      <c r="AJ31">
        <f>'Infant dataset'!$AG31+'Infant dataset'!$AH31</f>
        <v>25</v>
      </c>
      <c r="AK31" t="str">
        <f>IF('Infant dataset'!$AJ31&lt;=28,"Neonatal Death","Infant Death")</f>
        <v>Neonatal Death</v>
      </c>
      <c r="AL31" t="s">
        <v>1203</v>
      </c>
      <c r="AM31" t="s">
        <v>1203</v>
      </c>
      <c r="AN31" s="140">
        <v>740</v>
      </c>
      <c r="AO31" s="140"/>
      <c r="AP31" t="s">
        <v>1398</v>
      </c>
      <c r="AQ31" t="s">
        <v>1398</v>
      </c>
      <c r="AR31" t="s">
        <v>61</v>
      </c>
      <c r="AS31" t="s">
        <v>61</v>
      </c>
      <c r="AT31" t="s">
        <v>61</v>
      </c>
      <c r="AU31" t="s">
        <v>61</v>
      </c>
      <c r="AV31" t="s">
        <v>61</v>
      </c>
      <c r="AW31" t="s">
        <v>61</v>
      </c>
      <c r="AX31" t="s">
        <v>61</v>
      </c>
      <c r="AY31" t="s">
        <v>61</v>
      </c>
      <c r="AZ31" t="s">
        <v>61</v>
      </c>
      <c r="BA31" t="s">
        <v>61</v>
      </c>
      <c r="BB31" t="s">
        <v>61</v>
      </c>
      <c r="BC31" t="s">
        <v>61</v>
      </c>
      <c r="BD31" t="s">
        <v>61</v>
      </c>
      <c r="BE31" t="s">
        <v>61</v>
      </c>
      <c r="BF31" t="s">
        <v>61</v>
      </c>
      <c r="BG31" t="s">
        <v>61</v>
      </c>
      <c r="BH31" t="s">
        <v>61</v>
      </c>
      <c r="BI31" t="s">
        <v>61</v>
      </c>
      <c r="BJ31" t="s">
        <v>61</v>
      </c>
      <c r="BK31" t="s">
        <v>61</v>
      </c>
      <c r="BL31" t="s">
        <v>61</v>
      </c>
      <c r="BM31" t="s">
        <v>61</v>
      </c>
      <c r="BN31" t="s">
        <v>61</v>
      </c>
      <c r="BO31" t="s">
        <v>61</v>
      </c>
      <c r="BP31" t="s">
        <v>61</v>
      </c>
      <c r="BQ31" t="s">
        <v>61</v>
      </c>
      <c r="BR31" t="s">
        <v>61</v>
      </c>
    </row>
    <row r="32" spans="1:70" x14ac:dyDescent="0.3">
      <c r="A32" t="s">
        <v>1188</v>
      </c>
      <c r="B32" t="s">
        <v>143</v>
      </c>
      <c r="C32" t="s">
        <v>66</v>
      </c>
      <c r="D32" t="s">
        <v>1324</v>
      </c>
      <c r="E32" t="s">
        <v>1398</v>
      </c>
      <c r="F32" t="s">
        <v>48</v>
      </c>
      <c r="G32" t="s">
        <v>39</v>
      </c>
      <c r="H32" t="str">
        <f>IF('Infant dataset'!$AJ32&lt;=28,"Neonatal Death","Infant Death")</f>
        <v>Neonatal Death</v>
      </c>
      <c r="I32" t="s">
        <v>61</v>
      </c>
      <c r="J32" t="s">
        <v>61</v>
      </c>
      <c r="K32" t="s">
        <v>61</v>
      </c>
      <c r="L32" t="s">
        <v>61</v>
      </c>
      <c r="M32" t="s">
        <v>61</v>
      </c>
      <c r="N32" t="s">
        <v>61</v>
      </c>
      <c r="O32" t="s">
        <v>61</v>
      </c>
      <c r="P32" t="s">
        <v>61</v>
      </c>
      <c r="Q32" t="s">
        <v>1398</v>
      </c>
      <c r="R32" t="s">
        <v>61</v>
      </c>
      <c r="S32" t="s">
        <v>61</v>
      </c>
      <c r="T32" t="s">
        <v>61</v>
      </c>
      <c r="U32" t="s">
        <v>61</v>
      </c>
      <c r="V32" t="s">
        <v>61</v>
      </c>
      <c r="W32" t="s">
        <v>61</v>
      </c>
      <c r="X32" t="s">
        <v>61</v>
      </c>
      <c r="Y32" t="s">
        <v>1398</v>
      </c>
      <c r="Z32" t="s">
        <v>61</v>
      </c>
      <c r="AA32" t="s">
        <v>61</v>
      </c>
      <c r="AB32" t="s">
        <v>61</v>
      </c>
      <c r="AC32" t="s">
        <v>61</v>
      </c>
      <c r="AD32" t="s">
        <v>48</v>
      </c>
      <c r="AE32" t="s">
        <v>39</v>
      </c>
      <c r="AF32">
        <v>0</v>
      </c>
      <c r="AG32">
        <f>('Infant dataset'!$AF32 * 30)</f>
        <v>0</v>
      </c>
      <c r="AH32">
        <v>12</v>
      </c>
      <c r="AI32" t="s">
        <v>61</v>
      </c>
      <c r="AJ32">
        <f>'Infant dataset'!$AG32+'Infant dataset'!$AH32</f>
        <v>12</v>
      </c>
      <c r="AK32" t="str">
        <f>IF('Infant dataset'!$AJ32&lt;=28,"Neonatal Death","Infant Death")</f>
        <v>Neonatal Death</v>
      </c>
      <c r="AL32" t="s">
        <v>1193</v>
      </c>
      <c r="AM32" t="s">
        <v>162</v>
      </c>
      <c r="AN32" s="140">
        <v>2150</v>
      </c>
      <c r="AO32" s="140"/>
      <c r="AP32" t="s">
        <v>61</v>
      </c>
      <c r="AQ32" t="s">
        <v>61</v>
      </c>
      <c r="AR32" t="s">
        <v>61</v>
      </c>
      <c r="AS32" t="s">
        <v>61</v>
      </c>
      <c r="AT32" t="s">
        <v>61</v>
      </c>
      <c r="AU32" t="s">
        <v>61</v>
      </c>
      <c r="AV32" t="s">
        <v>61</v>
      </c>
      <c r="AW32" t="s">
        <v>61</v>
      </c>
      <c r="AX32" t="s">
        <v>61</v>
      </c>
      <c r="AY32" t="s">
        <v>61</v>
      </c>
      <c r="AZ32" t="s">
        <v>1398</v>
      </c>
      <c r="BA32" t="s">
        <v>61</v>
      </c>
      <c r="BB32" t="s">
        <v>61</v>
      </c>
      <c r="BC32" t="s">
        <v>61</v>
      </c>
      <c r="BD32" t="s">
        <v>61</v>
      </c>
      <c r="BE32" t="s">
        <v>61</v>
      </c>
      <c r="BF32" t="s">
        <v>61</v>
      </c>
      <c r="BG32" t="s">
        <v>61</v>
      </c>
      <c r="BH32" t="s">
        <v>61</v>
      </c>
      <c r="BI32" t="s">
        <v>61</v>
      </c>
      <c r="BJ32" t="s">
        <v>61</v>
      </c>
      <c r="BK32" t="s">
        <v>61</v>
      </c>
      <c r="BL32" t="s">
        <v>61</v>
      </c>
      <c r="BM32" t="s">
        <v>61</v>
      </c>
      <c r="BN32" t="s">
        <v>61</v>
      </c>
      <c r="BO32" t="s">
        <v>61</v>
      </c>
      <c r="BP32" t="s">
        <v>61</v>
      </c>
      <c r="BQ32" t="s">
        <v>61</v>
      </c>
      <c r="BR32" t="s">
        <v>61</v>
      </c>
    </row>
    <row r="33" spans="1:70" x14ac:dyDescent="0.3">
      <c r="A33" t="s">
        <v>1188</v>
      </c>
      <c r="B33" t="s">
        <v>143</v>
      </c>
      <c r="C33" t="s">
        <v>66</v>
      </c>
      <c r="D33" t="s">
        <v>1325</v>
      </c>
      <c r="E33" t="s">
        <v>61</v>
      </c>
      <c r="F33" t="s">
        <v>74</v>
      </c>
      <c r="G33" t="s">
        <v>39</v>
      </c>
      <c r="H33" t="str">
        <f>IF('Infant dataset'!$AJ33&lt;=28,"Neonatal Death","Infant Death")</f>
        <v>Infant Death</v>
      </c>
      <c r="I33" t="s">
        <v>61</v>
      </c>
      <c r="J33" t="s">
        <v>61</v>
      </c>
      <c r="K33" t="s">
        <v>61</v>
      </c>
      <c r="L33" t="s">
        <v>61</v>
      </c>
      <c r="M33" t="s">
        <v>61</v>
      </c>
      <c r="N33" t="s">
        <v>61</v>
      </c>
      <c r="O33" t="s">
        <v>61</v>
      </c>
      <c r="P33" t="s">
        <v>61</v>
      </c>
      <c r="Q33" t="s">
        <v>61</v>
      </c>
      <c r="R33" t="s">
        <v>61</v>
      </c>
      <c r="S33" t="s">
        <v>61</v>
      </c>
      <c r="T33" t="s">
        <v>61</v>
      </c>
      <c r="U33" t="s">
        <v>61</v>
      </c>
      <c r="V33" t="s">
        <v>61</v>
      </c>
      <c r="W33" t="s">
        <v>61</v>
      </c>
      <c r="X33" t="s">
        <v>61</v>
      </c>
      <c r="Y33" t="s">
        <v>61</v>
      </c>
      <c r="Z33" t="s">
        <v>61</v>
      </c>
      <c r="AA33" t="s">
        <v>61</v>
      </c>
      <c r="AB33" t="s">
        <v>61</v>
      </c>
      <c r="AC33" t="s">
        <v>61</v>
      </c>
      <c r="AD33" t="s">
        <v>74</v>
      </c>
      <c r="AE33" t="s">
        <v>39</v>
      </c>
      <c r="AF33">
        <v>5</v>
      </c>
      <c r="AG33">
        <f>('Infant dataset'!$AF33 * 30)</f>
        <v>150</v>
      </c>
      <c r="AH33">
        <v>7</v>
      </c>
      <c r="AI33" t="s">
        <v>61</v>
      </c>
      <c r="AJ33">
        <f>'Infant dataset'!$AG33+'Infant dataset'!$AH33</f>
        <v>157</v>
      </c>
      <c r="AK33" t="str">
        <f>IF('Infant dataset'!$AJ33&lt;=28,"Neonatal Death","Infant Death")</f>
        <v>Infant Death</v>
      </c>
      <c r="AL33" t="s">
        <v>1192</v>
      </c>
      <c r="AM33" t="s">
        <v>162</v>
      </c>
      <c r="AN33" s="140">
        <v>1680</v>
      </c>
      <c r="AO33" s="140"/>
      <c r="AP33" t="s">
        <v>61</v>
      </c>
      <c r="AQ33" t="s">
        <v>61</v>
      </c>
      <c r="AR33" t="s">
        <v>61</v>
      </c>
      <c r="AS33" t="s">
        <v>61</v>
      </c>
      <c r="AT33" t="s">
        <v>61</v>
      </c>
      <c r="AU33" t="s">
        <v>61</v>
      </c>
      <c r="AV33" t="s">
        <v>61</v>
      </c>
      <c r="AW33" t="s">
        <v>61</v>
      </c>
      <c r="AX33" t="s">
        <v>61</v>
      </c>
      <c r="AY33" t="s">
        <v>61</v>
      </c>
      <c r="AZ33" t="s">
        <v>61</v>
      </c>
      <c r="BA33" t="s">
        <v>61</v>
      </c>
      <c r="BB33" t="s">
        <v>61</v>
      </c>
      <c r="BC33" t="s">
        <v>61</v>
      </c>
      <c r="BD33" t="s">
        <v>61</v>
      </c>
      <c r="BE33" t="s">
        <v>61</v>
      </c>
      <c r="BF33" t="s">
        <v>61</v>
      </c>
      <c r="BG33" t="s">
        <v>61</v>
      </c>
      <c r="BH33" t="s">
        <v>61</v>
      </c>
      <c r="BI33" t="s">
        <v>61</v>
      </c>
      <c r="BJ33" t="s">
        <v>61</v>
      </c>
      <c r="BK33" t="s">
        <v>61</v>
      </c>
      <c r="BL33" t="s">
        <v>61</v>
      </c>
      <c r="BM33" t="s">
        <v>61</v>
      </c>
      <c r="BN33" t="s">
        <v>61</v>
      </c>
      <c r="BO33" t="s">
        <v>61</v>
      </c>
      <c r="BP33" t="s">
        <v>1398</v>
      </c>
      <c r="BQ33" t="s">
        <v>1346</v>
      </c>
      <c r="BR33" t="s">
        <v>61</v>
      </c>
    </row>
    <row r="34" spans="1:70" x14ac:dyDescent="0.3">
      <c r="A34" t="s">
        <v>1188</v>
      </c>
      <c r="B34" t="s">
        <v>1123</v>
      </c>
      <c r="C34" t="s">
        <v>40</v>
      </c>
      <c r="D34" t="s">
        <v>40</v>
      </c>
      <c r="E34" t="s">
        <v>1398</v>
      </c>
      <c r="F34" t="s">
        <v>48</v>
      </c>
      <c r="G34" t="s">
        <v>89</v>
      </c>
      <c r="H34" t="str">
        <f>IF('Infant dataset'!$AJ34&lt;=28,"Neonatal Death","Infant Death")</f>
        <v>Neonatal Death</v>
      </c>
      <c r="I34" t="s">
        <v>61</v>
      </c>
      <c r="J34" t="s">
        <v>61</v>
      </c>
      <c r="K34" t="s">
        <v>61</v>
      </c>
      <c r="L34" t="s">
        <v>61</v>
      </c>
      <c r="M34" t="s">
        <v>61</v>
      </c>
      <c r="N34" t="s">
        <v>61</v>
      </c>
      <c r="O34" t="s">
        <v>61</v>
      </c>
      <c r="P34" t="s">
        <v>61</v>
      </c>
      <c r="Q34" t="s">
        <v>61</v>
      </c>
      <c r="R34" t="s">
        <v>61</v>
      </c>
      <c r="S34" t="s">
        <v>61</v>
      </c>
      <c r="T34" t="s">
        <v>61</v>
      </c>
      <c r="U34" t="s">
        <v>61</v>
      </c>
      <c r="V34" t="s">
        <v>1398</v>
      </c>
      <c r="W34" t="s">
        <v>61</v>
      </c>
      <c r="X34" t="s">
        <v>61</v>
      </c>
      <c r="Y34" t="s">
        <v>61</v>
      </c>
      <c r="Z34" t="s">
        <v>61</v>
      </c>
      <c r="AA34" t="s">
        <v>61</v>
      </c>
      <c r="AB34" t="s">
        <v>61</v>
      </c>
      <c r="AC34" t="s">
        <v>61</v>
      </c>
      <c r="AD34" t="s">
        <v>48</v>
      </c>
      <c r="AE34" t="s">
        <v>89</v>
      </c>
      <c r="AF34">
        <v>0</v>
      </c>
      <c r="AG34">
        <f>('Infant dataset'!$AF34 * 30)</f>
        <v>0</v>
      </c>
      <c r="AH34">
        <v>18</v>
      </c>
      <c r="AI34" t="s">
        <v>61</v>
      </c>
      <c r="AJ34">
        <f>'Infant dataset'!$AG34+'Infant dataset'!$AH34</f>
        <v>18</v>
      </c>
      <c r="AK34" t="str">
        <f>IF('Infant dataset'!$AJ34&lt;=28,"Neonatal Death","Infant Death")</f>
        <v>Neonatal Death</v>
      </c>
      <c r="AL34" t="s">
        <v>1203</v>
      </c>
      <c r="AM34" t="s">
        <v>1203</v>
      </c>
      <c r="AN34" s="140">
        <v>800</v>
      </c>
      <c r="AO34" s="140"/>
      <c r="AP34" t="s">
        <v>1398</v>
      </c>
      <c r="AQ34" t="s">
        <v>1398</v>
      </c>
      <c r="AR34" t="s">
        <v>61</v>
      </c>
      <c r="AS34" t="s">
        <v>61</v>
      </c>
      <c r="AT34" t="s">
        <v>61</v>
      </c>
      <c r="AU34" t="s">
        <v>61</v>
      </c>
      <c r="AV34" t="s">
        <v>61</v>
      </c>
      <c r="AW34" t="s">
        <v>61</v>
      </c>
      <c r="AX34" t="s">
        <v>61</v>
      </c>
      <c r="AY34" t="s">
        <v>61</v>
      </c>
      <c r="AZ34" t="s">
        <v>61</v>
      </c>
      <c r="BA34" t="s">
        <v>61</v>
      </c>
      <c r="BB34" t="s">
        <v>1398</v>
      </c>
      <c r="BC34" t="s">
        <v>61</v>
      </c>
      <c r="BD34" t="s">
        <v>61</v>
      </c>
      <c r="BE34" t="s">
        <v>61</v>
      </c>
      <c r="BF34" t="s">
        <v>61</v>
      </c>
      <c r="BG34" t="s">
        <v>61</v>
      </c>
      <c r="BH34" t="s">
        <v>61</v>
      </c>
      <c r="BI34" t="s">
        <v>61</v>
      </c>
      <c r="BJ34" t="s">
        <v>61</v>
      </c>
      <c r="BK34" t="s">
        <v>61</v>
      </c>
      <c r="BL34" t="s">
        <v>61</v>
      </c>
      <c r="BM34" t="s">
        <v>61</v>
      </c>
      <c r="BN34" t="s">
        <v>61</v>
      </c>
      <c r="BO34" t="s">
        <v>61</v>
      </c>
      <c r="BP34" t="s">
        <v>61</v>
      </c>
      <c r="BQ34" t="s">
        <v>61</v>
      </c>
      <c r="BR34" t="s">
        <v>61</v>
      </c>
    </row>
    <row r="35" spans="1:70" x14ac:dyDescent="0.3">
      <c r="A35" t="s">
        <v>1190</v>
      </c>
      <c r="B35" t="s">
        <v>1317</v>
      </c>
      <c r="C35" t="s">
        <v>66</v>
      </c>
      <c r="D35" t="s">
        <v>1239</v>
      </c>
      <c r="E35" t="s">
        <v>1398</v>
      </c>
      <c r="F35" t="s">
        <v>74</v>
      </c>
      <c r="G35" t="s">
        <v>89</v>
      </c>
      <c r="H35" t="str">
        <f>IF('Infant dataset'!$AJ35&lt;=28,"Neonatal Death","Infant Death")</f>
        <v>Neonatal Death</v>
      </c>
      <c r="I35" t="s">
        <v>61</v>
      </c>
      <c r="J35" t="s">
        <v>61</v>
      </c>
      <c r="K35" t="s">
        <v>61</v>
      </c>
      <c r="L35" t="s">
        <v>61</v>
      </c>
      <c r="M35" s="117" t="s">
        <v>61</v>
      </c>
      <c r="N35" s="117" t="s">
        <v>1398</v>
      </c>
      <c r="O35" s="117" t="s">
        <v>61</v>
      </c>
      <c r="P35" t="s">
        <v>61</v>
      </c>
      <c r="Q35" t="s">
        <v>61</v>
      </c>
      <c r="R35" t="s">
        <v>61</v>
      </c>
      <c r="S35" t="s">
        <v>61</v>
      </c>
      <c r="T35" t="s">
        <v>61</v>
      </c>
      <c r="U35" t="s">
        <v>61</v>
      </c>
      <c r="V35" t="s">
        <v>61</v>
      </c>
      <c r="W35" t="s">
        <v>61</v>
      </c>
      <c r="X35" t="s">
        <v>61</v>
      </c>
      <c r="Y35" t="s">
        <v>61</v>
      </c>
      <c r="Z35" t="s">
        <v>61</v>
      </c>
      <c r="AA35" t="s">
        <v>61</v>
      </c>
      <c r="AB35" t="s">
        <v>1398</v>
      </c>
      <c r="AC35" t="s">
        <v>61</v>
      </c>
      <c r="AD35" t="s">
        <v>74</v>
      </c>
      <c r="AE35" t="s">
        <v>89</v>
      </c>
      <c r="AF35">
        <v>0</v>
      </c>
      <c r="AG35">
        <f>('Infant dataset'!$AF35 * 30)</f>
        <v>0</v>
      </c>
      <c r="AH35">
        <v>11</v>
      </c>
      <c r="AI35" t="s">
        <v>61</v>
      </c>
      <c r="AJ35">
        <f>'Infant dataset'!$AG35+'Infant dataset'!$AH35</f>
        <v>11</v>
      </c>
      <c r="AK35" t="str">
        <f>IF('Infant dataset'!$AJ35&lt;=28,"Neonatal Death","Infant Death")</f>
        <v>Neonatal Death</v>
      </c>
      <c r="AL35" t="s">
        <v>1193</v>
      </c>
      <c r="AM35" t="s">
        <v>1193</v>
      </c>
      <c r="AN35" s="140">
        <v>900</v>
      </c>
      <c r="AO35" s="140"/>
      <c r="AP35" t="s">
        <v>1398</v>
      </c>
      <c r="AQ35" t="s">
        <v>1398</v>
      </c>
      <c r="AR35" t="s">
        <v>61</v>
      </c>
      <c r="AS35" t="s">
        <v>61</v>
      </c>
      <c r="AT35" t="s">
        <v>61</v>
      </c>
      <c r="AU35" t="s">
        <v>61</v>
      </c>
      <c r="AV35" t="s">
        <v>61</v>
      </c>
      <c r="AW35" t="s">
        <v>61</v>
      </c>
      <c r="AX35" t="s">
        <v>61</v>
      </c>
      <c r="AY35" t="s">
        <v>61</v>
      </c>
      <c r="AZ35" t="s">
        <v>61</v>
      </c>
      <c r="BA35" t="s">
        <v>61</v>
      </c>
      <c r="BB35" t="s">
        <v>61</v>
      </c>
      <c r="BC35" t="s">
        <v>61</v>
      </c>
      <c r="BD35" t="s">
        <v>61</v>
      </c>
      <c r="BE35" t="s">
        <v>61</v>
      </c>
      <c r="BF35" t="s">
        <v>61</v>
      </c>
      <c r="BG35" t="s">
        <v>61</v>
      </c>
      <c r="BH35" t="s">
        <v>61</v>
      </c>
      <c r="BI35" t="s">
        <v>61</v>
      </c>
      <c r="BJ35" t="s">
        <v>61</v>
      </c>
      <c r="BK35" t="s">
        <v>61</v>
      </c>
      <c r="BL35" t="s">
        <v>61</v>
      </c>
      <c r="BM35" t="s">
        <v>61</v>
      </c>
      <c r="BN35" t="s">
        <v>61</v>
      </c>
      <c r="BO35" t="s">
        <v>61</v>
      </c>
      <c r="BP35" t="s">
        <v>61</v>
      </c>
      <c r="BQ35" t="s">
        <v>61</v>
      </c>
      <c r="BR35" t="s">
        <v>61</v>
      </c>
    </row>
    <row r="36" spans="1:70" x14ac:dyDescent="0.3">
      <c r="A36" t="s">
        <v>1190</v>
      </c>
      <c r="B36" t="s">
        <v>1317</v>
      </c>
      <c r="C36" t="s">
        <v>66</v>
      </c>
      <c r="D36" t="s">
        <v>462</v>
      </c>
      <c r="E36" t="s">
        <v>61</v>
      </c>
      <c r="F36" t="s">
        <v>48</v>
      </c>
      <c r="G36" t="s">
        <v>89</v>
      </c>
      <c r="H36" t="str">
        <f>IF('Infant dataset'!$AJ36&lt;=28,"Neonatal Death","Infant Death")</f>
        <v>Neonatal Death</v>
      </c>
      <c r="I36" t="s">
        <v>61</v>
      </c>
      <c r="J36" t="s">
        <v>61</v>
      </c>
      <c r="K36" t="s">
        <v>61</v>
      </c>
      <c r="L36" t="s">
        <v>61</v>
      </c>
      <c r="M36" t="s">
        <v>61</v>
      </c>
      <c r="N36" t="s">
        <v>61</v>
      </c>
      <c r="O36" t="s">
        <v>61</v>
      </c>
      <c r="P36" t="s">
        <v>61</v>
      </c>
      <c r="Q36" t="s">
        <v>61</v>
      </c>
      <c r="R36" t="s">
        <v>61</v>
      </c>
      <c r="S36" t="s">
        <v>61</v>
      </c>
      <c r="T36" t="s">
        <v>61</v>
      </c>
      <c r="U36" t="s">
        <v>61</v>
      </c>
      <c r="V36" t="s">
        <v>61</v>
      </c>
      <c r="W36" t="s">
        <v>61</v>
      </c>
      <c r="X36" t="s">
        <v>61</v>
      </c>
      <c r="Y36" t="s">
        <v>61</v>
      </c>
      <c r="Z36" t="s">
        <v>61</v>
      </c>
      <c r="AA36" t="s">
        <v>61</v>
      </c>
      <c r="AB36" t="s">
        <v>61</v>
      </c>
      <c r="AC36" t="s">
        <v>61</v>
      </c>
      <c r="AD36" t="s">
        <v>48</v>
      </c>
      <c r="AE36" t="s">
        <v>89</v>
      </c>
      <c r="AF36">
        <v>0</v>
      </c>
      <c r="AG36">
        <f>('Infant dataset'!$AF36 * 30)</f>
        <v>0</v>
      </c>
      <c r="AH36">
        <v>10</v>
      </c>
      <c r="AI36" t="s">
        <v>61</v>
      </c>
      <c r="AJ36">
        <f>'Infant dataset'!$AG36+'Infant dataset'!$AH36</f>
        <v>10</v>
      </c>
      <c r="AK36" t="str">
        <f>IF('Infant dataset'!$AJ36&lt;=28,"Neonatal Death","Infant Death")</f>
        <v>Neonatal Death</v>
      </c>
      <c r="AL36" t="s">
        <v>1193</v>
      </c>
      <c r="AM36" t="s">
        <v>1193</v>
      </c>
      <c r="AN36" s="140">
        <v>1480</v>
      </c>
      <c r="AO36" s="140"/>
      <c r="AP36" t="s">
        <v>1398</v>
      </c>
      <c r="AQ36" t="s">
        <v>61</v>
      </c>
      <c r="AR36" t="s">
        <v>61</v>
      </c>
      <c r="AS36" t="s">
        <v>61</v>
      </c>
      <c r="AT36" t="s">
        <v>61</v>
      </c>
      <c r="AU36" t="s">
        <v>61</v>
      </c>
      <c r="AV36" t="s">
        <v>61</v>
      </c>
      <c r="AW36" t="s">
        <v>61</v>
      </c>
      <c r="AX36" t="s">
        <v>61</v>
      </c>
      <c r="AY36" t="s">
        <v>61</v>
      </c>
      <c r="AZ36" t="s">
        <v>61</v>
      </c>
      <c r="BA36" t="s">
        <v>1398</v>
      </c>
      <c r="BB36" t="s">
        <v>61</v>
      </c>
      <c r="BC36" t="s">
        <v>1398</v>
      </c>
      <c r="BD36" t="s">
        <v>61</v>
      </c>
      <c r="BE36" t="s">
        <v>61</v>
      </c>
      <c r="BF36" t="s">
        <v>61</v>
      </c>
      <c r="BG36" t="s">
        <v>61</v>
      </c>
      <c r="BH36" t="s">
        <v>61</v>
      </c>
      <c r="BI36" t="s">
        <v>61</v>
      </c>
      <c r="BJ36" t="s">
        <v>61</v>
      </c>
      <c r="BK36" t="s">
        <v>61</v>
      </c>
      <c r="BL36" t="s">
        <v>61</v>
      </c>
      <c r="BM36" t="s">
        <v>61</v>
      </c>
      <c r="BN36" t="s">
        <v>61</v>
      </c>
      <c r="BO36" t="s">
        <v>61</v>
      </c>
      <c r="BP36" t="s">
        <v>61</v>
      </c>
      <c r="BQ36" t="s">
        <v>61</v>
      </c>
      <c r="BR36" t="s">
        <v>1398</v>
      </c>
    </row>
    <row r="37" spans="1:70" x14ac:dyDescent="0.3">
      <c r="A37" t="s">
        <v>1188</v>
      </c>
      <c r="B37" t="s">
        <v>216</v>
      </c>
      <c r="C37" t="s">
        <v>66</v>
      </c>
      <c r="D37" t="s">
        <v>65</v>
      </c>
      <c r="E37" t="s">
        <v>1398</v>
      </c>
      <c r="F37" t="s">
        <v>74</v>
      </c>
      <c r="G37" t="s">
        <v>89</v>
      </c>
      <c r="H37" t="str">
        <f>IF('Infant dataset'!$AJ37&lt;=28,"Neonatal Death","Infant Death")</f>
        <v>Neonatal Death</v>
      </c>
      <c r="I37" t="s">
        <v>61</v>
      </c>
      <c r="J37" t="s">
        <v>61</v>
      </c>
      <c r="K37" t="s">
        <v>61</v>
      </c>
      <c r="L37" t="s">
        <v>61</v>
      </c>
      <c r="M37" t="s">
        <v>61</v>
      </c>
      <c r="N37" t="s">
        <v>61</v>
      </c>
      <c r="O37" t="s">
        <v>61</v>
      </c>
      <c r="P37" t="s">
        <v>1398</v>
      </c>
      <c r="Q37" t="s">
        <v>61</v>
      </c>
      <c r="R37" t="s">
        <v>61</v>
      </c>
      <c r="S37" t="s">
        <v>61</v>
      </c>
      <c r="T37" t="s">
        <v>61</v>
      </c>
      <c r="U37" t="s">
        <v>61</v>
      </c>
      <c r="V37" t="s">
        <v>61</v>
      </c>
      <c r="W37" t="s">
        <v>61</v>
      </c>
      <c r="X37" t="s">
        <v>61</v>
      </c>
      <c r="Y37" t="s">
        <v>61</v>
      </c>
      <c r="Z37" t="s">
        <v>61</v>
      </c>
      <c r="AA37" t="s">
        <v>61</v>
      </c>
      <c r="AB37" t="s">
        <v>61</v>
      </c>
      <c r="AC37" t="s">
        <v>61</v>
      </c>
      <c r="AD37" t="s">
        <v>74</v>
      </c>
      <c r="AE37" t="s">
        <v>89</v>
      </c>
      <c r="AF37">
        <v>0</v>
      </c>
      <c r="AG37">
        <f>('Infant dataset'!$AF37 * 30)</f>
        <v>0</v>
      </c>
      <c r="AH37">
        <v>3</v>
      </c>
      <c r="AI37" t="s">
        <v>61</v>
      </c>
      <c r="AJ37">
        <f>'Infant dataset'!$AG37+'Infant dataset'!$AH37</f>
        <v>3</v>
      </c>
      <c r="AK37" t="str">
        <f>IF('Infant dataset'!$AJ37&lt;=28,"Neonatal Death","Infant Death")</f>
        <v>Neonatal Death</v>
      </c>
      <c r="AL37" t="s">
        <v>1193</v>
      </c>
      <c r="AM37" t="s">
        <v>1193</v>
      </c>
      <c r="AN37" s="140">
        <v>800</v>
      </c>
      <c r="AO37" s="140"/>
      <c r="AP37" t="s">
        <v>1398</v>
      </c>
      <c r="AQ37" t="s">
        <v>1398</v>
      </c>
      <c r="AR37" t="s">
        <v>61</v>
      </c>
      <c r="AS37" t="s">
        <v>61</v>
      </c>
      <c r="AT37" t="s">
        <v>61</v>
      </c>
      <c r="AU37" t="s">
        <v>61</v>
      </c>
      <c r="AV37" t="s">
        <v>61</v>
      </c>
      <c r="AW37" t="s">
        <v>61</v>
      </c>
      <c r="AX37" t="s">
        <v>61</v>
      </c>
      <c r="AY37" t="s">
        <v>61</v>
      </c>
      <c r="AZ37" t="s">
        <v>61</v>
      </c>
      <c r="BA37" t="s">
        <v>1398</v>
      </c>
      <c r="BB37" t="s">
        <v>61</v>
      </c>
      <c r="BC37" t="s">
        <v>61</v>
      </c>
      <c r="BD37" t="s">
        <v>61</v>
      </c>
      <c r="BE37" t="s">
        <v>61</v>
      </c>
      <c r="BF37" t="s">
        <v>61</v>
      </c>
      <c r="BG37" t="s">
        <v>61</v>
      </c>
      <c r="BH37" t="s">
        <v>61</v>
      </c>
      <c r="BI37" t="s">
        <v>61</v>
      </c>
      <c r="BJ37" t="s">
        <v>61</v>
      </c>
      <c r="BK37" t="s">
        <v>61</v>
      </c>
      <c r="BL37" t="s">
        <v>61</v>
      </c>
      <c r="BM37" t="s">
        <v>61</v>
      </c>
      <c r="BN37" t="s">
        <v>61</v>
      </c>
      <c r="BO37" t="s">
        <v>61</v>
      </c>
      <c r="BP37" t="s">
        <v>61</v>
      </c>
      <c r="BQ37" t="s">
        <v>61</v>
      </c>
      <c r="BR37" t="s">
        <v>61</v>
      </c>
    </row>
    <row r="38" spans="1:70" x14ac:dyDescent="0.3">
      <c r="A38" t="s">
        <v>1188</v>
      </c>
      <c r="B38" t="s">
        <v>371</v>
      </c>
      <c r="C38" t="s">
        <v>66</v>
      </c>
      <c r="D38" t="s">
        <v>1239</v>
      </c>
      <c r="E38" t="s">
        <v>61</v>
      </c>
      <c r="F38" t="s">
        <v>48</v>
      </c>
      <c r="G38" t="s">
        <v>89</v>
      </c>
      <c r="H38" t="str">
        <f>IF('Infant dataset'!$AJ38&lt;=28,"Neonatal Death","Infant Death")</f>
        <v>Neonatal Death</v>
      </c>
      <c r="I38" t="s">
        <v>61</v>
      </c>
      <c r="J38" t="s">
        <v>61</v>
      </c>
      <c r="K38" t="s">
        <v>61</v>
      </c>
      <c r="L38" t="s">
        <v>61</v>
      </c>
      <c r="M38" t="s">
        <v>61</v>
      </c>
      <c r="N38" t="s">
        <v>61</v>
      </c>
      <c r="O38" t="s">
        <v>61</v>
      </c>
      <c r="P38" t="s">
        <v>61</v>
      </c>
      <c r="Q38" t="s">
        <v>61</v>
      </c>
      <c r="R38" t="s">
        <v>61</v>
      </c>
      <c r="S38" t="s">
        <v>61</v>
      </c>
      <c r="T38" t="s">
        <v>61</v>
      </c>
      <c r="U38" t="s">
        <v>61</v>
      </c>
      <c r="V38" t="s">
        <v>61</v>
      </c>
      <c r="W38" t="s">
        <v>61</v>
      </c>
      <c r="X38" t="s">
        <v>61</v>
      </c>
      <c r="Y38" t="s">
        <v>61</v>
      </c>
      <c r="Z38" t="s">
        <v>61</v>
      </c>
      <c r="AA38" t="s">
        <v>61</v>
      </c>
      <c r="AB38" t="s">
        <v>61</v>
      </c>
      <c r="AC38" t="s">
        <v>61</v>
      </c>
      <c r="AD38" t="s">
        <v>48</v>
      </c>
      <c r="AE38" t="s">
        <v>89</v>
      </c>
      <c r="AF38">
        <v>0</v>
      </c>
      <c r="AG38">
        <f>('Infant dataset'!$AF38 * 30)</f>
        <v>0</v>
      </c>
      <c r="AH38">
        <v>25</v>
      </c>
      <c r="AI38" t="s">
        <v>61</v>
      </c>
      <c r="AJ38">
        <f>'Infant dataset'!$AG38+'Infant dataset'!$AH38</f>
        <v>25</v>
      </c>
      <c r="AK38" t="str">
        <f>IF('Infant dataset'!$AJ38&lt;=28,"Neonatal Death","Infant Death")</f>
        <v>Neonatal Death</v>
      </c>
      <c r="AL38" t="s">
        <v>1203</v>
      </c>
      <c r="AM38" t="s">
        <v>162</v>
      </c>
      <c r="AN38" s="140">
        <v>3730</v>
      </c>
      <c r="AO38" s="140"/>
      <c r="AP38" t="s">
        <v>61</v>
      </c>
      <c r="AQ38" t="s">
        <v>61</v>
      </c>
      <c r="AR38" t="s">
        <v>61</v>
      </c>
      <c r="AS38" t="s">
        <v>61</v>
      </c>
      <c r="AT38" t="s">
        <v>61</v>
      </c>
      <c r="AU38" t="s">
        <v>61</v>
      </c>
      <c r="AV38" t="s">
        <v>61</v>
      </c>
      <c r="AW38" t="s">
        <v>61</v>
      </c>
      <c r="AX38" t="s">
        <v>61</v>
      </c>
      <c r="AY38" t="s">
        <v>61</v>
      </c>
      <c r="AZ38" t="s">
        <v>61</v>
      </c>
      <c r="BA38" t="s">
        <v>61</v>
      </c>
      <c r="BB38" t="s">
        <v>61</v>
      </c>
      <c r="BC38" t="s">
        <v>61</v>
      </c>
      <c r="BD38" t="s">
        <v>61</v>
      </c>
      <c r="BE38" t="s">
        <v>61</v>
      </c>
      <c r="BF38" t="s">
        <v>61</v>
      </c>
      <c r="BG38" t="s">
        <v>61</v>
      </c>
      <c r="BH38" t="s">
        <v>61</v>
      </c>
      <c r="BI38" t="s">
        <v>61</v>
      </c>
      <c r="BJ38" t="s">
        <v>61</v>
      </c>
      <c r="BK38" t="s">
        <v>61</v>
      </c>
      <c r="BL38" t="s">
        <v>61</v>
      </c>
      <c r="BM38" t="s">
        <v>61</v>
      </c>
      <c r="BN38" t="s">
        <v>61</v>
      </c>
      <c r="BO38" t="s">
        <v>61</v>
      </c>
      <c r="BP38" t="s">
        <v>1398</v>
      </c>
      <c r="BQ38" t="s">
        <v>1404</v>
      </c>
      <c r="BR38" t="s">
        <v>61</v>
      </c>
    </row>
    <row r="39" spans="1:70" x14ac:dyDescent="0.3">
      <c r="A39" t="s">
        <v>1189</v>
      </c>
      <c r="B39" t="s">
        <v>759</v>
      </c>
      <c r="C39" t="s">
        <v>66</v>
      </c>
      <c r="D39" t="s">
        <v>1239</v>
      </c>
      <c r="E39" t="s">
        <v>61</v>
      </c>
      <c r="F39" t="s">
        <v>74</v>
      </c>
      <c r="G39" t="s">
        <v>39</v>
      </c>
      <c r="H39" t="str">
        <f>IF('Infant dataset'!$AJ39&lt;=28,"Neonatal Death","Infant Death")</f>
        <v>Infant Death</v>
      </c>
      <c r="I39" t="s">
        <v>61</v>
      </c>
      <c r="J39" t="s">
        <v>61</v>
      </c>
      <c r="K39" t="s">
        <v>61</v>
      </c>
      <c r="L39" t="s">
        <v>61</v>
      </c>
      <c r="M39" t="s">
        <v>61</v>
      </c>
      <c r="N39" t="s">
        <v>61</v>
      </c>
      <c r="O39" t="s">
        <v>61</v>
      </c>
      <c r="P39" t="s">
        <v>61</v>
      </c>
      <c r="Q39" t="s">
        <v>61</v>
      </c>
      <c r="R39" t="s">
        <v>61</v>
      </c>
      <c r="S39" t="s">
        <v>61</v>
      </c>
      <c r="T39" t="s">
        <v>61</v>
      </c>
      <c r="U39" t="s">
        <v>61</v>
      </c>
      <c r="V39" t="s">
        <v>61</v>
      </c>
      <c r="W39" t="s">
        <v>61</v>
      </c>
      <c r="X39" t="s">
        <v>61</v>
      </c>
      <c r="Y39" t="s">
        <v>61</v>
      </c>
      <c r="Z39" t="s">
        <v>61</v>
      </c>
      <c r="AA39" t="s">
        <v>61</v>
      </c>
      <c r="AB39" t="s">
        <v>61</v>
      </c>
      <c r="AC39" t="s">
        <v>61</v>
      </c>
      <c r="AD39" t="s">
        <v>74</v>
      </c>
      <c r="AE39" t="s">
        <v>39</v>
      </c>
      <c r="AF39">
        <v>2</v>
      </c>
      <c r="AG39">
        <f>('Infant dataset'!$AF39 * 30)</f>
        <v>60</v>
      </c>
      <c r="AH39">
        <v>8</v>
      </c>
      <c r="AI39" t="s">
        <v>61</v>
      </c>
      <c r="AJ39">
        <f>'Infant dataset'!$AG39+'Infant dataset'!$AH39</f>
        <v>68</v>
      </c>
      <c r="AK39" t="str">
        <f>IF('Infant dataset'!$AJ39&lt;=28,"Neonatal Death","Infant Death")</f>
        <v>Infant Death</v>
      </c>
      <c r="AL39" t="s">
        <v>1193</v>
      </c>
      <c r="AM39" t="s">
        <v>1192</v>
      </c>
      <c r="AN39" s="140">
        <v>3685</v>
      </c>
      <c r="AO39" s="140"/>
      <c r="AP39" t="s">
        <v>61</v>
      </c>
      <c r="AQ39" t="s">
        <v>61</v>
      </c>
      <c r="AR39" t="s">
        <v>61</v>
      </c>
      <c r="AS39" t="s">
        <v>61</v>
      </c>
      <c r="AT39" t="s">
        <v>61</v>
      </c>
      <c r="AU39" t="s">
        <v>1398</v>
      </c>
      <c r="AV39" t="s">
        <v>61</v>
      </c>
      <c r="AW39" t="s">
        <v>61</v>
      </c>
      <c r="AX39" t="s">
        <v>61</v>
      </c>
      <c r="AY39" t="s">
        <v>61</v>
      </c>
      <c r="AZ39" t="s">
        <v>61</v>
      </c>
      <c r="BA39" t="s">
        <v>61</v>
      </c>
      <c r="BB39" t="s">
        <v>61</v>
      </c>
      <c r="BC39" t="s">
        <v>61</v>
      </c>
      <c r="BD39" t="s">
        <v>61</v>
      </c>
      <c r="BE39" t="s">
        <v>61</v>
      </c>
      <c r="BF39" t="s">
        <v>61</v>
      </c>
      <c r="BG39" t="s">
        <v>61</v>
      </c>
      <c r="BH39" t="s">
        <v>61</v>
      </c>
      <c r="BI39" t="s">
        <v>61</v>
      </c>
      <c r="BJ39" t="s">
        <v>61</v>
      </c>
      <c r="BK39" t="s">
        <v>61</v>
      </c>
      <c r="BL39" t="s">
        <v>61</v>
      </c>
      <c r="BM39" t="s">
        <v>61</v>
      </c>
      <c r="BN39" t="s">
        <v>61</v>
      </c>
      <c r="BO39" t="s">
        <v>61</v>
      </c>
      <c r="BP39" t="s">
        <v>61</v>
      </c>
      <c r="BQ39" t="s">
        <v>61</v>
      </c>
      <c r="BR39" t="s">
        <v>1398</v>
      </c>
    </row>
    <row r="40" spans="1:70" x14ac:dyDescent="0.3">
      <c r="A40" t="s">
        <v>1189</v>
      </c>
      <c r="B40" t="s">
        <v>325</v>
      </c>
      <c r="C40" t="s">
        <v>66</v>
      </c>
      <c r="D40" t="s">
        <v>1326</v>
      </c>
      <c r="E40" t="s">
        <v>61</v>
      </c>
      <c r="F40" t="s">
        <v>48</v>
      </c>
      <c r="G40" t="s">
        <v>89</v>
      </c>
      <c r="H40" t="str">
        <f>IF('Infant dataset'!$AJ40&lt;=28,"Neonatal Death","Infant Death")</f>
        <v>Neonatal Death</v>
      </c>
      <c r="I40" t="s">
        <v>61</v>
      </c>
      <c r="J40" t="s">
        <v>61</v>
      </c>
      <c r="K40" t="s">
        <v>61</v>
      </c>
      <c r="L40" t="s">
        <v>61</v>
      </c>
      <c r="M40" t="s">
        <v>61</v>
      </c>
      <c r="N40" t="s">
        <v>61</v>
      </c>
      <c r="O40" t="s">
        <v>61</v>
      </c>
      <c r="P40" t="s">
        <v>61</v>
      </c>
      <c r="Q40" t="s">
        <v>61</v>
      </c>
      <c r="R40" t="s">
        <v>61</v>
      </c>
      <c r="S40" t="s">
        <v>61</v>
      </c>
      <c r="T40" t="s">
        <v>61</v>
      </c>
      <c r="U40" t="s">
        <v>61</v>
      </c>
      <c r="V40" t="s">
        <v>61</v>
      </c>
      <c r="W40" t="s">
        <v>61</v>
      </c>
      <c r="X40" t="s">
        <v>61</v>
      </c>
      <c r="Y40" t="s">
        <v>61</v>
      </c>
      <c r="Z40" t="s">
        <v>61</v>
      </c>
      <c r="AA40" t="s">
        <v>61</v>
      </c>
      <c r="AB40" t="s">
        <v>61</v>
      </c>
      <c r="AC40" t="s">
        <v>61</v>
      </c>
      <c r="AD40" t="s">
        <v>48</v>
      </c>
      <c r="AE40" t="s">
        <v>89</v>
      </c>
      <c r="AF40">
        <v>0</v>
      </c>
      <c r="AG40">
        <f>('Infant dataset'!$AF40 * 30)</f>
        <v>0</v>
      </c>
      <c r="AH40">
        <v>2</v>
      </c>
      <c r="AI40" t="s">
        <v>61</v>
      </c>
      <c r="AJ40">
        <f>'Infant dataset'!$AG40+'Infant dataset'!$AH40</f>
        <v>2</v>
      </c>
      <c r="AK40" t="str">
        <f>IF('Infant dataset'!$AJ40&lt;=28,"Neonatal Death","Infant Death")</f>
        <v>Neonatal Death</v>
      </c>
      <c r="AL40" t="s">
        <v>1192</v>
      </c>
      <c r="AM40" t="s">
        <v>1192</v>
      </c>
      <c r="AN40" s="140">
        <v>2300</v>
      </c>
      <c r="AO40" s="140"/>
      <c r="AP40" t="s">
        <v>61</v>
      </c>
      <c r="AQ40" t="s">
        <v>61</v>
      </c>
      <c r="AR40" t="s">
        <v>61</v>
      </c>
      <c r="AS40" t="s">
        <v>61</v>
      </c>
      <c r="AT40" t="s">
        <v>61</v>
      </c>
      <c r="AU40" t="s">
        <v>61</v>
      </c>
      <c r="AV40" t="s">
        <v>61</v>
      </c>
      <c r="AW40" t="s">
        <v>1398</v>
      </c>
      <c r="AX40" t="s">
        <v>61</v>
      </c>
      <c r="AY40" t="s">
        <v>61</v>
      </c>
      <c r="AZ40" t="s">
        <v>61</v>
      </c>
      <c r="BA40" t="s">
        <v>61</v>
      </c>
      <c r="BB40" t="s">
        <v>61</v>
      </c>
      <c r="BC40" t="s">
        <v>61</v>
      </c>
      <c r="BD40" t="s">
        <v>61</v>
      </c>
      <c r="BE40" t="s">
        <v>61</v>
      </c>
      <c r="BF40" t="s">
        <v>61</v>
      </c>
      <c r="BG40" t="s">
        <v>61</v>
      </c>
      <c r="BH40" t="s">
        <v>61</v>
      </c>
      <c r="BI40" t="s">
        <v>61</v>
      </c>
      <c r="BJ40" t="s">
        <v>61</v>
      </c>
      <c r="BK40" t="s">
        <v>61</v>
      </c>
      <c r="BL40" t="s">
        <v>61</v>
      </c>
      <c r="BM40" t="s">
        <v>61</v>
      </c>
      <c r="BN40" t="s">
        <v>61</v>
      </c>
      <c r="BO40" t="s">
        <v>61</v>
      </c>
      <c r="BP40" t="s">
        <v>61</v>
      </c>
      <c r="BQ40" t="s">
        <v>61</v>
      </c>
      <c r="BR40" t="s">
        <v>1398</v>
      </c>
    </row>
    <row r="41" spans="1:70" x14ac:dyDescent="0.3">
      <c r="A41" t="s">
        <v>1188</v>
      </c>
      <c r="B41" t="s">
        <v>37</v>
      </c>
      <c r="C41" t="s">
        <v>66</v>
      </c>
      <c r="D41" t="s">
        <v>462</v>
      </c>
      <c r="E41" t="s">
        <v>1398</v>
      </c>
      <c r="F41" t="s">
        <v>48</v>
      </c>
      <c r="G41" t="s">
        <v>39</v>
      </c>
      <c r="H41" t="str">
        <f>IF('Infant dataset'!$AJ41&lt;=28,"Neonatal Death","Infant Death")</f>
        <v>Neonatal Death</v>
      </c>
      <c r="I41" t="s">
        <v>61</v>
      </c>
      <c r="J41" t="s">
        <v>61</v>
      </c>
      <c r="K41" t="s">
        <v>61</v>
      </c>
      <c r="L41" t="s">
        <v>61</v>
      </c>
      <c r="M41" t="s">
        <v>61</v>
      </c>
      <c r="N41" t="s">
        <v>61</v>
      </c>
      <c r="O41" t="s">
        <v>61</v>
      </c>
      <c r="P41" t="s">
        <v>61</v>
      </c>
      <c r="Q41" t="s">
        <v>1398</v>
      </c>
      <c r="R41" t="s">
        <v>61</v>
      </c>
      <c r="S41" t="s">
        <v>61</v>
      </c>
      <c r="T41" t="s">
        <v>61</v>
      </c>
      <c r="U41" t="s">
        <v>61</v>
      </c>
      <c r="V41" t="s">
        <v>61</v>
      </c>
      <c r="W41" t="s">
        <v>61</v>
      </c>
      <c r="X41" t="s">
        <v>61</v>
      </c>
      <c r="Y41" t="s">
        <v>61</v>
      </c>
      <c r="Z41" t="s">
        <v>61</v>
      </c>
      <c r="AA41" t="s">
        <v>61</v>
      </c>
      <c r="AB41" t="s">
        <v>61</v>
      </c>
      <c r="AC41" t="s">
        <v>61</v>
      </c>
      <c r="AD41" t="s">
        <v>48</v>
      </c>
      <c r="AE41" t="s">
        <v>39</v>
      </c>
      <c r="AF41">
        <v>0</v>
      </c>
      <c r="AG41">
        <f>('Infant dataset'!$AF41 * 30)</f>
        <v>0</v>
      </c>
      <c r="AH41">
        <v>14</v>
      </c>
      <c r="AI41" t="s">
        <v>61</v>
      </c>
      <c r="AJ41">
        <f>'Infant dataset'!$AG41+'Infant dataset'!$AH41</f>
        <v>14</v>
      </c>
      <c r="AK41" t="str">
        <f>IF('Infant dataset'!$AJ41&lt;=28,"Neonatal Death","Infant Death")</f>
        <v>Neonatal Death</v>
      </c>
      <c r="AL41" t="s">
        <v>1193</v>
      </c>
      <c r="AM41" t="s">
        <v>1193</v>
      </c>
      <c r="AN41" s="140">
        <v>600</v>
      </c>
      <c r="AO41" s="140"/>
      <c r="AP41" t="s">
        <v>1398</v>
      </c>
      <c r="AQ41" t="s">
        <v>1398</v>
      </c>
      <c r="AR41" t="s">
        <v>61</v>
      </c>
      <c r="AS41" t="s">
        <v>61</v>
      </c>
      <c r="AT41" t="s">
        <v>61</v>
      </c>
      <c r="AU41" t="s">
        <v>61</v>
      </c>
      <c r="AV41" t="s">
        <v>61</v>
      </c>
      <c r="AW41" t="s">
        <v>61</v>
      </c>
      <c r="AX41" t="s">
        <v>61</v>
      </c>
      <c r="AY41" t="s">
        <v>61</v>
      </c>
      <c r="AZ41" t="s">
        <v>61</v>
      </c>
      <c r="BA41" t="s">
        <v>61</v>
      </c>
      <c r="BB41" t="s">
        <v>61</v>
      </c>
      <c r="BC41" t="s">
        <v>61</v>
      </c>
      <c r="BD41" t="s">
        <v>61</v>
      </c>
      <c r="BE41" t="s">
        <v>61</v>
      </c>
      <c r="BF41" t="s">
        <v>61</v>
      </c>
      <c r="BG41" t="s">
        <v>61</v>
      </c>
      <c r="BH41" t="s">
        <v>61</v>
      </c>
      <c r="BI41" t="s">
        <v>61</v>
      </c>
      <c r="BJ41" t="s">
        <v>61</v>
      </c>
      <c r="BK41" t="s">
        <v>61</v>
      </c>
      <c r="BL41" t="s">
        <v>61</v>
      </c>
      <c r="BM41" t="s">
        <v>61</v>
      </c>
      <c r="BN41" t="s">
        <v>61</v>
      </c>
      <c r="BO41" t="s">
        <v>61</v>
      </c>
      <c r="BP41" t="s">
        <v>61</v>
      </c>
      <c r="BQ41" t="s">
        <v>61</v>
      </c>
      <c r="BR41" t="s">
        <v>61</v>
      </c>
    </row>
    <row r="42" spans="1:70" x14ac:dyDescent="0.3">
      <c r="A42" t="s">
        <v>1188</v>
      </c>
      <c r="B42" t="s">
        <v>216</v>
      </c>
      <c r="C42" t="s">
        <v>66</v>
      </c>
      <c r="D42" t="s">
        <v>594</v>
      </c>
      <c r="E42" t="s">
        <v>1398</v>
      </c>
      <c r="F42" t="s">
        <v>48</v>
      </c>
      <c r="G42" t="s">
        <v>89</v>
      </c>
      <c r="H42" t="str">
        <f>IF('Infant dataset'!$AJ42&lt;=28,"Neonatal Death","Infant Death")</f>
        <v>Neonatal Death</v>
      </c>
      <c r="I42" t="s">
        <v>61</v>
      </c>
      <c r="J42" t="s">
        <v>1398</v>
      </c>
      <c r="K42" t="s">
        <v>61</v>
      </c>
      <c r="L42" t="s">
        <v>61</v>
      </c>
      <c r="M42" t="s">
        <v>61</v>
      </c>
      <c r="N42" t="s">
        <v>61</v>
      </c>
      <c r="O42" t="s">
        <v>61</v>
      </c>
      <c r="P42" t="s">
        <v>61</v>
      </c>
      <c r="Q42" t="s">
        <v>1398</v>
      </c>
      <c r="R42" t="s">
        <v>61</v>
      </c>
      <c r="S42" t="s">
        <v>61</v>
      </c>
      <c r="T42" t="s">
        <v>61</v>
      </c>
      <c r="U42" t="s">
        <v>61</v>
      </c>
      <c r="V42" t="s">
        <v>61</v>
      </c>
      <c r="W42" t="s">
        <v>61</v>
      </c>
      <c r="X42" t="s">
        <v>61</v>
      </c>
      <c r="Y42" t="s">
        <v>61</v>
      </c>
      <c r="Z42" t="s">
        <v>61</v>
      </c>
      <c r="AA42" t="s">
        <v>61</v>
      </c>
      <c r="AB42" t="s">
        <v>61</v>
      </c>
      <c r="AC42" t="s">
        <v>61</v>
      </c>
      <c r="AD42" t="s">
        <v>48</v>
      </c>
      <c r="AE42" t="s">
        <v>89</v>
      </c>
      <c r="AF42">
        <v>0</v>
      </c>
      <c r="AG42">
        <f>('Infant dataset'!$AF42 * 30)</f>
        <v>0</v>
      </c>
      <c r="AH42">
        <v>1</v>
      </c>
      <c r="AI42" t="s">
        <v>61</v>
      </c>
      <c r="AJ42">
        <f>'Infant dataset'!$AG42+'Infant dataset'!$AH42</f>
        <v>1</v>
      </c>
      <c r="AK42" t="str">
        <f>IF('Infant dataset'!$AJ42&lt;=28,"Neonatal Death","Infant Death")</f>
        <v>Neonatal Death</v>
      </c>
      <c r="AL42" t="s">
        <v>1350</v>
      </c>
      <c r="AM42" t="s">
        <v>1350</v>
      </c>
      <c r="AN42" s="140">
        <v>2480</v>
      </c>
      <c r="AO42" s="140"/>
      <c r="AP42" t="s">
        <v>61</v>
      </c>
      <c r="AQ42" t="s">
        <v>61</v>
      </c>
      <c r="AR42" t="s">
        <v>61</v>
      </c>
      <c r="AS42" t="s">
        <v>61</v>
      </c>
      <c r="AT42" t="s">
        <v>61</v>
      </c>
      <c r="AU42" t="s">
        <v>61</v>
      </c>
      <c r="AV42" t="s">
        <v>61</v>
      </c>
      <c r="AW42" t="s">
        <v>61</v>
      </c>
      <c r="AX42" t="s">
        <v>61</v>
      </c>
      <c r="AY42" t="s">
        <v>61</v>
      </c>
      <c r="AZ42" t="s">
        <v>61</v>
      </c>
      <c r="BA42" t="s">
        <v>1398</v>
      </c>
      <c r="BB42" t="s">
        <v>61</v>
      </c>
      <c r="BC42" t="s">
        <v>61</v>
      </c>
      <c r="BD42" t="s">
        <v>61</v>
      </c>
      <c r="BE42" t="s">
        <v>61</v>
      </c>
      <c r="BF42" t="s">
        <v>61</v>
      </c>
      <c r="BG42" t="s">
        <v>61</v>
      </c>
      <c r="BH42" t="s">
        <v>61</v>
      </c>
      <c r="BI42" t="s">
        <v>61</v>
      </c>
      <c r="BJ42" t="s">
        <v>61</v>
      </c>
      <c r="BK42" t="s">
        <v>61</v>
      </c>
      <c r="BL42" t="s">
        <v>61</v>
      </c>
      <c r="BM42" t="s">
        <v>61</v>
      </c>
      <c r="BN42" t="s">
        <v>61</v>
      </c>
      <c r="BO42" t="s">
        <v>61</v>
      </c>
      <c r="BP42" t="s">
        <v>61</v>
      </c>
      <c r="BQ42" t="s">
        <v>61</v>
      </c>
      <c r="BR42" t="s">
        <v>1398</v>
      </c>
    </row>
    <row r="43" spans="1:70" x14ac:dyDescent="0.3">
      <c r="A43" t="s">
        <v>1188</v>
      </c>
      <c r="B43" t="s">
        <v>1055</v>
      </c>
      <c r="C43" t="s">
        <v>66</v>
      </c>
      <c r="D43" t="s">
        <v>1323</v>
      </c>
      <c r="E43" t="s">
        <v>1398</v>
      </c>
      <c r="F43" t="s">
        <v>48</v>
      </c>
      <c r="G43" t="s">
        <v>39</v>
      </c>
      <c r="H43" t="str">
        <f>IF('Infant dataset'!$AJ43&lt;=28,"Neonatal Death","Infant Death")</f>
        <v>Infant Death</v>
      </c>
      <c r="I43" t="s">
        <v>61</v>
      </c>
      <c r="J43" t="s">
        <v>61</v>
      </c>
      <c r="K43" t="s">
        <v>61</v>
      </c>
      <c r="L43" t="s">
        <v>61</v>
      </c>
      <c r="M43" t="s">
        <v>61</v>
      </c>
      <c r="N43" t="s">
        <v>61</v>
      </c>
      <c r="O43" t="s">
        <v>61</v>
      </c>
      <c r="P43" t="s">
        <v>61</v>
      </c>
      <c r="Q43" t="s">
        <v>1398</v>
      </c>
      <c r="R43" t="s">
        <v>61</v>
      </c>
      <c r="S43" t="s">
        <v>61</v>
      </c>
      <c r="T43" t="s">
        <v>61</v>
      </c>
      <c r="U43" t="s">
        <v>61</v>
      </c>
      <c r="V43" t="s">
        <v>61</v>
      </c>
      <c r="W43" t="s">
        <v>61</v>
      </c>
      <c r="X43" t="s">
        <v>61</v>
      </c>
      <c r="Y43" t="s">
        <v>61</v>
      </c>
      <c r="Z43" t="s">
        <v>61</v>
      </c>
      <c r="AA43" t="s">
        <v>61</v>
      </c>
      <c r="AB43" t="s">
        <v>61</v>
      </c>
      <c r="AC43" t="s">
        <v>61</v>
      </c>
      <c r="AD43" t="s">
        <v>48</v>
      </c>
      <c r="AE43" t="s">
        <v>39</v>
      </c>
      <c r="AF43">
        <v>1</v>
      </c>
      <c r="AG43">
        <f>('Infant dataset'!$AF43 * 30)</f>
        <v>30</v>
      </c>
      <c r="AH43">
        <v>19</v>
      </c>
      <c r="AI43" t="s">
        <v>61</v>
      </c>
      <c r="AJ43">
        <f>'Infant dataset'!$AG43+'Infant dataset'!$AH43</f>
        <v>49</v>
      </c>
      <c r="AK43" t="str">
        <f>IF('Infant dataset'!$AJ43&lt;=28,"Neonatal Death","Infant Death")</f>
        <v>Infant Death</v>
      </c>
      <c r="AL43" t="s">
        <v>1193</v>
      </c>
      <c r="AM43" t="s">
        <v>1203</v>
      </c>
      <c r="AN43" s="140">
        <v>2600</v>
      </c>
      <c r="AO43" s="140"/>
      <c r="AP43" t="s">
        <v>61</v>
      </c>
      <c r="AQ43" t="s">
        <v>61</v>
      </c>
      <c r="AR43" t="s">
        <v>61</v>
      </c>
      <c r="AS43" t="s">
        <v>61</v>
      </c>
      <c r="AT43" t="s">
        <v>61</v>
      </c>
      <c r="AU43" t="s">
        <v>61</v>
      </c>
      <c r="AV43" t="s">
        <v>1398</v>
      </c>
      <c r="AW43" t="s">
        <v>61</v>
      </c>
      <c r="AX43" t="s">
        <v>61</v>
      </c>
      <c r="AY43" t="s">
        <v>61</v>
      </c>
      <c r="AZ43" t="s">
        <v>61</v>
      </c>
      <c r="BA43" t="s">
        <v>61</v>
      </c>
      <c r="BB43" t="s">
        <v>61</v>
      </c>
      <c r="BC43" t="s">
        <v>1398</v>
      </c>
      <c r="BD43" t="s">
        <v>61</v>
      </c>
      <c r="BE43" t="s">
        <v>61</v>
      </c>
      <c r="BF43" t="s">
        <v>61</v>
      </c>
      <c r="BG43" t="s">
        <v>61</v>
      </c>
      <c r="BH43" t="s">
        <v>61</v>
      </c>
      <c r="BI43" t="s">
        <v>61</v>
      </c>
      <c r="BJ43" t="s">
        <v>61</v>
      </c>
      <c r="BK43" t="s">
        <v>61</v>
      </c>
      <c r="BL43" t="s">
        <v>61</v>
      </c>
      <c r="BM43" t="s">
        <v>61</v>
      </c>
      <c r="BN43" t="s">
        <v>61</v>
      </c>
      <c r="BO43" t="s">
        <v>61</v>
      </c>
      <c r="BP43" t="s">
        <v>61</v>
      </c>
      <c r="BQ43" t="s">
        <v>61</v>
      </c>
      <c r="BR43" t="s">
        <v>1398</v>
      </c>
    </row>
    <row r="44" spans="1:70" x14ac:dyDescent="0.3">
      <c r="A44" t="s">
        <v>1188</v>
      </c>
      <c r="B44" t="s">
        <v>371</v>
      </c>
      <c r="C44" t="s">
        <v>40</v>
      </c>
      <c r="D44" t="s">
        <v>40</v>
      </c>
      <c r="E44" t="s">
        <v>1398</v>
      </c>
      <c r="F44" t="s">
        <v>48</v>
      </c>
      <c r="G44" t="s">
        <v>89</v>
      </c>
      <c r="H44" t="str">
        <f>IF('Infant dataset'!$AJ44&lt;=28,"Neonatal Death","Infant Death")</f>
        <v>Neonatal Death</v>
      </c>
      <c r="I44" t="s">
        <v>61</v>
      </c>
      <c r="J44" t="s">
        <v>61</v>
      </c>
      <c r="K44" t="s">
        <v>61</v>
      </c>
      <c r="L44" t="s">
        <v>61</v>
      </c>
      <c r="M44" t="s">
        <v>61</v>
      </c>
      <c r="N44" t="s">
        <v>61</v>
      </c>
      <c r="O44" t="s">
        <v>61</v>
      </c>
      <c r="P44" t="s">
        <v>61</v>
      </c>
      <c r="Q44" t="s">
        <v>1398</v>
      </c>
      <c r="R44" t="s">
        <v>61</v>
      </c>
      <c r="S44" t="s">
        <v>61</v>
      </c>
      <c r="T44" t="s">
        <v>61</v>
      </c>
      <c r="U44" t="s">
        <v>61</v>
      </c>
      <c r="V44" t="s">
        <v>61</v>
      </c>
      <c r="W44" t="s">
        <v>61</v>
      </c>
      <c r="X44" t="s">
        <v>61</v>
      </c>
      <c r="Y44" t="s">
        <v>61</v>
      </c>
      <c r="Z44" t="s">
        <v>61</v>
      </c>
      <c r="AA44" t="s">
        <v>61</v>
      </c>
      <c r="AB44" t="s">
        <v>61</v>
      </c>
      <c r="AC44" t="s">
        <v>61</v>
      </c>
      <c r="AD44" t="s">
        <v>48</v>
      </c>
      <c r="AE44" t="s">
        <v>89</v>
      </c>
      <c r="AF44">
        <v>0</v>
      </c>
      <c r="AG44">
        <f>('Infant dataset'!$AF44 * 30)</f>
        <v>0</v>
      </c>
      <c r="AH44">
        <v>22</v>
      </c>
      <c r="AI44" t="s">
        <v>61</v>
      </c>
      <c r="AJ44">
        <f>'Infant dataset'!$AG44+'Infant dataset'!$AH44</f>
        <v>22</v>
      </c>
      <c r="AK44" t="str">
        <f>IF('Infant dataset'!$AJ44&lt;=28,"Neonatal Death","Infant Death")</f>
        <v>Neonatal Death</v>
      </c>
      <c r="AL44" t="s">
        <v>1203</v>
      </c>
      <c r="AM44" t="s">
        <v>1203</v>
      </c>
      <c r="AN44" s="140">
        <v>1300</v>
      </c>
      <c r="AO44" s="140"/>
      <c r="AP44" t="s">
        <v>61</v>
      </c>
      <c r="AQ44" t="s">
        <v>61</v>
      </c>
      <c r="AR44" t="s">
        <v>61</v>
      </c>
      <c r="AS44" t="s">
        <v>61</v>
      </c>
      <c r="AT44" t="s">
        <v>61</v>
      </c>
      <c r="AU44" t="s">
        <v>61</v>
      </c>
      <c r="AV44" t="s">
        <v>61</v>
      </c>
      <c r="AW44" t="s">
        <v>61</v>
      </c>
      <c r="AX44" t="s">
        <v>61</v>
      </c>
      <c r="AY44" t="s">
        <v>61</v>
      </c>
      <c r="AZ44" t="s">
        <v>61</v>
      </c>
      <c r="BA44" t="s">
        <v>61</v>
      </c>
      <c r="BB44" t="s">
        <v>61</v>
      </c>
      <c r="BC44" t="s">
        <v>61</v>
      </c>
      <c r="BD44" t="s">
        <v>61</v>
      </c>
      <c r="BE44" t="s">
        <v>61</v>
      </c>
      <c r="BF44" t="s">
        <v>61</v>
      </c>
      <c r="BG44" t="s">
        <v>61</v>
      </c>
      <c r="BH44" t="s">
        <v>61</v>
      </c>
      <c r="BI44" t="s">
        <v>61</v>
      </c>
      <c r="BJ44" t="s">
        <v>61</v>
      </c>
      <c r="BK44" t="s">
        <v>61</v>
      </c>
      <c r="BL44" t="s">
        <v>61</v>
      </c>
      <c r="BM44" t="s">
        <v>61</v>
      </c>
      <c r="BN44" t="s">
        <v>61</v>
      </c>
      <c r="BO44" t="s">
        <v>61</v>
      </c>
      <c r="BP44" t="s">
        <v>1398</v>
      </c>
      <c r="BQ44" t="s">
        <v>1404</v>
      </c>
      <c r="BR44" t="s">
        <v>61</v>
      </c>
    </row>
    <row r="45" spans="1:70" x14ac:dyDescent="0.3">
      <c r="A45" t="s">
        <v>1189</v>
      </c>
      <c r="B45" t="s">
        <v>711</v>
      </c>
      <c r="C45" t="s">
        <v>66</v>
      </c>
      <c r="D45" t="s">
        <v>1327</v>
      </c>
      <c r="E45" t="s">
        <v>1398</v>
      </c>
      <c r="F45" t="s">
        <v>48</v>
      </c>
      <c r="G45" t="s">
        <v>39</v>
      </c>
      <c r="H45" t="str">
        <f>IF('Infant dataset'!$AJ45&lt;=28,"Neonatal Death","Infant Death")</f>
        <v>Infant Death</v>
      </c>
      <c r="I45" t="s">
        <v>61</v>
      </c>
      <c r="J45" t="s">
        <v>61</v>
      </c>
      <c r="K45" t="s">
        <v>61</v>
      </c>
      <c r="L45" t="s">
        <v>61</v>
      </c>
      <c r="M45" t="s">
        <v>61</v>
      </c>
      <c r="N45" t="s">
        <v>61</v>
      </c>
      <c r="O45" t="s">
        <v>61</v>
      </c>
      <c r="P45" t="s">
        <v>61</v>
      </c>
      <c r="Q45" t="s">
        <v>61</v>
      </c>
      <c r="R45" t="s">
        <v>61</v>
      </c>
      <c r="S45" t="s">
        <v>61</v>
      </c>
      <c r="T45" t="s">
        <v>61</v>
      </c>
      <c r="U45" t="s">
        <v>61</v>
      </c>
      <c r="V45" t="s">
        <v>61</v>
      </c>
      <c r="W45" t="s">
        <v>61</v>
      </c>
      <c r="X45" t="s">
        <v>61</v>
      </c>
      <c r="Y45" t="s">
        <v>61</v>
      </c>
      <c r="Z45" t="s">
        <v>61</v>
      </c>
      <c r="AA45" t="s">
        <v>61</v>
      </c>
      <c r="AB45" t="s">
        <v>1398</v>
      </c>
      <c r="AC45" t="s">
        <v>61</v>
      </c>
      <c r="AD45" t="s">
        <v>48</v>
      </c>
      <c r="AE45" t="s">
        <v>39</v>
      </c>
      <c r="AF45">
        <v>6</v>
      </c>
      <c r="AG45">
        <f>('Infant dataset'!$AF45 * 30)</f>
        <v>180</v>
      </c>
      <c r="AH45">
        <v>0</v>
      </c>
      <c r="AI45" t="s">
        <v>61</v>
      </c>
      <c r="AJ45">
        <f>'Infant dataset'!$AG45+'Infant dataset'!$AH45</f>
        <v>180</v>
      </c>
      <c r="AK45" t="str">
        <f>IF('Infant dataset'!$AJ45&lt;=28,"Neonatal Death","Infant Death")</f>
        <v>Infant Death</v>
      </c>
      <c r="AL45" t="s">
        <v>1203</v>
      </c>
      <c r="AM45" t="s">
        <v>1203</v>
      </c>
      <c r="AN45" s="140">
        <v>1100</v>
      </c>
      <c r="AO45" s="140"/>
      <c r="AP45" t="s">
        <v>61</v>
      </c>
      <c r="AQ45" t="s">
        <v>61</v>
      </c>
      <c r="AR45" t="s">
        <v>61</v>
      </c>
      <c r="AS45" t="s">
        <v>61</v>
      </c>
      <c r="AT45" t="s">
        <v>61</v>
      </c>
      <c r="AU45" t="s">
        <v>61</v>
      </c>
      <c r="AV45" t="s">
        <v>61</v>
      </c>
      <c r="AW45" t="s">
        <v>61</v>
      </c>
      <c r="AX45" t="s">
        <v>61</v>
      </c>
      <c r="AY45" t="s">
        <v>61</v>
      </c>
      <c r="AZ45" t="s">
        <v>61</v>
      </c>
      <c r="BA45" t="s">
        <v>61</v>
      </c>
      <c r="BB45" t="s">
        <v>61</v>
      </c>
      <c r="BC45" t="s">
        <v>61</v>
      </c>
      <c r="BD45" t="s">
        <v>61</v>
      </c>
      <c r="BE45" t="s">
        <v>61</v>
      </c>
      <c r="BF45" t="s">
        <v>61</v>
      </c>
      <c r="BG45" t="s">
        <v>61</v>
      </c>
      <c r="BH45" t="s">
        <v>61</v>
      </c>
      <c r="BI45" t="s">
        <v>61</v>
      </c>
      <c r="BJ45" t="s">
        <v>61</v>
      </c>
      <c r="BK45" t="s">
        <v>61</v>
      </c>
      <c r="BL45" t="s">
        <v>61</v>
      </c>
      <c r="BM45" t="s">
        <v>61</v>
      </c>
      <c r="BN45" t="s">
        <v>61</v>
      </c>
      <c r="BO45" t="s">
        <v>61</v>
      </c>
      <c r="BP45" t="s">
        <v>1398</v>
      </c>
      <c r="BQ45" t="s">
        <v>1352</v>
      </c>
      <c r="BR45" t="s">
        <v>61</v>
      </c>
    </row>
    <row r="46" spans="1:70" x14ac:dyDescent="0.3">
      <c r="A46" t="s">
        <v>1189</v>
      </c>
      <c r="B46" t="s">
        <v>577</v>
      </c>
      <c r="C46" t="s">
        <v>66</v>
      </c>
      <c r="D46" t="s">
        <v>231</v>
      </c>
      <c r="E46" t="s">
        <v>61</v>
      </c>
      <c r="F46" t="s">
        <v>74</v>
      </c>
      <c r="G46" t="s">
        <v>89</v>
      </c>
      <c r="H46" t="str">
        <f>IF('Infant dataset'!$AJ46&lt;=28,"Neonatal Death","Infant Death")</f>
        <v>Infant Death</v>
      </c>
      <c r="I46" t="s">
        <v>61</v>
      </c>
      <c r="J46" t="s">
        <v>61</v>
      </c>
      <c r="K46" t="s">
        <v>61</v>
      </c>
      <c r="L46" t="s">
        <v>61</v>
      </c>
      <c r="M46" t="s">
        <v>61</v>
      </c>
      <c r="N46" t="s">
        <v>61</v>
      </c>
      <c r="O46" t="s">
        <v>61</v>
      </c>
      <c r="P46" t="s">
        <v>61</v>
      </c>
      <c r="Q46" t="s">
        <v>61</v>
      </c>
      <c r="R46" t="s">
        <v>61</v>
      </c>
      <c r="S46" t="s">
        <v>61</v>
      </c>
      <c r="T46" t="s">
        <v>61</v>
      </c>
      <c r="U46" t="s">
        <v>61</v>
      </c>
      <c r="V46" t="s">
        <v>61</v>
      </c>
      <c r="W46" t="s">
        <v>61</v>
      </c>
      <c r="X46" t="s">
        <v>61</v>
      </c>
      <c r="Y46" t="s">
        <v>61</v>
      </c>
      <c r="Z46" t="s">
        <v>61</v>
      </c>
      <c r="AA46" t="s">
        <v>61</v>
      </c>
      <c r="AB46" t="s">
        <v>61</v>
      </c>
      <c r="AC46" t="s">
        <v>61</v>
      </c>
      <c r="AD46" t="s">
        <v>74</v>
      </c>
      <c r="AE46" t="s">
        <v>89</v>
      </c>
      <c r="AF46">
        <v>3</v>
      </c>
      <c r="AG46">
        <f>('Infant dataset'!$AF46 * 30)</f>
        <v>90</v>
      </c>
      <c r="AH46">
        <v>10</v>
      </c>
      <c r="AI46" t="s">
        <v>61</v>
      </c>
      <c r="AJ46">
        <f>'Infant dataset'!$AG46+'Infant dataset'!$AH46</f>
        <v>100</v>
      </c>
      <c r="AK46" t="str">
        <f>IF('Infant dataset'!$AJ46&lt;=28,"Neonatal Death","Infant Death")</f>
        <v>Infant Death</v>
      </c>
      <c r="AL46" t="s">
        <v>1203</v>
      </c>
      <c r="AM46" t="s">
        <v>1203</v>
      </c>
      <c r="AN46" s="140">
        <v>2998</v>
      </c>
      <c r="AO46" s="140"/>
      <c r="AP46" t="s">
        <v>61</v>
      </c>
      <c r="AQ46" t="s">
        <v>61</v>
      </c>
      <c r="AR46" t="s">
        <v>61</v>
      </c>
      <c r="AS46" t="s">
        <v>61</v>
      </c>
      <c r="AT46" t="s">
        <v>61</v>
      </c>
      <c r="AU46" t="s">
        <v>61</v>
      </c>
      <c r="AV46" t="s">
        <v>1398</v>
      </c>
      <c r="AW46" t="s">
        <v>61</v>
      </c>
      <c r="AX46" t="s">
        <v>61</v>
      </c>
      <c r="AY46" t="s">
        <v>61</v>
      </c>
      <c r="AZ46" t="s">
        <v>61</v>
      </c>
      <c r="BA46" t="s">
        <v>1398</v>
      </c>
      <c r="BB46" t="s">
        <v>1398</v>
      </c>
      <c r="BC46" t="s">
        <v>61</v>
      </c>
      <c r="BD46" t="s">
        <v>61</v>
      </c>
      <c r="BE46" t="s">
        <v>61</v>
      </c>
      <c r="BF46" t="s">
        <v>61</v>
      </c>
      <c r="BG46" t="s">
        <v>61</v>
      </c>
      <c r="BH46" t="s">
        <v>61</v>
      </c>
      <c r="BI46" t="s">
        <v>61</v>
      </c>
      <c r="BJ46" t="s">
        <v>61</v>
      </c>
      <c r="BK46" t="s">
        <v>61</v>
      </c>
      <c r="BL46" t="s">
        <v>61</v>
      </c>
      <c r="BM46" t="s">
        <v>61</v>
      </c>
      <c r="BN46" t="s">
        <v>61</v>
      </c>
      <c r="BO46" t="s">
        <v>61</v>
      </c>
      <c r="BP46" t="s">
        <v>61</v>
      </c>
      <c r="BQ46" t="s">
        <v>61</v>
      </c>
      <c r="BR46" t="s">
        <v>1398</v>
      </c>
    </row>
    <row r="47" spans="1:70" x14ac:dyDescent="0.3">
      <c r="A47" t="s">
        <v>1189</v>
      </c>
      <c r="B47" t="s">
        <v>891</v>
      </c>
      <c r="C47" t="s">
        <v>66</v>
      </c>
      <c r="D47" t="s">
        <v>231</v>
      </c>
      <c r="E47" t="s">
        <v>61</v>
      </c>
      <c r="F47" t="s">
        <v>48</v>
      </c>
      <c r="G47" t="s">
        <v>39</v>
      </c>
      <c r="H47" t="str">
        <f>IF('Infant dataset'!$AJ47&lt;=28,"Neonatal Death","Infant Death")</f>
        <v>Neonatal Death</v>
      </c>
      <c r="I47" t="s">
        <v>61</v>
      </c>
      <c r="J47" t="s">
        <v>61</v>
      </c>
      <c r="K47" t="s">
        <v>61</v>
      </c>
      <c r="L47" t="s">
        <v>61</v>
      </c>
      <c r="M47" t="s">
        <v>61</v>
      </c>
      <c r="N47" t="s">
        <v>61</v>
      </c>
      <c r="O47" t="s">
        <v>61</v>
      </c>
      <c r="P47" t="s">
        <v>61</v>
      </c>
      <c r="Q47" t="s">
        <v>61</v>
      </c>
      <c r="R47" t="s">
        <v>61</v>
      </c>
      <c r="S47" t="s">
        <v>61</v>
      </c>
      <c r="T47" t="s">
        <v>61</v>
      </c>
      <c r="U47" t="s">
        <v>61</v>
      </c>
      <c r="V47" t="s">
        <v>61</v>
      </c>
      <c r="W47" t="s">
        <v>61</v>
      </c>
      <c r="X47" t="s">
        <v>61</v>
      </c>
      <c r="Y47" t="s">
        <v>61</v>
      </c>
      <c r="Z47" t="s">
        <v>61</v>
      </c>
      <c r="AA47" t="s">
        <v>61</v>
      </c>
      <c r="AB47" t="s">
        <v>61</v>
      </c>
      <c r="AC47" t="s">
        <v>61</v>
      </c>
      <c r="AD47" t="s">
        <v>48</v>
      </c>
      <c r="AE47" t="s">
        <v>39</v>
      </c>
      <c r="AF47">
        <v>0</v>
      </c>
      <c r="AG47">
        <f>('Infant dataset'!$AF47 * 30)</f>
        <v>0</v>
      </c>
      <c r="AH47">
        <v>3</v>
      </c>
      <c r="AI47" t="s">
        <v>61</v>
      </c>
      <c r="AJ47">
        <f>'Infant dataset'!$AG47+'Infant dataset'!$AH47</f>
        <v>3</v>
      </c>
      <c r="AK47" t="str">
        <f>IF('Infant dataset'!$AJ47&lt;=28,"Neonatal Death","Infant Death")</f>
        <v>Neonatal Death</v>
      </c>
      <c r="AL47" t="s">
        <v>1193</v>
      </c>
      <c r="AM47" t="s">
        <v>1193</v>
      </c>
      <c r="AN47" s="140">
        <v>650</v>
      </c>
      <c r="AO47" s="140"/>
      <c r="AP47" t="s">
        <v>1398</v>
      </c>
      <c r="AQ47" t="s">
        <v>1398</v>
      </c>
      <c r="AR47" t="s">
        <v>61</v>
      </c>
      <c r="AS47" t="s">
        <v>61</v>
      </c>
      <c r="AT47" t="s">
        <v>61</v>
      </c>
      <c r="AU47" t="s">
        <v>61</v>
      </c>
      <c r="AV47" t="s">
        <v>61</v>
      </c>
      <c r="AW47" t="s">
        <v>61</v>
      </c>
      <c r="AX47" t="s">
        <v>61</v>
      </c>
      <c r="AY47" t="s">
        <v>61</v>
      </c>
      <c r="AZ47" t="s">
        <v>61</v>
      </c>
      <c r="BA47" t="s">
        <v>61</v>
      </c>
      <c r="BB47" t="s">
        <v>61</v>
      </c>
      <c r="BC47" t="s">
        <v>61</v>
      </c>
      <c r="BD47" t="s">
        <v>61</v>
      </c>
      <c r="BE47" t="s">
        <v>61</v>
      </c>
      <c r="BF47" t="s">
        <v>61</v>
      </c>
      <c r="BG47" t="s">
        <v>61</v>
      </c>
      <c r="BH47" t="s">
        <v>61</v>
      </c>
      <c r="BI47" t="s">
        <v>61</v>
      </c>
      <c r="BJ47" t="s">
        <v>61</v>
      </c>
      <c r="BK47" t="s">
        <v>61</v>
      </c>
      <c r="BL47" t="s">
        <v>61</v>
      </c>
      <c r="BM47" t="s">
        <v>61</v>
      </c>
      <c r="BN47" t="s">
        <v>61</v>
      </c>
      <c r="BO47" t="s">
        <v>61</v>
      </c>
      <c r="BP47" t="s">
        <v>61</v>
      </c>
      <c r="BQ47" t="s">
        <v>61</v>
      </c>
      <c r="BR47" t="s">
        <v>61</v>
      </c>
    </row>
    <row r="48" spans="1:70" x14ac:dyDescent="0.3">
      <c r="A48" t="s">
        <v>1190</v>
      </c>
      <c r="B48" t="s">
        <v>1068</v>
      </c>
      <c r="C48" t="s">
        <v>66</v>
      </c>
      <c r="D48" t="s">
        <v>1144</v>
      </c>
      <c r="E48" t="s">
        <v>61</v>
      </c>
      <c r="F48" t="s">
        <v>48</v>
      </c>
      <c r="G48" t="s">
        <v>39</v>
      </c>
      <c r="H48" t="str">
        <f>IF('Infant dataset'!$AJ48&lt;=28,"Neonatal Death","Infant Death")</f>
        <v>Neonatal Death</v>
      </c>
      <c r="I48" t="s">
        <v>61</v>
      </c>
      <c r="J48" t="s">
        <v>61</v>
      </c>
      <c r="K48" t="s">
        <v>61</v>
      </c>
      <c r="L48" t="s">
        <v>61</v>
      </c>
      <c r="M48" t="s">
        <v>61</v>
      </c>
      <c r="N48" t="s">
        <v>61</v>
      </c>
      <c r="O48" t="s">
        <v>61</v>
      </c>
      <c r="P48" t="s">
        <v>61</v>
      </c>
      <c r="Q48" t="s">
        <v>61</v>
      </c>
      <c r="R48" t="s">
        <v>61</v>
      </c>
      <c r="S48" t="s">
        <v>61</v>
      </c>
      <c r="T48" t="s">
        <v>61</v>
      </c>
      <c r="U48" t="s">
        <v>61</v>
      </c>
      <c r="V48" t="s">
        <v>61</v>
      </c>
      <c r="W48" t="s">
        <v>61</v>
      </c>
      <c r="X48" t="s">
        <v>61</v>
      </c>
      <c r="Y48" t="s">
        <v>61</v>
      </c>
      <c r="Z48" t="s">
        <v>61</v>
      </c>
      <c r="AA48" t="s">
        <v>61</v>
      </c>
      <c r="AB48" t="s">
        <v>61</v>
      </c>
      <c r="AC48" t="s">
        <v>61</v>
      </c>
      <c r="AD48" t="s">
        <v>48</v>
      </c>
      <c r="AE48" t="s">
        <v>39</v>
      </c>
      <c r="AF48">
        <v>0</v>
      </c>
      <c r="AG48">
        <f>('Infant dataset'!$AF48 * 30)</f>
        <v>0</v>
      </c>
      <c r="AH48">
        <v>4</v>
      </c>
      <c r="AI48" t="s">
        <v>61</v>
      </c>
      <c r="AJ48">
        <f>'Infant dataset'!$AG48+'Infant dataset'!$AH48</f>
        <v>4</v>
      </c>
      <c r="AK48" t="str">
        <f>IF('Infant dataset'!$AJ48&lt;=28,"Neonatal Death","Infant Death")</f>
        <v>Neonatal Death</v>
      </c>
      <c r="AL48" t="s">
        <v>1193</v>
      </c>
      <c r="AM48" t="s">
        <v>1193</v>
      </c>
      <c r="AN48" s="140">
        <v>960</v>
      </c>
      <c r="AO48" s="140"/>
      <c r="AP48" t="s">
        <v>1398</v>
      </c>
      <c r="AQ48" t="s">
        <v>1398</v>
      </c>
      <c r="AR48" t="s">
        <v>61</v>
      </c>
      <c r="AS48" t="s">
        <v>61</v>
      </c>
      <c r="AT48" t="s">
        <v>61</v>
      </c>
      <c r="AU48" t="s">
        <v>61</v>
      </c>
      <c r="AV48" t="s">
        <v>61</v>
      </c>
      <c r="AW48" t="s">
        <v>61</v>
      </c>
      <c r="AX48" t="s">
        <v>61</v>
      </c>
      <c r="AY48" t="s">
        <v>61</v>
      </c>
      <c r="AZ48" t="s">
        <v>61</v>
      </c>
      <c r="BA48" t="s">
        <v>61</v>
      </c>
      <c r="BB48" t="s">
        <v>61</v>
      </c>
      <c r="BC48" t="s">
        <v>61</v>
      </c>
      <c r="BD48" t="s">
        <v>61</v>
      </c>
      <c r="BE48" t="s">
        <v>61</v>
      </c>
      <c r="BF48" t="s">
        <v>61</v>
      </c>
      <c r="BG48" t="s">
        <v>61</v>
      </c>
      <c r="BH48" t="s">
        <v>61</v>
      </c>
      <c r="BI48" t="s">
        <v>61</v>
      </c>
      <c r="BJ48" t="s">
        <v>61</v>
      </c>
      <c r="BK48" t="s">
        <v>61</v>
      </c>
      <c r="BL48" t="s">
        <v>61</v>
      </c>
      <c r="BM48" t="s">
        <v>61</v>
      </c>
      <c r="BN48" t="s">
        <v>61</v>
      </c>
      <c r="BO48" t="s">
        <v>61</v>
      </c>
      <c r="BP48" t="s">
        <v>61</v>
      </c>
      <c r="BQ48" t="s">
        <v>61</v>
      </c>
      <c r="BR48" t="s">
        <v>61</v>
      </c>
    </row>
    <row r="49" spans="1:70" x14ac:dyDescent="0.3">
      <c r="A49" t="s">
        <v>1190</v>
      </c>
      <c r="B49" t="s">
        <v>1142</v>
      </c>
      <c r="C49" t="s">
        <v>66</v>
      </c>
      <c r="D49" t="s">
        <v>231</v>
      </c>
      <c r="E49" t="s">
        <v>1398</v>
      </c>
      <c r="F49" t="s">
        <v>48</v>
      </c>
      <c r="G49" t="s">
        <v>39</v>
      </c>
      <c r="H49" t="str">
        <f>IF('Infant dataset'!$AJ49&lt;=28,"Neonatal Death","Infant Death")</f>
        <v>Infant Death</v>
      </c>
      <c r="I49" t="s">
        <v>61</v>
      </c>
      <c r="J49" t="s">
        <v>61</v>
      </c>
      <c r="K49" t="s">
        <v>61</v>
      </c>
      <c r="L49" t="s">
        <v>61</v>
      </c>
      <c r="M49" t="s">
        <v>61</v>
      </c>
      <c r="N49" t="s">
        <v>61</v>
      </c>
      <c r="O49" t="s">
        <v>61</v>
      </c>
      <c r="P49" t="s">
        <v>61</v>
      </c>
      <c r="Q49" t="s">
        <v>61</v>
      </c>
      <c r="R49" t="s">
        <v>61</v>
      </c>
      <c r="S49" t="s">
        <v>61</v>
      </c>
      <c r="T49" t="s">
        <v>61</v>
      </c>
      <c r="U49" t="s">
        <v>61</v>
      </c>
      <c r="V49" t="s">
        <v>61</v>
      </c>
      <c r="W49" t="s">
        <v>61</v>
      </c>
      <c r="X49" t="s">
        <v>61</v>
      </c>
      <c r="Y49" t="s">
        <v>61</v>
      </c>
      <c r="Z49" t="s">
        <v>61</v>
      </c>
      <c r="AA49" t="s">
        <v>61</v>
      </c>
      <c r="AB49" t="s">
        <v>1398</v>
      </c>
      <c r="AC49" t="s">
        <v>61</v>
      </c>
      <c r="AD49" t="s">
        <v>48</v>
      </c>
      <c r="AE49" t="s">
        <v>39</v>
      </c>
      <c r="AF49">
        <v>4</v>
      </c>
      <c r="AG49">
        <f>('Infant dataset'!$AF49 * 30)</f>
        <v>120</v>
      </c>
      <c r="AH49">
        <v>0</v>
      </c>
      <c r="AI49" t="s">
        <v>61</v>
      </c>
      <c r="AJ49">
        <f>'Infant dataset'!$AG49+'Infant dataset'!$AH49</f>
        <v>120</v>
      </c>
      <c r="AK49" t="str">
        <f>IF('Infant dataset'!$AJ49&lt;=28,"Neonatal Death","Infant Death")</f>
        <v>Infant Death</v>
      </c>
      <c r="AL49" t="s">
        <v>1203</v>
      </c>
      <c r="AM49" t="s">
        <v>1203</v>
      </c>
      <c r="AN49" s="140">
        <v>640</v>
      </c>
      <c r="AO49" s="140"/>
      <c r="AP49" t="s">
        <v>1398</v>
      </c>
      <c r="AQ49" t="s">
        <v>1398</v>
      </c>
      <c r="AR49" t="s">
        <v>61</v>
      </c>
      <c r="AS49" t="s">
        <v>61</v>
      </c>
      <c r="AT49" t="s">
        <v>61</v>
      </c>
      <c r="AU49" t="s">
        <v>61</v>
      </c>
      <c r="AV49" t="s">
        <v>61</v>
      </c>
      <c r="AW49" t="s">
        <v>61</v>
      </c>
      <c r="AX49" t="s">
        <v>61</v>
      </c>
      <c r="AY49" t="s">
        <v>61</v>
      </c>
      <c r="AZ49" t="s">
        <v>61</v>
      </c>
      <c r="BA49" t="s">
        <v>61</v>
      </c>
      <c r="BB49" t="s">
        <v>61</v>
      </c>
      <c r="BC49" t="s">
        <v>61</v>
      </c>
      <c r="BD49" t="s">
        <v>61</v>
      </c>
      <c r="BE49" t="s">
        <v>61</v>
      </c>
      <c r="BF49" t="s">
        <v>61</v>
      </c>
      <c r="BG49" t="s">
        <v>61</v>
      </c>
      <c r="BH49" t="s">
        <v>61</v>
      </c>
      <c r="BI49" t="s">
        <v>61</v>
      </c>
      <c r="BJ49" t="s">
        <v>61</v>
      </c>
      <c r="BK49" t="s">
        <v>61</v>
      </c>
      <c r="BL49" t="s">
        <v>61</v>
      </c>
      <c r="BM49" t="s">
        <v>61</v>
      </c>
      <c r="BN49" t="s">
        <v>61</v>
      </c>
      <c r="BO49" t="s">
        <v>61</v>
      </c>
      <c r="BP49" t="s">
        <v>61</v>
      </c>
      <c r="BQ49" t="s">
        <v>61</v>
      </c>
      <c r="BR49" t="s">
        <v>61</v>
      </c>
    </row>
    <row r="50" spans="1:70" x14ac:dyDescent="0.3">
      <c r="A50" t="s">
        <v>1190</v>
      </c>
      <c r="B50" t="s">
        <v>400</v>
      </c>
      <c r="C50" t="s">
        <v>66</v>
      </c>
      <c r="D50" t="s">
        <v>462</v>
      </c>
      <c r="E50" t="s">
        <v>61</v>
      </c>
      <c r="F50" t="s">
        <v>48</v>
      </c>
      <c r="G50" t="s">
        <v>39</v>
      </c>
      <c r="H50" t="str">
        <f>IF('Infant dataset'!$AJ50&lt;=28,"Neonatal Death","Infant Death")</f>
        <v>Neonatal Death</v>
      </c>
      <c r="I50" t="s">
        <v>61</v>
      </c>
      <c r="J50" t="s">
        <v>61</v>
      </c>
      <c r="K50" t="s">
        <v>61</v>
      </c>
      <c r="L50" t="s">
        <v>61</v>
      </c>
      <c r="M50" t="s">
        <v>61</v>
      </c>
      <c r="N50" t="s">
        <v>61</v>
      </c>
      <c r="O50" t="s">
        <v>61</v>
      </c>
      <c r="P50" t="s">
        <v>61</v>
      </c>
      <c r="Q50" t="s">
        <v>61</v>
      </c>
      <c r="R50" t="s">
        <v>61</v>
      </c>
      <c r="S50" t="s">
        <v>61</v>
      </c>
      <c r="T50" t="s">
        <v>61</v>
      </c>
      <c r="U50" t="s">
        <v>61</v>
      </c>
      <c r="V50" t="s">
        <v>61</v>
      </c>
      <c r="W50" t="s">
        <v>61</v>
      </c>
      <c r="X50" t="s">
        <v>61</v>
      </c>
      <c r="Y50" t="s">
        <v>61</v>
      </c>
      <c r="Z50" t="s">
        <v>61</v>
      </c>
      <c r="AA50" t="s">
        <v>61</v>
      </c>
      <c r="AB50" t="s">
        <v>61</v>
      </c>
      <c r="AC50" t="s">
        <v>61</v>
      </c>
      <c r="AD50" t="s">
        <v>48</v>
      </c>
      <c r="AE50" t="s">
        <v>39</v>
      </c>
      <c r="AF50">
        <v>0</v>
      </c>
      <c r="AG50">
        <f>('Infant dataset'!$AF50 * 30)</f>
        <v>0</v>
      </c>
      <c r="AH50">
        <v>4</v>
      </c>
      <c r="AI50" t="s">
        <v>61</v>
      </c>
      <c r="AJ50">
        <f>'Infant dataset'!$AG50+'Infant dataset'!$AH50</f>
        <v>4</v>
      </c>
      <c r="AK50" t="str">
        <f>IF('Infant dataset'!$AJ50&lt;=28,"Neonatal Death","Infant Death")</f>
        <v>Neonatal Death</v>
      </c>
      <c r="AL50" t="s">
        <v>1193</v>
      </c>
      <c r="AM50" t="s">
        <v>1193</v>
      </c>
      <c r="AN50" s="140">
        <v>1004</v>
      </c>
      <c r="AO50" s="140"/>
      <c r="AP50" t="s">
        <v>1398</v>
      </c>
      <c r="AQ50" t="s">
        <v>61</v>
      </c>
      <c r="AR50" t="s">
        <v>61</v>
      </c>
      <c r="AS50" t="s">
        <v>1398</v>
      </c>
      <c r="AT50" t="s">
        <v>61</v>
      </c>
      <c r="AU50" t="s">
        <v>61</v>
      </c>
      <c r="AV50" t="s">
        <v>61</v>
      </c>
      <c r="AW50" t="s">
        <v>61</v>
      </c>
      <c r="AX50" t="s">
        <v>61</v>
      </c>
      <c r="AY50" t="s">
        <v>61</v>
      </c>
      <c r="AZ50" t="s">
        <v>61</v>
      </c>
      <c r="BA50" t="s">
        <v>61</v>
      </c>
      <c r="BB50" t="s">
        <v>61</v>
      </c>
      <c r="BC50" t="s">
        <v>61</v>
      </c>
      <c r="BD50" t="s">
        <v>61</v>
      </c>
      <c r="BE50" t="s">
        <v>61</v>
      </c>
      <c r="BF50" t="s">
        <v>61</v>
      </c>
      <c r="BG50" t="s">
        <v>61</v>
      </c>
      <c r="BH50" t="s">
        <v>61</v>
      </c>
      <c r="BI50" t="s">
        <v>61</v>
      </c>
      <c r="BJ50" t="s">
        <v>61</v>
      </c>
      <c r="BK50" t="s">
        <v>61</v>
      </c>
      <c r="BL50" t="s">
        <v>61</v>
      </c>
      <c r="BM50" t="s">
        <v>61</v>
      </c>
      <c r="BN50" t="s">
        <v>61</v>
      </c>
      <c r="BO50" t="s">
        <v>61</v>
      </c>
      <c r="BP50" t="s">
        <v>61</v>
      </c>
      <c r="BQ50" t="s">
        <v>61</v>
      </c>
      <c r="BR50" t="s">
        <v>61</v>
      </c>
    </row>
    <row r="51" spans="1:70" x14ac:dyDescent="0.3">
      <c r="A51" t="s">
        <v>1188</v>
      </c>
      <c r="B51" t="s">
        <v>1320</v>
      </c>
      <c r="C51" t="s">
        <v>40</v>
      </c>
      <c r="D51" t="s">
        <v>40</v>
      </c>
      <c r="E51" t="s">
        <v>1398</v>
      </c>
      <c r="F51" t="s">
        <v>48</v>
      </c>
      <c r="G51" t="s">
        <v>39</v>
      </c>
      <c r="H51" t="str">
        <f>IF('Infant dataset'!$AJ51&lt;=28,"Neonatal Death","Infant Death")</f>
        <v>Neonatal Death</v>
      </c>
      <c r="I51" t="s">
        <v>61</v>
      </c>
      <c r="J51" t="s">
        <v>61</v>
      </c>
      <c r="K51" t="s">
        <v>61</v>
      </c>
      <c r="L51" t="s">
        <v>61</v>
      </c>
      <c r="M51" s="117" t="s">
        <v>61</v>
      </c>
      <c r="N51" s="117" t="s">
        <v>1398</v>
      </c>
      <c r="O51" s="117" t="s">
        <v>61</v>
      </c>
      <c r="P51" t="s">
        <v>61</v>
      </c>
      <c r="Q51" t="s">
        <v>61</v>
      </c>
      <c r="R51" t="s">
        <v>61</v>
      </c>
      <c r="S51" t="s">
        <v>61</v>
      </c>
      <c r="T51" t="s">
        <v>61</v>
      </c>
      <c r="U51" t="s">
        <v>61</v>
      </c>
      <c r="V51" t="s">
        <v>61</v>
      </c>
      <c r="W51" t="s">
        <v>61</v>
      </c>
      <c r="X51" t="s">
        <v>61</v>
      </c>
      <c r="Y51" t="s">
        <v>61</v>
      </c>
      <c r="Z51" t="s">
        <v>61</v>
      </c>
      <c r="AA51" t="s">
        <v>61</v>
      </c>
      <c r="AB51" t="s">
        <v>61</v>
      </c>
      <c r="AC51" t="s">
        <v>61</v>
      </c>
      <c r="AD51" t="s">
        <v>48</v>
      </c>
      <c r="AE51" t="s">
        <v>39</v>
      </c>
      <c r="AF51">
        <v>0</v>
      </c>
      <c r="AG51">
        <f>('Infant dataset'!$AF51 * 30)</f>
        <v>0</v>
      </c>
      <c r="AH51">
        <v>5</v>
      </c>
      <c r="AI51" t="s">
        <v>61</v>
      </c>
      <c r="AJ51">
        <f>'Infant dataset'!$AG51+'Infant dataset'!$AH51</f>
        <v>5</v>
      </c>
      <c r="AK51" t="str">
        <f>IF('Infant dataset'!$AJ51&lt;=28,"Neonatal Death","Infant Death")</f>
        <v>Neonatal Death</v>
      </c>
      <c r="AL51" t="s">
        <v>1193</v>
      </c>
      <c r="AM51" t="s">
        <v>1193</v>
      </c>
      <c r="AN51" s="140">
        <v>1220</v>
      </c>
      <c r="AO51" s="140"/>
      <c r="AP51" t="s">
        <v>1398</v>
      </c>
      <c r="AQ51" t="s">
        <v>61</v>
      </c>
      <c r="AR51" t="s">
        <v>61</v>
      </c>
      <c r="AS51" t="s">
        <v>1398</v>
      </c>
      <c r="AT51" t="s">
        <v>61</v>
      </c>
      <c r="AU51" t="s">
        <v>61</v>
      </c>
      <c r="AV51" t="s">
        <v>61</v>
      </c>
      <c r="AW51" t="s">
        <v>61</v>
      </c>
      <c r="AX51" t="s">
        <v>61</v>
      </c>
      <c r="AY51" t="s">
        <v>61</v>
      </c>
      <c r="AZ51" t="s">
        <v>61</v>
      </c>
      <c r="BA51" t="s">
        <v>1398</v>
      </c>
      <c r="BB51" t="s">
        <v>61</v>
      </c>
      <c r="BC51" t="s">
        <v>61</v>
      </c>
      <c r="BD51" t="s">
        <v>61</v>
      </c>
      <c r="BE51" t="s">
        <v>61</v>
      </c>
      <c r="BF51" t="s">
        <v>61</v>
      </c>
      <c r="BG51" t="s">
        <v>61</v>
      </c>
      <c r="BH51" t="s">
        <v>61</v>
      </c>
      <c r="BI51" t="s">
        <v>61</v>
      </c>
      <c r="BJ51" t="s">
        <v>61</v>
      </c>
      <c r="BK51" t="s">
        <v>61</v>
      </c>
      <c r="BL51" t="s">
        <v>61</v>
      </c>
      <c r="BM51" t="s">
        <v>61</v>
      </c>
      <c r="BN51" t="s">
        <v>61</v>
      </c>
      <c r="BO51" t="s">
        <v>61</v>
      </c>
      <c r="BP51" t="s">
        <v>61</v>
      </c>
      <c r="BQ51" t="s">
        <v>61</v>
      </c>
      <c r="BR51" t="s">
        <v>61</v>
      </c>
    </row>
    <row r="52" spans="1:70" x14ac:dyDescent="0.3">
      <c r="A52" t="s">
        <v>1188</v>
      </c>
      <c r="B52" t="s">
        <v>1321</v>
      </c>
      <c r="C52" t="s">
        <v>66</v>
      </c>
      <c r="D52" t="s">
        <v>462</v>
      </c>
      <c r="E52" t="s">
        <v>1398</v>
      </c>
      <c r="F52" t="s">
        <v>48</v>
      </c>
      <c r="G52" t="s">
        <v>89</v>
      </c>
      <c r="H52" t="str">
        <f>IF('Infant dataset'!$AJ52&lt;=28,"Neonatal Death","Infant Death")</f>
        <v>Infant Death</v>
      </c>
      <c r="I52" t="s">
        <v>61</v>
      </c>
      <c r="J52" t="s">
        <v>61</v>
      </c>
      <c r="K52" t="s">
        <v>61</v>
      </c>
      <c r="L52" t="s">
        <v>61</v>
      </c>
      <c r="M52" t="s">
        <v>61</v>
      </c>
      <c r="N52" t="s">
        <v>61</v>
      </c>
      <c r="O52" t="s">
        <v>61</v>
      </c>
      <c r="P52" t="s">
        <v>1398</v>
      </c>
      <c r="Q52" t="s">
        <v>61</v>
      </c>
      <c r="R52" t="s">
        <v>61</v>
      </c>
      <c r="S52" t="s">
        <v>61</v>
      </c>
      <c r="T52" t="s">
        <v>61</v>
      </c>
      <c r="U52" t="s">
        <v>61</v>
      </c>
      <c r="V52" t="s">
        <v>61</v>
      </c>
      <c r="W52" t="s">
        <v>61</v>
      </c>
      <c r="X52" t="s">
        <v>61</v>
      </c>
      <c r="Y52" t="s">
        <v>61</v>
      </c>
      <c r="Z52" t="s">
        <v>61</v>
      </c>
      <c r="AA52" t="s">
        <v>61</v>
      </c>
      <c r="AB52" t="s">
        <v>61</v>
      </c>
      <c r="AC52" t="s">
        <v>61</v>
      </c>
      <c r="AD52" t="s">
        <v>48</v>
      </c>
      <c r="AE52" t="s">
        <v>89</v>
      </c>
      <c r="AF52">
        <v>11</v>
      </c>
      <c r="AG52">
        <f>('Infant dataset'!$AF52 * 30)</f>
        <v>330</v>
      </c>
      <c r="AH52">
        <v>0</v>
      </c>
      <c r="AI52" t="s">
        <v>61</v>
      </c>
      <c r="AJ52">
        <f>'Infant dataset'!$AG52+'Infant dataset'!$AH52</f>
        <v>330</v>
      </c>
      <c r="AK52" t="str">
        <f>IF('Infant dataset'!$AJ52&lt;=28,"Neonatal Death","Infant Death")</f>
        <v>Infant Death</v>
      </c>
      <c r="AL52" t="s">
        <v>1193</v>
      </c>
      <c r="AM52" t="s">
        <v>1193</v>
      </c>
      <c r="AN52" s="140">
        <v>3400</v>
      </c>
      <c r="AO52" s="140"/>
      <c r="AP52" t="s">
        <v>61</v>
      </c>
      <c r="AQ52" t="s">
        <v>61</v>
      </c>
      <c r="AR52" t="s">
        <v>61</v>
      </c>
      <c r="AS52" t="s">
        <v>61</v>
      </c>
      <c r="AT52" t="s">
        <v>61</v>
      </c>
      <c r="AU52" t="s">
        <v>61</v>
      </c>
      <c r="AV52" t="s">
        <v>61</v>
      </c>
      <c r="AW52" t="s">
        <v>61</v>
      </c>
      <c r="AX52" t="s">
        <v>61</v>
      </c>
      <c r="AY52" t="s">
        <v>61</v>
      </c>
      <c r="AZ52" t="s">
        <v>61</v>
      </c>
      <c r="BA52" t="s">
        <v>61</v>
      </c>
      <c r="BB52" t="s">
        <v>61</v>
      </c>
      <c r="BC52" t="s">
        <v>61</v>
      </c>
      <c r="BD52" t="s">
        <v>61</v>
      </c>
      <c r="BE52" t="s">
        <v>61</v>
      </c>
      <c r="BF52" t="s">
        <v>61</v>
      </c>
      <c r="BG52" t="s">
        <v>61</v>
      </c>
      <c r="BH52" t="s">
        <v>61</v>
      </c>
      <c r="BI52" t="s">
        <v>61</v>
      </c>
      <c r="BJ52" t="s">
        <v>61</v>
      </c>
      <c r="BK52" t="s">
        <v>61</v>
      </c>
      <c r="BL52" t="s">
        <v>61</v>
      </c>
      <c r="BM52" t="s">
        <v>61</v>
      </c>
      <c r="BN52" t="s">
        <v>61</v>
      </c>
      <c r="BO52" t="s">
        <v>61</v>
      </c>
      <c r="BP52" t="s">
        <v>1398</v>
      </c>
      <c r="BQ52" t="s">
        <v>1353</v>
      </c>
      <c r="BR52" t="s">
        <v>61</v>
      </c>
    </row>
    <row r="53" spans="1:70" x14ac:dyDescent="0.3">
      <c r="A53" t="s">
        <v>1188</v>
      </c>
      <c r="B53" t="s">
        <v>142</v>
      </c>
      <c r="C53" t="s">
        <v>66</v>
      </c>
      <c r="D53" t="s">
        <v>159</v>
      </c>
      <c r="E53" t="s">
        <v>1398</v>
      </c>
      <c r="F53" t="s">
        <v>74</v>
      </c>
      <c r="G53" t="s">
        <v>89</v>
      </c>
      <c r="H53" t="str">
        <f>IF('Infant dataset'!$AJ53&lt;=28,"Neonatal Death","Infant Death")</f>
        <v>Infant Death</v>
      </c>
      <c r="I53" t="s">
        <v>61</v>
      </c>
      <c r="J53" t="s">
        <v>61</v>
      </c>
      <c r="K53" t="s">
        <v>1398</v>
      </c>
      <c r="L53" t="s">
        <v>61</v>
      </c>
      <c r="M53" s="117" t="s">
        <v>61</v>
      </c>
      <c r="N53" s="117" t="s">
        <v>61</v>
      </c>
      <c r="O53" s="117" t="s">
        <v>1398</v>
      </c>
      <c r="P53" t="s">
        <v>61</v>
      </c>
      <c r="Q53" t="s">
        <v>61</v>
      </c>
      <c r="R53" t="s">
        <v>61</v>
      </c>
      <c r="S53" t="s">
        <v>61</v>
      </c>
      <c r="T53" t="s">
        <v>61</v>
      </c>
      <c r="U53" t="s">
        <v>61</v>
      </c>
      <c r="V53" t="s">
        <v>61</v>
      </c>
      <c r="W53" t="s">
        <v>61</v>
      </c>
      <c r="X53" t="s">
        <v>61</v>
      </c>
      <c r="Y53" t="s">
        <v>61</v>
      </c>
      <c r="Z53" t="s">
        <v>61</v>
      </c>
      <c r="AA53" t="s">
        <v>61</v>
      </c>
      <c r="AB53" t="s">
        <v>61</v>
      </c>
      <c r="AC53" t="s">
        <v>61</v>
      </c>
      <c r="AD53" t="s">
        <v>74</v>
      </c>
      <c r="AE53" t="s">
        <v>89</v>
      </c>
      <c r="AF53">
        <v>4</v>
      </c>
      <c r="AG53">
        <f>('Infant dataset'!$AF53 * 30)</f>
        <v>120</v>
      </c>
      <c r="AH53">
        <v>2</v>
      </c>
      <c r="AI53" t="s">
        <v>61</v>
      </c>
      <c r="AJ53">
        <f>'Infant dataset'!$AG53+'Infant dataset'!$AH53</f>
        <v>122</v>
      </c>
      <c r="AK53" t="str">
        <f>IF('Infant dataset'!$AJ53&lt;=28,"Neonatal Death","Infant Death")</f>
        <v>Infant Death</v>
      </c>
      <c r="AL53" t="s">
        <v>1193</v>
      </c>
      <c r="AM53" t="s">
        <v>162</v>
      </c>
      <c r="AN53" s="140">
        <v>2780</v>
      </c>
      <c r="AO53" s="140"/>
      <c r="AP53" t="s">
        <v>61</v>
      </c>
      <c r="AQ53" t="s">
        <v>61</v>
      </c>
      <c r="AR53" t="s">
        <v>61</v>
      </c>
      <c r="AS53" t="s">
        <v>1398</v>
      </c>
      <c r="AT53" t="s">
        <v>61</v>
      </c>
      <c r="AU53" t="s">
        <v>61</v>
      </c>
      <c r="AV53" t="s">
        <v>61</v>
      </c>
      <c r="AW53" t="s">
        <v>61</v>
      </c>
      <c r="AX53" t="s">
        <v>61</v>
      </c>
      <c r="AY53" t="s">
        <v>61</v>
      </c>
      <c r="AZ53" t="s">
        <v>61</v>
      </c>
      <c r="BA53" t="s">
        <v>61</v>
      </c>
      <c r="BB53" t="s">
        <v>61</v>
      </c>
      <c r="BC53" t="s">
        <v>61</v>
      </c>
      <c r="BD53" t="s">
        <v>61</v>
      </c>
      <c r="BE53" t="s">
        <v>61</v>
      </c>
      <c r="BF53" t="s">
        <v>61</v>
      </c>
      <c r="BG53" t="s">
        <v>61</v>
      </c>
      <c r="BH53" t="s">
        <v>61</v>
      </c>
      <c r="BI53" t="s">
        <v>61</v>
      </c>
      <c r="BJ53" t="s">
        <v>61</v>
      </c>
      <c r="BK53" t="s">
        <v>61</v>
      </c>
      <c r="BL53" t="s">
        <v>61</v>
      </c>
      <c r="BM53" t="s">
        <v>61</v>
      </c>
      <c r="BN53" t="s">
        <v>61</v>
      </c>
      <c r="BO53" t="s">
        <v>61</v>
      </c>
      <c r="BP53" t="s">
        <v>1398</v>
      </c>
      <c r="BQ53" t="s">
        <v>1356</v>
      </c>
      <c r="BR53" t="s">
        <v>61</v>
      </c>
    </row>
    <row r="54" spans="1:70" x14ac:dyDescent="0.3">
      <c r="A54" t="s">
        <v>1188</v>
      </c>
      <c r="B54" t="s">
        <v>1123</v>
      </c>
      <c r="C54" t="s">
        <v>40</v>
      </c>
      <c r="D54" t="s">
        <v>40</v>
      </c>
      <c r="E54" t="s">
        <v>1398</v>
      </c>
      <c r="F54" t="s">
        <v>74</v>
      </c>
      <c r="G54" t="s">
        <v>89</v>
      </c>
      <c r="H54" t="str">
        <f>IF('Infant dataset'!$AJ54&lt;=28,"Neonatal Death","Infant Death")</f>
        <v>Infant Death</v>
      </c>
      <c r="I54" t="s">
        <v>61</v>
      </c>
      <c r="J54" t="s">
        <v>61</v>
      </c>
      <c r="K54" t="s">
        <v>61</v>
      </c>
      <c r="L54" t="s">
        <v>61</v>
      </c>
      <c r="M54" s="117" t="s">
        <v>61</v>
      </c>
      <c r="N54" s="117" t="s">
        <v>1398</v>
      </c>
      <c r="O54" s="117" t="s">
        <v>61</v>
      </c>
      <c r="P54" t="s">
        <v>61</v>
      </c>
      <c r="Q54" t="s">
        <v>61</v>
      </c>
      <c r="R54" t="s">
        <v>61</v>
      </c>
      <c r="S54" t="s">
        <v>61</v>
      </c>
      <c r="T54" t="s">
        <v>61</v>
      </c>
      <c r="U54" t="s">
        <v>61</v>
      </c>
      <c r="V54" t="s">
        <v>61</v>
      </c>
      <c r="W54" t="s">
        <v>61</v>
      </c>
      <c r="X54" t="s">
        <v>61</v>
      </c>
      <c r="Y54" t="s">
        <v>61</v>
      </c>
      <c r="Z54" t="s">
        <v>61</v>
      </c>
      <c r="AA54" t="s">
        <v>61</v>
      </c>
      <c r="AB54" t="s">
        <v>61</v>
      </c>
      <c r="AC54" t="s">
        <v>61</v>
      </c>
      <c r="AD54" t="s">
        <v>74</v>
      </c>
      <c r="AE54" t="s">
        <v>89</v>
      </c>
      <c r="AF54">
        <v>3</v>
      </c>
      <c r="AG54">
        <f>('Infant dataset'!$AF54 * 30)</f>
        <v>90</v>
      </c>
      <c r="AH54">
        <v>16</v>
      </c>
      <c r="AI54" t="s">
        <v>61</v>
      </c>
      <c r="AJ54">
        <f>'Infant dataset'!$AG54+'Infant dataset'!$AH54</f>
        <v>106</v>
      </c>
      <c r="AK54" t="str">
        <f>IF('Infant dataset'!$AJ54&lt;=28,"Neonatal Death","Infant Death")</f>
        <v>Infant Death</v>
      </c>
      <c r="AL54" t="s">
        <v>1192</v>
      </c>
      <c r="AM54" t="s">
        <v>162</v>
      </c>
      <c r="AN54" s="140">
        <v>3500</v>
      </c>
      <c r="AO54" s="140"/>
      <c r="AP54" t="s">
        <v>61</v>
      </c>
      <c r="AQ54" t="s">
        <v>61</v>
      </c>
      <c r="AR54" t="s">
        <v>61</v>
      </c>
      <c r="AS54" t="s">
        <v>61</v>
      </c>
      <c r="AT54" t="s">
        <v>61</v>
      </c>
      <c r="AU54" t="s">
        <v>61</v>
      </c>
      <c r="AV54" t="s">
        <v>61</v>
      </c>
      <c r="AW54" t="s">
        <v>61</v>
      </c>
      <c r="AX54" t="s">
        <v>61</v>
      </c>
      <c r="AY54" t="s">
        <v>61</v>
      </c>
      <c r="AZ54" t="s">
        <v>61</v>
      </c>
      <c r="BA54" t="s">
        <v>61</v>
      </c>
      <c r="BB54" t="s">
        <v>61</v>
      </c>
      <c r="BC54" t="s">
        <v>61</v>
      </c>
      <c r="BD54" t="s">
        <v>61</v>
      </c>
      <c r="BE54" t="s">
        <v>61</v>
      </c>
      <c r="BF54" t="s">
        <v>61</v>
      </c>
      <c r="BG54" t="s">
        <v>61</v>
      </c>
      <c r="BH54" t="s">
        <v>61</v>
      </c>
      <c r="BI54" t="s">
        <v>61</v>
      </c>
      <c r="BJ54" t="s">
        <v>1398</v>
      </c>
      <c r="BK54" t="s">
        <v>61</v>
      </c>
      <c r="BL54" t="s">
        <v>61</v>
      </c>
      <c r="BM54" t="s">
        <v>61</v>
      </c>
      <c r="BN54" t="s">
        <v>61</v>
      </c>
      <c r="BO54" t="s">
        <v>61</v>
      </c>
      <c r="BP54" t="s">
        <v>1398</v>
      </c>
      <c r="BQ54" t="s">
        <v>1410</v>
      </c>
      <c r="BR54" t="s">
        <v>61</v>
      </c>
    </row>
    <row r="55" spans="1:70" x14ac:dyDescent="0.3">
      <c r="A55" t="s">
        <v>1189</v>
      </c>
      <c r="B55" t="s">
        <v>445</v>
      </c>
      <c r="C55" t="s">
        <v>40</v>
      </c>
      <c r="D55" t="s">
        <v>40</v>
      </c>
      <c r="E55" t="s">
        <v>61</v>
      </c>
      <c r="F55" t="s">
        <v>74</v>
      </c>
      <c r="G55" t="s">
        <v>89</v>
      </c>
      <c r="H55" t="str">
        <f>IF('Infant dataset'!$AJ55&lt;=28,"Neonatal Death","Infant Death")</f>
        <v>Infant Death</v>
      </c>
      <c r="I55" t="s">
        <v>61</v>
      </c>
      <c r="J55" t="s">
        <v>61</v>
      </c>
      <c r="K55" t="s">
        <v>61</v>
      </c>
      <c r="L55" t="s">
        <v>61</v>
      </c>
      <c r="M55" t="s">
        <v>61</v>
      </c>
      <c r="N55" t="s">
        <v>61</v>
      </c>
      <c r="O55" t="s">
        <v>61</v>
      </c>
      <c r="P55" t="s">
        <v>61</v>
      </c>
      <c r="Q55" t="s">
        <v>61</v>
      </c>
      <c r="R55" t="s">
        <v>61</v>
      </c>
      <c r="S55" t="s">
        <v>61</v>
      </c>
      <c r="T55" t="s">
        <v>61</v>
      </c>
      <c r="U55" t="s">
        <v>61</v>
      </c>
      <c r="V55" t="s">
        <v>61</v>
      </c>
      <c r="W55" t="s">
        <v>61</v>
      </c>
      <c r="X55" t="s">
        <v>61</v>
      </c>
      <c r="Y55" t="s">
        <v>61</v>
      </c>
      <c r="Z55" t="s">
        <v>61</v>
      </c>
      <c r="AA55" t="s">
        <v>61</v>
      </c>
      <c r="AB55" t="s">
        <v>61</v>
      </c>
      <c r="AC55" t="s">
        <v>61</v>
      </c>
      <c r="AD55" t="s">
        <v>74</v>
      </c>
      <c r="AE55" t="s">
        <v>89</v>
      </c>
      <c r="AF55">
        <v>2</v>
      </c>
      <c r="AG55">
        <f>('Infant dataset'!$AF55 * 30)</f>
        <v>60</v>
      </c>
      <c r="AH55">
        <v>15</v>
      </c>
      <c r="AI55" t="s">
        <v>61</v>
      </c>
      <c r="AJ55">
        <f>'Infant dataset'!$AG55+'Infant dataset'!$AH55</f>
        <v>75</v>
      </c>
      <c r="AK55" t="str">
        <f>IF('Infant dataset'!$AJ55&lt;=28,"Neonatal Death","Infant Death")</f>
        <v>Infant Death</v>
      </c>
      <c r="AL55" t="s">
        <v>1203</v>
      </c>
      <c r="AM55" t="s">
        <v>1203</v>
      </c>
      <c r="AN55" s="140">
        <v>3850</v>
      </c>
      <c r="AO55" s="140"/>
      <c r="AP55" t="s">
        <v>61</v>
      </c>
      <c r="AQ55" t="s">
        <v>61</v>
      </c>
      <c r="AR55" t="s">
        <v>61</v>
      </c>
      <c r="AS55" t="s">
        <v>61</v>
      </c>
      <c r="AT55" t="s">
        <v>61</v>
      </c>
      <c r="AU55" t="s">
        <v>61</v>
      </c>
      <c r="AV55" t="s">
        <v>1398</v>
      </c>
      <c r="AW55" t="s">
        <v>61</v>
      </c>
      <c r="AX55" t="s">
        <v>61</v>
      </c>
      <c r="AY55" t="s">
        <v>61</v>
      </c>
      <c r="AZ55" t="s">
        <v>1398</v>
      </c>
      <c r="BA55" t="s">
        <v>61</v>
      </c>
      <c r="BB55" t="s">
        <v>1398</v>
      </c>
      <c r="BC55" t="s">
        <v>61</v>
      </c>
      <c r="BD55" t="s">
        <v>61</v>
      </c>
      <c r="BE55" t="s">
        <v>61</v>
      </c>
      <c r="BF55" t="s">
        <v>61</v>
      </c>
      <c r="BG55" t="s">
        <v>61</v>
      </c>
      <c r="BH55" t="s">
        <v>61</v>
      </c>
      <c r="BI55" t="s">
        <v>61</v>
      </c>
      <c r="BJ55" t="s">
        <v>61</v>
      </c>
      <c r="BK55" t="s">
        <v>61</v>
      </c>
      <c r="BL55" t="s">
        <v>61</v>
      </c>
      <c r="BM55" t="s">
        <v>61</v>
      </c>
      <c r="BN55" t="s">
        <v>61</v>
      </c>
      <c r="BO55" t="s">
        <v>61</v>
      </c>
      <c r="BP55" t="s">
        <v>61</v>
      </c>
      <c r="BQ55" t="s">
        <v>61</v>
      </c>
      <c r="BR55" t="s">
        <v>61</v>
      </c>
    </row>
    <row r="56" spans="1:70" x14ac:dyDescent="0.3">
      <c r="A56" t="s">
        <v>1189</v>
      </c>
      <c r="B56" t="s">
        <v>86</v>
      </c>
      <c r="C56" t="s">
        <v>40</v>
      </c>
      <c r="D56" t="s">
        <v>40</v>
      </c>
      <c r="E56" t="s">
        <v>1398</v>
      </c>
      <c r="F56" t="s">
        <v>48</v>
      </c>
      <c r="G56" t="s">
        <v>89</v>
      </c>
      <c r="H56" t="str">
        <f>IF('Infant dataset'!$AJ56&lt;=28,"Neonatal Death","Infant Death")</f>
        <v>Infant Death</v>
      </c>
      <c r="I56" t="s">
        <v>61</v>
      </c>
      <c r="J56" t="s">
        <v>61</v>
      </c>
      <c r="K56" t="s">
        <v>61</v>
      </c>
      <c r="L56" t="s">
        <v>61</v>
      </c>
      <c r="M56" t="s">
        <v>61</v>
      </c>
      <c r="N56" t="s">
        <v>61</v>
      </c>
      <c r="O56" t="s">
        <v>61</v>
      </c>
      <c r="P56" t="s">
        <v>61</v>
      </c>
      <c r="Q56" t="s">
        <v>61</v>
      </c>
      <c r="R56" t="s">
        <v>61</v>
      </c>
      <c r="S56" t="s">
        <v>61</v>
      </c>
      <c r="T56" t="s">
        <v>61</v>
      </c>
      <c r="U56" t="s">
        <v>61</v>
      </c>
      <c r="V56" t="s">
        <v>61</v>
      </c>
      <c r="W56" t="s">
        <v>61</v>
      </c>
      <c r="X56" t="s">
        <v>61</v>
      </c>
      <c r="Y56" t="s">
        <v>61</v>
      </c>
      <c r="Z56" t="s">
        <v>61</v>
      </c>
      <c r="AA56" t="s">
        <v>61</v>
      </c>
      <c r="AB56" t="s">
        <v>1398</v>
      </c>
      <c r="AC56" t="s">
        <v>61</v>
      </c>
      <c r="AD56" t="s">
        <v>48</v>
      </c>
      <c r="AE56" t="s">
        <v>89</v>
      </c>
      <c r="AF56">
        <v>1</v>
      </c>
      <c r="AG56">
        <f>('Infant dataset'!$AF56 * 30)</f>
        <v>30</v>
      </c>
      <c r="AH56">
        <v>19</v>
      </c>
      <c r="AI56" t="s">
        <v>61</v>
      </c>
      <c r="AJ56">
        <f>'Infant dataset'!$AG56+'Infant dataset'!$AH56</f>
        <v>49</v>
      </c>
      <c r="AK56" t="str">
        <f>IF('Infant dataset'!$AJ56&lt;=28,"Neonatal Death","Infant Death")</f>
        <v>Infant Death</v>
      </c>
      <c r="AL56" t="s">
        <v>1203</v>
      </c>
      <c r="AM56" t="s">
        <v>1194</v>
      </c>
      <c r="AN56" s="140">
        <v>2350</v>
      </c>
      <c r="AO56" s="140"/>
      <c r="AP56" t="s">
        <v>61</v>
      </c>
      <c r="AQ56" t="s">
        <v>61</v>
      </c>
      <c r="AR56" t="s">
        <v>61</v>
      </c>
      <c r="AS56" t="s">
        <v>61</v>
      </c>
      <c r="AT56" t="s">
        <v>1398</v>
      </c>
      <c r="AU56" t="s">
        <v>61</v>
      </c>
      <c r="AV56" t="s">
        <v>61</v>
      </c>
      <c r="AW56" t="s">
        <v>61</v>
      </c>
      <c r="AX56" t="s">
        <v>61</v>
      </c>
      <c r="AY56" t="s">
        <v>61</v>
      </c>
      <c r="AZ56" t="s">
        <v>61</v>
      </c>
      <c r="BA56" t="s">
        <v>61</v>
      </c>
      <c r="BB56" t="s">
        <v>61</v>
      </c>
      <c r="BC56" t="s">
        <v>61</v>
      </c>
      <c r="BD56" t="s">
        <v>61</v>
      </c>
      <c r="BE56" t="s">
        <v>61</v>
      </c>
      <c r="BF56" t="s">
        <v>61</v>
      </c>
      <c r="BG56" t="s">
        <v>61</v>
      </c>
      <c r="BH56" t="s">
        <v>61</v>
      </c>
      <c r="BI56" t="s">
        <v>1398</v>
      </c>
      <c r="BJ56" t="s">
        <v>1398</v>
      </c>
      <c r="BK56" t="s">
        <v>61</v>
      </c>
      <c r="BL56" t="s">
        <v>61</v>
      </c>
      <c r="BM56" t="s">
        <v>61</v>
      </c>
      <c r="BN56" t="s">
        <v>61</v>
      </c>
      <c r="BO56" t="s">
        <v>61</v>
      </c>
      <c r="BP56" t="s">
        <v>61</v>
      </c>
      <c r="BQ56" t="s">
        <v>61</v>
      </c>
      <c r="BR56" t="s">
        <v>1398</v>
      </c>
    </row>
    <row r="57" spans="1:70" x14ac:dyDescent="0.3">
      <c r="A57" t="s">
        <v>1189</v>
      </c>
      <c r="B57" t="s">
        <v>882</v>
      </c>
      <c r="C57" t="s">
        <v>66</v>
      </c>
      <c r="D57" t="s">
        <v>1144</v>
      </c>
      <c r="E57" t="s">
        <v>1398</v>
      </c>
      <c r="F57" t="s">
        <v>74</v>
      </c>
      <c r="G57" t="s">
        <v>89</v>
      </c>
      <c r="H57" t="str">
        <f>IF('Infant dataset'!$AJ57&lt;=28,"Neonatal Death","Infant Death")</f>
        <v>Infant Death</v>
      </c>
      <c r="I57" t="s">
        <v>61</v>
      </c>
      <c r="J57" t="s">
        <v>61</v>
      </c>
      <c r="K57" t="s">
        <v>61</v>
      </c>
      <c r="L57" t="s">
        <v>61</v>
      </c>
      <c r="M57" t="s">
        <v>61</v>
      </c>
      <c r="N57" t="s">
        <v>61</v>
      </c>
      <c r="O57" t="s">
        <v>61</v>
      </c>
      <c r="P57" t="s">
        <v>61</v>
      </c>
      <c r="Q57" t="s">
        <v>61</v>
      </c>
      <c r="R57" t="s">
        <v>61</v>
      </c>
      <c r="S57" t="s">
        <v>61</v>
      </c>
      <c r="T57" t="s">
        <v>61</v>
      </c>
      <c r="U57" t="s">
        <v>61</v>
      </c>
      <c r="V57" t="s">
        <v>61</v>
      </c>
      <c r="W57" t="s">
        <v>1398</v>
      </c>
      <c r="X57" t="s">
        <v>61</v>
      </c>
      <c r="Y57" t="s">
        <v>61</v>
      </c>
      <c r="Z57" t="s">
        <v>61</v>
      </c>
      <c r="AA57" t="s">
        <v>61</v>
      </c>
      <c r="AB57" t="s">
        <v>61</v>
      </c>
      <c r="AC57" t="s">
        <v>61</v>
      </c>
      <c r="AD57" t="s">
        <v>74</v>
      </c>
      <c r="AE57" t="s">
        <v>89</v>
      </c>
      <c r="AF57">
        <v>5</v>
      </c>
      <c r="AG57">
        <f>('Infant dataset'!$AF57 * 30)</f>
        <v>150</v>
      </c>
      <c r="AH57">
        <v>15</v>
      </c>
      <c r="AI57" t="s">
        <v>61</v>
      </c>
      <c r="AJ57">
        <f>'Infant dataset'!$AG57+'Infant dataset'!$AH57</f>
        <v>165</v>
      </c>
      <c r="AK57" t="str">
        <f>IF('Infant dataset'!$AJ57&lt;=28,"Neonatal Death","Infant Death")</f>
        <v>Infant Death</v>
      </c>
      <c r="AL57" t="s">
        <v>1203</v>
      </c>
      <c r="AM57" t="s">
        <v>1203</v>
      </c>
      <c r="AN57" s="140">
        <v>3580</v>
      </c>
      <c r="AO57" s="140"/>
      <c r="AP57" t="s">
        <v>61</v>
      </c>
      <c r="AQ57" t="s">
        <v>61</v>
      </c>
      <c r="AR57" t="s">
        <v>61</v>
      </c>
      <c r="AS57" t="s">
        <v>61</v>
      </c>
      <c r="AT57" t="s">
        <v>61</v>
      </c>
      <c r="AU57" t="s">
        <v>61</v>
      </c>
      <c r="AV57" t="s">
        <v>61</v>
      </c>
      <c r="AW57" t="s">
        <v>61</v>
      </c>
      <c r="AX57" t="s">
        <v>61</v>
      </c>
      <c r="AY57" t="s">
        <v>61</v>
      </c>
      <c r="AZ57" t="s">
        <v>61</v>
      </c>
      <c r="BA57" t="s">
        <v>1398</v>
      </c>
      <c r="BB57" t="s">
        <v>61</v>
      </c>
      <c r="BC57" t="s">
        <v>61</v>
      </c>
      <c r="BD57" t="s">
        <v>61</v>
      </c>
      <c r="BE57" t="s">
        <v>61</v>
      </c>
      <c r="BF57" t="s">
        <v>61</v>
      </c>
      <c r="BG57" t="s">
        <v>61</v>
      </c>
      <c r="BH57" t="s">
        <v>61</v>
      </c>
      <c r="BI57" t="s">
        <v>61</v>
      </c>
      <c r="BJ57" t="s">
        <v>61</v>
      </c>
      <c r="BK57" t="s">
        <v>61</v>
      </c>
      <c r="BL57" t="s">
        <v>61</v>
      </c>
      <c r="BM57" t="s">
        <v>61</v>
      </c>
      <c r="BN57" t="s">
        <v>61</v>
      </c>
      <c r="BO57" t="s">
        <v>61</v>
      </c>
      <c r="BP57" t="s">
        <v>1398</v>
      </c>
      <c r="BQ57" t="s">
        <v>1355</v>
      </c>
      <c r="BR57" t="s">
        <v>61</v>
      </c>
    </row>
    <row r="58" spans="1:70" x14ac:dyDescent="0.3">
      <c r="A58" t="s">
        <v>1188</v>
      </c>
      <c r="B58" t="s">
        <v>747</v>
      </c>
      <c r="C58" t="s">
        <v>66</v>
      </c>
      <c r="D58" t="s">
        <v>462</v>
      </c>
      <c r="E58" t="s">
        <v>1398</v>
      </c>
      <c r="F58" t="s">
        <v>48</v>
      </c>
      <c r="G58" t="s">
        <v>39</v>
      </c>
      <c r="H58" t="str">
        <f>IF('Infant dataset'!$AJ58&lt;=28,"Neonatal Death","Infant Death")</f>
        <v>Neonatal Death</v>
      </c>
      <c r="I58" t="s">
        <v>61</v>
      </c>
      <c r="J58" t="s">
        <v>61</v>
      </c>
      <c r="K58" t="s">
        <v>61</v>
      </c>
      <c r="L58" t="s">
        <v>1398</v>
      </c>
      <c r="M58" s="117" t="s">
        <v>1398</v>
      </c>
      <c r="N58" s="117" t="s">
        <v>61</v>
      </c>
      <c r="O58" s="117" t="s">
        <v>61</v>
      </c>
      <c r="P58" t="s">
        <v>61</v>
      </c>
      <c r="Q58" t="s">
        <v>61</v>
      </c>
      <c r="R58" t="s">
        <v>61</v>
      </c>
      <c r="S58" t="s">
        <v>61</v>
      </c>
      <c r="T58" t="s">
        <v>61</v>
      </c>
      <c r="U58" t="s">
        <v>61</v>
      </c>
      <c r="V58" t="s">
        <v>61</v>
      </c>
      <c r="W58" t="s">
        <v>61</v>
      </c>
      <c r="X58" t="s">
        <v>61</v>
      </c>
      <c r="Y58" t="s">
        <v>61</v>
      </c>
      <c r="Z58" t="s">
        <v>61</v>
      </c>
      <c r="AA58" t="s">
        <v>61</v>
      </c>
      <c r="AB58" t="s">
        <v>61</v>
      </c>
      <c r="AC58" t="s">
        <v>61</v>
      </c>
      <c r="AD58" t="s">
        <v>48</v>
      </c>
      <c r="AE58" t="s">
        <v>39</v>
      </c>
      <c r="AF58">
        <v>0</v>
      </c>
      <c r="AG58">
        <f>('Infant dataset'!$AF58 * 30)</f>
        <v>0</v>
      </c>
      <c r="AH58">
        <v>15</v>
      </c>
      <c r="AI58" t="s">
        <v>61</v>
      </c>
      <c r="AJ58">
        <f>'Infant dataset'!$AG58+'Infant dataset'!$AH58</f>
        <v>15</v>
      </c>
      <c r="AK58" t="str">
        <f>IF('Infant dataset'!$AJ58&lt;=28,"Neonatal Death","Infant Death")</f>
        <v>Neonatal Death</v>
      </c>
      <c r="AL58" t="s">
        <v>1368</v>
      </c>
      <c r="AM58" t="s">
        <v>1368</v>
      </c>
      <c r="AN58" s="140">
        <v>1240</v>
      </c>
      <c r="AO58" s="140"/>
      <c r="AP58" t="s">
        <v>1398</v>
      </c>
      <c r="AQ58" t="s">
        <v>61</v>
      </c>
      <c r="AR58" t="s">
        <v>1398</v>
      </c>
      <c r="AS58" t="s">
        <v>61</v>
      </c>
      <c r="AT58" t="s">
        <v>61</v>
      </c>
      <c r="AU58" t="s">
        <v>61</v>
      </c>
      <c r="AV58" t="s">
        <v>61</v>
      </c>
      <c r="AW58" t="s">
        <v>61</v>
      </c>
      <c r="AX58" t="s">
        <v>61</v>
      </c>
      <c r="AY58" t="s">
        <v>61</v>
      </c>
      <c r="AZ58" t="s">
        <v>61</v>
      </c>
      <c r="BA58" t="s">
        <v>1398</v>
      </c>
      <c r="BB58" t="s">
        <v>61</v>
      </c>
      <c r="BC58" t="s">
        <v>61</v>
      </c>
      <c r="BD58" t="s">
        <v>61</v>
      </c>
      <c r="BE58" t="s">
        <v>61</v>
      </c>
      <c r="BF58" t="s">
        <v>61</v>
      </c>
      <c r="BG58" t="s">
        <v>61</v>
      </c>
      <c r="BH58" t="s">
        <v>61</v>
      </c>
      <c r="BI58" t="s">
        <v>61</v>
      </c>
      <c r="BJ58" t="s">
        <v>61</v>
      </c>
      <c r="BK58" t="s">
        <v>61</v>
      </c>
      <c r="BL58" t="s">
        <v>61</v>
      </c>
      <c r="BM58" t="s">
        <v>61</v>
      </c>
      <c r="BN58" t="s">
        <v>61</v>
      </c>
      <c r="BO58" t="s">
        <v>61</v>
      </c>
      <c r="BP58" t="s">
        <v>1398</v>
      </c>
      <c r="BQ58" t="s">
        <v>1369</v>
      </c>
      <c r="BR58" t="s">
        <v>61</v>
      </c>
    </row>
    <row r="59" spans="1:70" x14ac:dyDescent="0.3">
      <c r="A59" t="s">
        <v>1188</v>
      </c>
      <c r="B59" t="s">
        <v>280</v>
      </c>
      <c r="C59" t="s">
        <v>66</v>
      </c>
      <c r="D59" t="s">
        <v>1082</v>
      </c>
      <c r="E59" t="s">
        <v>61</v>
      </c>
      <c r="F59" t="s">
        <v>48</v>
      </c>
      <c r="G59" t="s">
        <v>89</v>
      </c>
      <c r="H59" t="str">
        <f>IF('Infant dataset'!$AJ59&lt;=28,"Neonatal Death","Infant Death")</f>
        <v>Infant Death</v>
      </c>
      <c r="I59" t="s">
        <v>61</v>
      </c>
      <c r="J59" t="s">
        <v>61</v>
      </c>
      <c r="K59" t="s">
        <v>61</v>
      </c>
      <c r="L59" t="s">
        <v>61</v>
      </c>
      <c r="M59" t="s">
        <v>61</v>
      </c>
      <c r="N59" t="s">
        <v>61</v>
      </c>
      <c r="O59" t="s">
        <v>61</v>
      </c>
      <c r="P59" t="s">
        <v>61</v>
      </c>
      <c r="Q59" t="s">
        <v>61</v>
      </c>
      <c r="R59" t="s">
        <v>61</v>
      </c>
      <c r="S59" t="s">
        <v>61</v>
      </c>
      <c r="T59" t="s">
        <v>61</v>
      </c>
      <c r="U59" t="s">
        <v>61</v>
      </c>
      <c r="V59" t="s">
        <v>61</v>
      </c>
      <c r="W59" t="s">
        <v>61</v>
      </c>
      <c r="X59" t="s">
        <v>61</v>
      </c>
      <c r="Y59" t="s">
        <v>61</v>
      </c>
      <c r="Z59" t="s">
        <v>61</v>
      </c>
      <c r="AA59" t="s">
        <v>61</v>
      </c>
      <c r="AB59" t="s">
        <v>61</v>
      </c>
      <c r="AC59" t="s">
        <v>61</v>
      </c>
      <c r="AD59" t="s">
        <v>48</v>
      </c>
      <c r="AE59" t="s">
        <v>89</v>
      </c>
      <c r="AF59">
        <v>7</v>
      </c>
      <c r="AG59">
        <f>('Infant dataset'!$AF59 * 30)</f>
        <v>210</v>
      </c>
      <c r="AH59">
        <v>19</v>
      </c>
      <c r="AI59" t="s">
        <v>61</v>
      </c>
      <c r="AJ59">
        <f>'Infant dataset'!$AG59+'Infant dataset'!$AH59</f>
        <v>229</v>
      </c>
      <c r="AK59" t="str">
        <f>IF('Infant dataset'!$AJ59&lt;=28,"Neonatal Death","Infant Death")</f>
        <v>Infant Death</v>
      </c>
      <c r="AL59" t="s">
        <v>1192</v>
      </c>
      <c r="AM59" t="s">
        <v>1194</v>
      </c>
      <c r="AN59" s="140">
        <v>3200</v>
      </c>
      <c r="AO59" s="140"/>
      <c r="AP59" t="s">
        <v>61</v>
      </c>
      <c r="AQ59" t="s">
        <v>61</v>
      </c>
      <c r="AR59" t="s">
        <v>61</v>
      </c>
      <c r="AS59" t="s">
        <v>61</v>
      </c>
      <c r="AT59" t="s">
        <v>61</v>
      </c>
      <c r="AU59" t="s">
        <v>61</v>
      </c>
      <c r="AV59" t="s">
        <v>61</v>
      </c>
      <c r="AW59" t="s">
        <v>61</v>
      </c>
      <c r="AX59" t="s">
        <v>61</v>
      </c>
      <c r="AY59" t="s">
        <v>61</v>
      </c>
      <c r="AZ59" t="s">
        <v>61</v>
      </c>
      <c r="BA59" t="s">
        <v>61</v>
      </c>
      <c r="BB59" t="s">
        <v>1398</v>
      </c>
      <c r="BC59" t="s">
        <v>61</v>
      </c>
      <c r="BD59" t="s">
        <v>61</v>
      </c>
      <c r="BE59" t="s">
        <v>61</v>
      </c>
      <c r="BF59" t="s">
        <v>61</v>
      </c>
      <c r="BG59" t="s">
        <v>61</v>
      </c>
      <c r="BH59" t="s">
        <v>61</v>
      </c>
      <c r="BI59" t="s">
        <v>61</v>
      </c>
      <c r="BJ59" t="s">
        <v>61</v>
      </c>
      <c r="BK59" t="s">
        <v>61</v>
      </c>
      <c r="BL59" t="s">
        <v>61</v>
      </c>
      <c r="BM59" t="s">
        <v>61</v>
      </c>
      <c r="BN59" t="s">
        <v>61</v>
      </c>
      <c r="BO59" t="s">
        <v>61</v>
      </c>
      <c r="BP59" t="s">
        <v>1398</v>
      </c>
      <c r="BQ59" t="s">
        <v>1370</v>
      </c>
      <c r="BR59" t="s">
        <v>1398</v>
      </c>
    </row>
    <row r="60" spans="1:70" x14ac:dyDescent="0.3">
      <c r="A60" t="s">
        <v>1189</v>
      </c>
      <c r="B60" t="s">
        <v>124</v>
      </c>
      <c r="C60" t="s">
        <v>40</v>
      </c>
      <c r="D60" t="s">
        <v>40</v>
      </c>
      <c r="E60" t="s">
        <v>1398</v>
      </c>
      <c r="F60" t="s">
        <v>74</v>
      </c>
      <c r="G60" t="s">
        <v>39</v>
      </c>
      <c r="H60" t="str">
        <f>IF('Infant dataset'!$AJ60&lt;=28,"Neonatal Death","Infant Death")</f>
        <v>Infant Death</v>
      </c>
      <c r="I60" t="s">
        <v>61</v>
      </c>
      <c r="J60" t="s">
        <v>61</v>
      </c>
      <c r="K60" t="s">
        <v>61</v>
      </c>
      <c r="L60" t="s">
        <v>61</v>
      </c>
      <c r="M60" t="s">
        <v>61</v>
      </c>
      <c r="N60" t="s">
        <v>61</v>
      </c>
      <c r="O60" t="s">
        <v>61</v>
      </c>
      <c r="P60" t="s">
        <v>61</v>
      </c>
      <c r="Q60" t="s">
        <v>61</v>
      </c>
      <c r="R60" t="s">
        <v>61</v>
      </c>
      <c r="S60" t="s">
        <v>61</v>
      </c>
      <c r="T60" t="s">
        <v>61</v>
      </c>
      <c r="U60" t="s">
        <v>61</v>
      </c>
      <c r="V60" t="s">
        <v>1398</v>
      </c>
      <c r="W60" t="s">
        <v>61</v>
      </c>
      <c r="X60" t="s">
        <v>61</v>
      </c>
      <c r="Y60" t="s">
        <v>61</v>
      </c>
      <c r="Z60" t="s">
        <v>61</v>
      </c>
      <c r="AA60" t="s">
        <v>61</v>
      </c>
      <c r="AB60" t="s">
        <v>61</v>
      </c>
      <c r="AC60" t="s">
        <v>61</v>
      </c>
      <c r="AD60" t="s">
        <v>74</v>
      </c>
      <c r="AE60" t="s">
        <v>39</v>
      </c>
      <c r="AF60">
        <v>3</v>
      </c>
      <c r="AG60">
        <f>('Infant dataset'!$AF60 * 30)</f>
        <v>90</v>
      </c>
      <c r="AH60">
        <v>21</v>
      </c>
      <c r="AI60" t="s">
        <v>61</v>
      </c>
      <c r="AJ60">
        <f>'Infant dataset'!$AG60+'Infant dataset'!$AH60</f>
        <v>111</v>
      </c>
      <c r="AK60" t="str">
        <f>IF('Infant dataset'!$AJ60&lt;=28,"Neonatal Death","Infant Death")</f>
        <v>Infant Death</v>
      </c>
      <c r="AL60" t="s">
        <v>1203</v>
      </c>
      <c r="AM60" t="s">
        <v>162</v>
      </c>
      <c r="AN60" s="140">
        <v>3280</v>
      </c>
      <c r="AO60" s="140"/>
      <c r="AP60" t="s">
        <v>61</v>
      </c>
      <c r="AQ60" t="s">
        <v>61</v>
      </c>
      <c r="AR60" t="s">
        <v>61</v>
      </c>
      <c r="AS60" t="s">
        <v>61</v>
      </c>
      <c r="AT60" t="s">
        <v>61</v>
      </c>
      <c r="AU60" t="s">
        <v>61</v>
      </c>
      <c r="AV60" t="s">
        <v>61</v>
      </c>
      <c r="AW60" t="s">
        <v>61</v>
      </c>
      <c r="AX60" t="s">
        <v>61</v>
      </c>
      <c r="AY60" t="s">
        <v>61</v>
      </c>
      <c r="AZ60" t="s">
        <v>61</v>
      </c>
      <c r="BA60" t="s">
        <v>61</v>
      </c>
      <c r="BB60" t="s">
        <v>61</v>
      </c>
      <c r="BC60" t="s">
        <v>61</v>
      </c>
      <c r="BD60" t="s">
        <v>61</v>
      </c>
      <c r="BE60" t="s">
        <v>61</v>
      </c>
      <c r="BF60" t="s">
        <v>61</v>
      </c>
      <c r="BG60" t="s">
        <v>61</v>
      </c>
      <c r="BH60" t="s">
        <v>61</v>
      </c>
      <c r="BI60" t="s">
        <v>1398</v>
      </c>
      <c r="BJ60" t="s">
        <v>1398</v>
      </c>
      <c r="BK60" t="s">
        <v>61</v>
      </c>
      <c r="BL60" t="s">
        <v>61</v>
      </c>
      <c r="BM60" t="s">
        <v>61</v>
      </c>
      <c r="BN60" t="s">
        <v>61</v>
      </c>
      <c r="BO60" t="s">
        <v>61</v>
      </c>
      <c r="BP60" t="s">
        <v>61</v>
      </c>
      <c r="BQ60" t="s">
        <v>61</v>
      </c>
      <c r="BR60" t="s">
        <v>1398</v>
      </c>
    </row>
    <row r="61" spans="1:70" x14ac:dyDescent="0.3">
      <c r="A61" t="s">
        <v>1189</v>
      </c>
      <c r="B61" t="s">
        <v>1367</v>
      </c>
      <c r="C61" t="s">
        <v>66</v>
      </c>
      <c r="D61" t="s">
        <v>1240</v>
      </c>
      <c r="E61" t="s">
        <v>61</v>
      </c>
      <c r="F61" t="s">
        <v>74</v>
      </c>
      <c r="G61" t="s">
        <v>89</v>
      </c>
      <c r="H61" t="str">
        <f>IF('Infant dataset'!$AJ61&lt;=28,"Neonatal Death","Infant Death")</f>
        <v>Neonatal Death</v>
      </c>
      <c r="I61" t="s">
        <v>61</v>
      </c>
      <c r="J61" t="s">
        <v>61</v>
      </c>
      <c r="K61" t="s">
        <v>61</v>
      </c>
      <c r="L61" t="s">
        <v>61</v>
      </c>
      <c r="M61" t="s">
        <v>61</v>
      </c>
      <c r="N61" t="s">
        <v>61</v>
      </c>
      <c r="O61" t="s">
        <v>61</v>
      </c>
      <c r="P61" t="s">
        <v>61</v>
      </c>
      <c r="Q61" t="s">
        <v>61</v>
      </c>
      <c r="R61" t="s">
        <v>61</v>
      </c>
      <c r="S61" t="s">
        <v>61</v>
      </c>
      <c r="T61" t="s">
        <v>61</v>
      </c>
      <c r="U61" t="s">
        <v>61</v>
      </c>
      <c r="V61" t="s">
        <v>61</v>
      </c>
      <c r="W61" t="s">
        <v>61</v>
      </c>
      <c r="X61" t="s">
        <v>61</v>
      </c>
      <c r="Y61" t="s">
        <v>61</v>
      </c>
      <c r="Z61" t="s">
        <v>61</v>
      </c>
      <c r="AA61" t="s">
        <v>61</v>
      </c>
      <c r="AB61" t="s">
        <v>61</v>
      </c>
      <c r="AC61" t="s">
        <v>61</v>
      </c>
      <c r="AD61" t="s">
        <v>74</v>
      </c>
      <c r="AE61" t="s">
        <v>89</v>
      </c>
      <c r="AF61">
        <v>0</v>
      </c>
      <c r="AG61">
        <f>('Infant dataset'!$AF61 * 30)</f>
        <v>0</v>
      </c>
      <c r="AH61">
        <v>13</v>
      </c>
      <c r="AI61" t="s">
        <v>61</v>
      </c>
      <c r="AJ61">
        <f>'Infant dataset'!$AG61+'Infant dataset'!$AH61</f>
        <v>13</v>
      </c>
      <c r="AK61" t="str">
        <f>IF('Infant dataset'!$AJ61&lt;=28,"Neonatal Death","Infant Death")</f>
        <v>Neonatal Death</v>
      </c>
      <c r="AL61" t="s">
        <v>1368</v>
      </c>
      <c r="AM61" t="s">
        <v>1368</v>
      </c>
      <c r="AN61" s="140">
        <v>2140</v>
      </c>
      <c r="AO61" s="140"/>
      <c r="AP61" t="s">
        <v>1398</v>
      </c>
      <c r="AQ61" t="s">
        <v>61</v>
      </c>
      <c r="AR61" t="s">
        <v>61</v>
      </c>
      <c r="AS61" t="s">
        <v>61</v>
      </c>
      <c r="AT61" t="s">
        <v>61</v>
      </c>
      <c r="AU61" t="s">
        <v>61</v>
      </c>
      <c r="AV61" t="s">
        <v>61</v>
      </c>
      <c r="AW61" t="s">
        <v>61</v>
      </c>
      <c r="AX61" t="s">
        <v>61</v>
      </c>
      <c r="AY61" t="s">
        <v>61</v>
      </c>
      <c r="AZ61" t="s">
        <v>61</v>
      </c>
      <c r="BA61" t="s">
        <v>1398</v>
      </c>
      <c r="BB61" t="s">
        <v>61</v>
      </c>
      <c r="BC61" t="s">
        <v>1398</v>
      </c>
      <c r="BD61" t="s">
        <v>61</v>
      </c>
      <c r="BE61" t="s">
        <v>61</v>
      </c>
      <c r="BF61" t="s">
        <v>61</v>
      </c>
      <c r="BG61" t="s">
        <v>61</v>
      </c>
      <c r="BH61" t="s">
        <v>61</v>
      </c>
      <c r="BI61" t="s">
        <v>61</v>
      </c>
      <c r="BJ61" t="s">
        <v>61</v>
      </c>
      <c r="BK61" t="s">
        <v>61</v>
      </c>
      <c r="BL61" t="s">
        <v>61</v>
      </c>
      <c r="BM61" t="s">
        <v>61</v>
      </c>
      <c r="BN61" t="s">
        <v>61</v>
      </c>
      <c r="BO61" t="s">
        <v>61</v>
      </c>
      <c r="BP61" t="s">
        <v>61</v>
      </c>
      <c r="BQ61" t="s">
        <v>61</v>
      </c>
      <c r="BR61" t="s">
        <v>1398</v>
      </c>
    </row>
    <row r="62" spans="1:70" x14ac:dyDescent="0.3">
      <c r="A62" t="s">
        <v>1189</v>
      </c>
      <c r="B62" t="s">
        <v>1373</v>
      </c>
      <c r="C62" t="s">
        <v>66</v>
      </c>
      <c r="D62" t="s">
        <v>1374</v>
      </c>
      <c r="E62" t="s">
        <v>1398</v>
      </c>
      <c r="F62" t="s">
        <v>48</v>
      </c>
      <c r="G62" t="s">
        <v>89</v>
      </c>
      <c r="H62" t="str">
        <f>IF('Infant dataset'!$AJ62&lt;=28,"Neonatal Death","Infant Death")</f>
        <v>Neonatal Death</v>
      </c>
      <c r="I62" t="s">
        <v>61</v>
      </c>
      <c r="J62" t="s">
        <v>61</v>
      </c>
      <c r="K62" t="s">
        <v>61</v>
      </c>
      <c r="L62" t="s">
        <v>61</v>
      </c>
      <c r="M62" t="s">
        <v>61</v>
      </c>
      <c r="N62" t="s">
        <v>61</v>
      </c>
      <c r="O62" t="s">
        <v>61</v>
      </c>
      <c r="P62" t="s">
        <v>61</v>
      </c>
      <c r="Q62" t="s">
        <v>61</v>
      </c>
      <c r="R62" t="s">
        <v>61</v>
      </c>
      <c r="S62" t="s">
        <v>61</v>
      </c>
      <c r="T62" t="s">
        <v>61</v>
      </c>
      <c r="U62" t="s">
        <v>1398</v>
      </c>
      <c r="V62" t="s">
        <v>1398</v>
      </c>
      <c r="W62" t="s">
        <v>61</v>
      </c>
      <c r="X62" t="s">
        <v>61</v>
      </c>
      <c r="Y62" t="s">
        <v>61</v>
      </c>
      <c r="Z62" t="s">
        <v>61</v>
      </c>
      <c r="AA62" t="s">
        <v>61</v>
      </c>
      <c r="AB62" t="s">
        <v>61</v>
      </c>
      <c r="AC62" t="s">
        <v>61</v>
      </c>
      <c r="AD62" t="s">
        <v>48</v>
      </c>
      <c r="AE62" t="s">
        <v>89</v>
      </c>
      <c r="AF62">
        <v>0</v>
      </c>
      <c r="AG62">
        <f>('Infant dataset'!$AF62 * 30)</f>
        <v>0</v>
      </c>
      <c r="AH62">
        <v>26</v>
      </c>
      <c r="AI62" t="s">
        <v>61</v>
      </c>
      <c r="AJ62">
        <f>'Infant dataset'!$AG62+'Infant dataset'!$AH62</f>
        <v>26</v>
      </c>
      <c r="AK62" t="str">
        <f>IF('Infant dataset'!$AJ62&lt;=28,"Neonatal Death","Infant Death")</f>
        <v>Neonatal Death</v>
      </c>
      <c r="AL62" t="s">
        <v>491</v>
      </c>
      <c r="AM62" t="s">
        <v>1377</v>
      </c>
      <c r="AN62" s="140">
        <v>775</v>
      </c>
      <c r="AO62" s="140"/>
      <c r="AP62" t="s">
        <v>1398</v>
      </c>
      <c r="AQ62" t="s">
        <v>1398</v>
      </c>
      <c r="AR62" t="s">
        <v>61</v>
      </c>
      <c r="AS62" t="s">
        <v>61</v>
      </c>
      <c r="AT62" t="s">
        <v>61</v>
      </c>
      <c r="AU62" t="s">
        <v>61</v>
      </c>
      <c r="AV62" t="s">
        <v>61</v>
      </c>
      <c r="AW62" t="s">
        <v>61</v>
      </c>
      <c r="AX62" t="s">
        <v>61</v>
      </c>
      <c r="AY62" t="s">
        <v>61</v>
      </c>
      <c r="AZ62" t="s">
        <v>61</v>
      </c>
      <c r="BA62" t="s">
        <v>61</v>
      </c>
      <c r="BB62" t="s">
        <v>61</v>
      </c>
      <c r="BC62" t="s">
        <v>61</v>
      </c>
      <c r="BD62" t="s">
        <v>61</v>
      </c>
      <c r="BE62" t="s">
        <v>61</v>
      </c>
      <c r="BF62" t="s">
        <v>61</v>
      </c>
      <c r="BG62" t="s">
        <v>61</v>
      </c>
      <c r="BH62" t="s">
        <v>61</v>
      </c>
      <c r="BI62" t="s">
        <v>61</v>
      </c>
      <c r="BJ62" t="s">
        <v>61</v>
      </c>
      <c r="BK62" t="s">
        <v>61</v>
      </c>
      <c r="BL62" t="s">
        <v>61</v>
      </c>
      <c r="BM62" t="s">
        <v>61</v>
      </c>
      <c r="BN62" t="s">
        <v>61</v>
      </c>
      <c r="BO62" t="s">
        <v>61</v>
      </c>
      <c r="BP62" t="s">
        <v>61</v>
      </c>
      <c r="BQ62" t="s">
        <v>61</v>
      </c>
      <c r="BR62" t="s">
        <v>1398</v>
      </c>
    </row>
    <row r="63" spans="1:70" x14ac:dyDescent="0.3">
      <c r="A63" t="s">
        <v>1189</v>
      </c>
      <c r="B63" t="s">
        <v>891</v>
      </c>
      <c r="C63" t="s">
        <v>40</v>
      </c>
      <c r="D63" t="s">
        <v>40</v>
      </c>
      <c r="E63" t="s">
        <v>61</v>
      </c>
      <c r="F63" t="s">
        <v>48</v>
      </c>
      <c r="G63" t="s">
        <v>89</v>
      </c>
      <c r="H63" t="str">
        <f>IF('Infant dataset'!$AJ63&lt;=28,"Neonatal Death","Infant Death")</f>
        <v>Neonatal Death</v>
      </c>
      <c r="I63" t="s">
        <v>61</v>
      </c>
      <c r="J63" t="s">
        <v>61</v>
      </c>
      <c r="K63" t="s">
        <v>61</v>
      </c>
      <c r="L63" t="s">
        <v>61</v>
      </c>
      <c r="M63" t="s">
        <v>61</v>
      </c>
      <c r="N63" t="s">
        <v>61</v>
      </c>
      <c r="O63" t="s">
        <v>61</v>
      </c>
      <c r="P63" t="s">
        <v>61</v>
      </c>
      <c r="Q63" t="s">
        <v>61</v>
      </c>
      <c r="R63" t="s">
        <v>61</v>
      </c>
      <c r="S63" t="s">
        <v>61</v>
      </c>
      <c r="T63" t="s">
        <v>61</v>
      </c>
      <c r="U63" t="s">
        <v>61</v>
      </c>
      <c r="V63" t="s">
        <v>61</v>
      </c>
      <c r="W63" t="s">
        <v>61</v>
      </c>
      <c r="X63" t="s">
        <v>61</v>
      </c>
      <c r="Y63" t="s">
        <v>61</v>
      </c>
      <c r="Z63" t="s">
        <v>61</v>
      </c>
      <c r="AA63" t="s">
        <v>61</v>
      </c>
      <c r="AB63" t="s">
        <v>61</v>
      </c>
      <c r="AC63" t="s">
        <v>61</v>
      </c>
      <c r="AD63" t="s">
        <v>48</v>
      </c>
      <c r="AE63" t="s">
        <v>89</v>
      </c>
      <c r="AF63">
        <v>0</v>
      </c>
      <c r="AG63">
        <f>('Infant dataset'!$AF63 * 30)</f>
        <v>0</v>
      </c>
      <c r="AH63">
        <v>2</v>
      </c>
      <c r="AI63" t="s">
        <v>61</v>
      </c>
      <c r="AJ63">
        <f>'Infant dataset'!$AG63+'Infant dataset'!$AH63</f>
        <v>2</v>
      </c>
      <c r="AK63" t="str">
        <f>IF('Infant dataset'!$AJ63&lt;=28,"Neonatal Death","Infant Death")</f>
        <v>Neonatal Death</v>
      </c>
      <c r="AL63" t="s">
        <v>1375</v>
      </c>
      <c r="AM63" t="s">
        <v>1376</v>
      </c>
      <c r="AN63" s="140">
        <v>1300</v>
      </c>
      <c r="AO63" s="140"/>
      <c r="AP63" t="s">
        <v>1398</v>
      </c>
      <c r="AQ63" t="s">
        <v>1398</v>
      </c>
      <c r="AR63" t="s">
        <v>61</v>
      </c>
      <c r="AS63" t="s">
        <v>61</v>
      </c>
      <c r="AT63" t="s">
        <v>61</v>
      </c>
      <c r="AU63" t="s">
        <v>61</v>
      </c>
      <c r="AV63" t="s">
        <v>61</v>
      </c>
      <c r="AW63" t="s">
        <v>61</v>
      </c>
      <c r="AX63" t="s">
        <v>61</v>
      </c>
      <c r="AY63" t="s">
        <v>61</v>
      </c>
      <c r="AZ63" t="s">
        <v>61</v>
      </c>
      <c r="BA63" t="s">
        <v>61</v>
      </c>
      <c r="BB63" t="s">
        <v>1398</v>
      </c>
      <c r="BC63" t="s">
        <v>61</v>
      </c>
      <c r="BD63" t="s">
        <v>61</v>
      </c>
      <c r="BE63" t="s">
        <v>61</v>
      </c>
      <c r="BF63" t="s">
        <v>61</v>
      </c>
      <c r="BG63" t="s">
        <v>61</v>
      </c>
      <c r="BH63" t="s">
        <v>61</v>
      </c>
      <c r="BI63" t="s">
        <v>61</v>
      </c>
      <c r="BJ63" t="s">
        <v>61</v>
      </c>
      <c r="BK63" t="s">
        <v>61</v>
      </c>
      <c r="BL63" t="s">
        <v>61</v>
      </c>
      <c r="BM63" t="s">
        <v>61</v>
      </c>
      <c r="BN63" t="s">
        <v>61</v>
      </c>
      <c r="BO63" t="s">
        <v>61</v>
      </c>
      <c r="BP63" t="s">
        <v>61</v>
      </c>
      <c r="BQ63" t="s">
        <v>61</v>
      </c>
      <c r="BR63" t="s">
        <v>61</v>
      </c>
    </row>
    <row r="64" spans="1:70" x14ac:dyDescent="0.3">
      <c r="A64" t="s">
        <v>1189</v>
      </c>
      <c r="B64" t="s">
        <v>1378</v>
      </c>
      <c r="C64" t="s">
        <v>66</v>
      </c>
      <c r="D64" t="s">
        <v>1374</v>
      </c>
      <c r="E64" t="s">
        <v>61</v>
      </c>
      <c r="F64" t="s">
        <v>74</v>
      </c>
      <c r="G64" t="s">
        <v>39</v>
      </c>
      <c r="H64" t="str">
        <f>IF('Infant dataset'!$AJ64&lt;=28,"Neonatal Death","Infant Death")</f>
        <v>Neonatal Death</v>
      </c>
      <c r="I64" t="s">
        <v>61</v>
      </c>
      <c r="J64" t="s">
        <v>61</v>
      </c>
      <c r="K64" t="s">
        <v>61</v>
      </c>
      <c r="L64" t="s">
        <v>61</v>
      </c>
      <c r="M64" t="s">
        <v>61</v>
      </c>
      <c r="N64" t="s">
        <v>61</v>
      </c>
      <c r="O64" t="s">
        <v>61</v>
      </c>
      <c r="P64" t="s">
        <v>61</v>
      </c>
      <c r="Q64" t="s">
        <v>61</v>
      </c>
      <c r="R64" t="s">
        <v>61</v>
      </c>
      <c r="S64" t="s">
        <v>61</v>
      </c>
      <c r="T64" t="s">
        <v>61</v>
      </c>
      <c r="U64" t="s">
        <v>61</v>
      </c>
      <c r="V64" t="s">
        <v>61</v>
      </c>
      <c r="W64" t="s">
        <v>61</v>
      </c>
      <c r="X64" t="s">
        <v>61</v>
      </c>
      <c r="Y64" t="s">
        <v>61</v>
      </c>
      <c r="Z64" t="s">
        <v>61</v>
      </c>
      <c r="AA64" t="s">
        <v>61</v>
      </c>
      <c r="AB64" t="s">
        <v>61</v>
      </c>
      <c r="AC64" t="s">
        <v>61</v>
      </c>
      <c r="AD64" t="s">
        <v>74</v>
      </c>
      <c r="AE64" t="s">
        <v>39</v>
      </c>
      <c r="AF64">
        <v>0</v>
      </c>
      <c r="AG64">
        <f>('Infant dataset'!$AF64 * 30)</f>
        <v>0</v>
      </c>
      <c r="AH64">
        <v>5</v>
      </c>
      <c r="AI64" t="s">
        <v>61</v>
      </c>
      <c r="AJ64">
        <f>'Infant dataset'!$AG64+'Infant dataset'!$AH64</f>
        <v>5</v>
      </c>
      <c r="AK64" t="str">
        <f>IF('Infant dataset'!$AJ64&lt;=28,"Neonatal Death","Infant Death")</f>
        <v>Neonatal Death</v>
      </c>
      <c r="AL64" t="s">
        <v>1379</v>
      </c>
      <c r="AM64" t="s">
        <v>1379</v>
      </c>
      <c r="AN64" s="140">
        <v>920</v>
      </c>
      <c r="AO64" s="140"/>
      <c r="AP64" t="s">
        <v>1398</v>
      </c>
      <c r="AQ64" t="s">
        <v>1398</v>
      </c>
      <c r="AR64" t="s">
        <v>61</v>
      </c>
      <c r="AS64" t="s">
        <v>61</v>
      </c>
      <c r="AT64" t="s">
        <v>61</v>
      </c>
      <c r="AU64" t="s">
        <v>61</v>
      </c>
      <c r="AV64" t="s">
        <v>61</v>
      </c>
      <c r="AW64" t="s">
        <v>61</v>
      </c>
      <c r="AX64" t="s">
        <v>61</v>
      </c>
      <c r="AY64" t="s">
        <v>61</v>
      </c>
      <c r="AZ64" t="s">
        <v>61</v>
      </c>
      <c r="BA64" t="s">
        <v>61</v>
      </c>
      <c r="BB64" t="s">
        <v>61</v>
      </c>
      <c r="BC64" t="s">
        <v>61</v>
      </c>
      <c r="BD64" t="s">
        <v>61</v>
      </c>
      <c r="BE64" t="s">
        <v>61</v>
      </c>
      <c r="BF64" t="s">
        <v>61</v>
      </c>
      <c r="BG64" t="s">
        <v>61</v>
      </c>
      <c r="BH64" t="s">
        <v>61</v>
      </c>
      <c r="BI64" t="s">
        <v>61</v>
      </c>
      <c r="BJ64" t="s">
        <v>61</v>
      </c>
      <c r="BK64" t="s">
        <v>61</v>
      </c>
      <c r="BL64" t="s">
        <v>61</v>
      </c>
      <c r="BM64" t="s">
        <v>61</v>
      </c>
      <c r="BN64" t="s">
        <v>61</v>
      </c>
      <c r="BO64" t="s">
        <v>61</v>
      </c>
      <c r="BP64" t="s">
        <v>61</v>
      </c>
      <c r="BQ64" t="s">
        <v>61</v>
      </c>
      <c r="BR64" t="s">
        <v>61</v>
      </c>
    </row>
    <row r="65" spans="1:70" x14ac:dyDescent="0.3">
      <c r="A65" t="s">
        <v>1188</v>
      </c>
      <c r="B65" t="s">
        <v>1380</v>
      </c>
      <c r="C65" t="s">
        <v>66</v>
      </c>
      <c r="D65" t="s">
        <v>1239</v>
      </c>
      <c r="E65" t="s">
        <v>61</v>
      </c>
      <c r="F65" t="s">
        <v>48</v>
      </c>
      <c r="G65" t="s">
        <v>89</v>
      </c>
      <c r="H65" t="str">
        <f>IF('Infant dataset'!$AJ65&lt;=28,"Neonatal Death","Infant Death")</f>
        <v>Infant Death</v>
      </c>
      <c r="I65" t="s">
        <v>61</v>
      </c>
      <c r="J65" t="s">
        <v>61</v>
      </c>
      <c r="K65" t="s">
        <v>61</v>
      </c>
      <c r="L65" t="s">
        <v>61</v>
      </c>
      <c r="M65" t="s">
        <v>61</v>
      </c>
      <c r="N65" t="s">
        <v>61</v>
      </c>
      <c r="O65" t="s">
        <v>61</v>
      </c>
      <c r="P65" t="s">
        <v>61</v>
      </c>
      <c r="Q65" t="s">
        <v>61</v>
      </c>
      <c r="R65" t="s">
        <v>61</v>
      </c>
      <c r="S65" t="s">
        <v>61</v>
      </c>
      <c r="T65" t="s">
        <v>61</v>
      </c>
      <c r="U65" t="s">
        <v>61</v>
      </c>
      <c r="V65" t="s">
        <v>61</v>
      </c>
      <c r="W65" t="s">
        <v>61</v>
      </c>
      <c r="X65" t="s">
        <v>61</v>
      </c>
      <c r="Y65" t="s">
        <v>61</v>
      </c>
      <c r="Z65" t="s">
        <v>61</v>
      </c>
      <c r="AA65" t="s">
        <v>61</v>
      </c>
      <c r="AB65" t="s">
        <v>61</v>
      </c>
      <c r="AC65" t="s">
        <v>61</v>
      </c>
      <c r="AD65" t="s">
        <v>48</v>
      </c>
      <c r="AE65" t="s">
        <v>89</v>
      </c>
      <c r="AF65">
        <v>2</v>
      </c>
      <c r="AG65">
        <f>('Infant dataset'!$AF65 * 30)</f>
        <v>60</v>
      </c>
      <c r="AH65">
        <v>17</v>
      </c>
      <c r="AI65" t="s">
        <v>61</v>
      </c>
      <c r="AJ65">
        <f>'Infant dataset'!$AG65+'Infant dataset'!$AH65</f>
        <v>77</v>
      </c>
      <c r="AK65" t="str">
        <f>IF('Infant dataset'!$AJ65&lt;=28,"Neonatal Death","Infant Death")</f>
        <v>Infant Death</v>
      </c>
      <c r="AL65" t="s">
        <v>491</v>
      </c>
      <c r="AM65" t="s">
        <v>1194</v>
      </c>
      <c r="AN65" s="140">
        <v>3140</v>
      </c>
      <c r="AO65" s="140"/>
      <c r="AP65" t="s">
        <v>61</v>
      </c>
      <c r="AQ65" t="s">
        <v>61</v>
      </c>
      <c r="AR65" t="s">
        <v>61</v>
      </c>
      <c r="AS65" t="s">
        <v>61</v>
      </c>
      <c r="AT65" t="s">
        <v>61</v>
      </c>
      <c r="AU65" t="s">
        <v>61</v>
      </c>
      <c r="AV65" t="s">
        <v>61</v>
      </c>
      <c r="AW65" t="s">
        <v>61</v>
      </c>
      <c r="AX65" t="s">
        <v>61</v>
      </c>
      <c r="AY65" t="s">
        <v>61</v>
      </c>
      <c r="AZ65" t="s">
        <v>61</v>
      </c>
      <c r="BA65" t="s">
        <v>61</v>
      </c>
      <c r="BB65" t="s">
        <v>61</v>
      </c>
      <c r="BC65" t="s">
        <v>61</v>
      </c>
      <c r="BD65" t="s">
        <v>61</v>
      </c>
      <c r="BE65" t="s">
        <v>61</v>
      </c>
      <c r="BF65" t="s">
        <v>61</v>
      </c>
      <c r="BG65" t="s">
        <v>61</v>
      </c>
      <c r="BH65" t="s">
        <v>61</v>
      </c>
      <c r="BI65" t="s">
        <v>1398</v>
      </c>
      <c r="BJ65" t="s">
        <v>61</v>
      </c>
      <c r="BK65" t="s">
        <v>61</v>
      </c>
      <c r="BL65" t="s">
        <v>61</v>
      </c>
      <c r="BM65" t="s">
        <v>61</v>
      </c>
      <c r="BN65" t="s">
        <v>61</v>
      </c>
      <c r="BO65" t="s">
        <v>61</v>
      </c>
      <c r="BP65" t="s">
        <v>61</v>
      </c>
      <c r="BQ65" t="s">
        <v>61</v>
      </c>
      <c r="BR65" t="s">
        <v>1398</v>
      </c>
    </row>
    <row r="66" spans="1:70" x14ac:dyDescent="0.3">
      <c r="A66" t="s">
        <v>1188</v>
      </c>
      <c r="B66" t="s">
        <v>1381</v>
      </c>
      <c r="C66" t="s">
        <v>66</v>
      </c>
      <c r="D66" t="s">
        <v>462</v>
      </c>
      <c r="E66" t="s">
        <v>1398</v>
      </c>
      <c r="F66" t="s">
        <v>74</v>
      </c>
      <c r="G66" t="s">
        <v>1386</v>
      </c>
      <c r="H66" t="str">
        <f>IF('Infant dataset'!$AJ66&lt;=28,"Neonatal Death","Infant Death")</f>
        <v>Neonatal Death</v>
      </c>
      <c r="I66" t="s">
        <v>61</v>
      </c>
      <c r="J66" t="s">
        <v>61</v>
      </c>
      <c r="K66" t="s">
        <v>61</v>
      </c>
      <c r="L66" t="s">
        <v>61</v>
      </c>
      <c r="M66" s="117" t="s">
        <v>61</v>
      </c>
      <c r="N66" s="117" t="s">
        <v>1398</v>
      </c>
      <c r="O66" s="117" t="s">
        <v>61</v>
      </c>
      <c r="P66" t="s">
        <v>61</v>
      </c>
      <c r="Q66" t="s">
        <v>61</v>
      </c>
      <c r="R66" t="s">
        <v>61</v>
      </c>
      <c r="S66" t="s">
        <v>61</v>
      </c>
      <c r="T66" t="s">
        <v>61</v>
      </c>
      <c r="U66" t="s">
        <v>61</v>
      </c>
      <c r="V66" t="s">
        <v>61</v>
      </c>
      <c r="W66" t="s">
        <v>61</v>
      </c>
      <c r="X66" t="s">
        <v>61</v>
      </c>
      <c r="Y66" t="s">
        <v>61</v>
      </c>
      <c r="Z66" t="s">
        <v>61</v>
      </c>
      <c r="AA66" t="s">
        <v>61</v>
      </c>
      <c r="AB66" t="s">
        <v>61</v>
      </c>
      <c r="AC66" t="s">
        <v>61</v>
      </c>
      <c r="AD66" t="s">
        <v>74</v>
      </c>
      <c r="AE66" t="s">
        <v>1386</v>
      </c>
      <c r="AF66">
        <v>0</v>
      </c>
      <c r="AG66">
        <f>('Infant dataset'!$AF66 * 30)</f>
        <v>0</v>
      </c>
      <c r="AH66">
        <v>0</v>
      </c>
      <c r="AI66">
        <v>1.3</v>
      </c>
      <c r="AJ66">
        <f>'Infant dataset'!$AG66+'Infant dataset'!$AH66</f>
        <v>0</v>
      </c>
      <c r="AK66" t="str">
        <f>IF('Infant dataset'!$AJ66&lt;=28,"Neonatal Death","Infant Death")</f>
        <v>Neonatal Death</v>
      </c>
      <c r="AL66" t="s">
        <v>1379</v>
      </c>
      <c r="AM66" t="s">
        <v>1379</v>
      </c>
      <c r="AN66" s="140">
        <v>900</v>
      </c>
      <c r="AO66" s="140"/>
      <c r="AP66" t="s">
        <v>1398</v>
      </c>
      <c r="AQ66" t="s">
        <v>61</v>
      </c>
      <c r="AR66" t="s">
        <v>61</v>
      </c>
      <c r="AS66" t="s">
        <v>61</v>
      </c>
      <c r="AT66" t="s">
        <v>1398</v>
      </c>
      <c r="AU66" t="s">
        <v>61</v>
      </c>
      <c r="AV66" t="s">
        <v>61</v>
      </c>
      <c r="AW66" t="s">
        <v>61</v>
      </c>
      <c r="AX66" t="s">
        <v>61</v>
      </c>
      <c r="AY66" t="s">
        <v>61</v>
      </c>
      <c r="AZ66" t="s">
        <v>61</v>
      </c>
      <c r="BA66" t="s">
        <v>61</v>
      </c>
      <c r="BB66" t="s">
        <v>61</v>
      </c>
      <c r="BC66" t="s">
        <v>61</v>
      </c>
      <c r="BD66" t="s">
        <v>61</v>
      </c>
      <c r="BE66" t="s">
        <v>61</v>
      </c>
      <c r="BF66" t="s">
        <v>61</v>
      </c>
      <c r="BG66" t="s">
        <v>61</v>
      </c>
      <c r="BH66" t="s">
        <v>61</v>
      </c>
      <c r="BI66" t="s">
        <v>61</v>
      </c>
      <c r="BJ66" t="s">
        <v>61</v>
      </c>
      <c r="BK66" t="s">
        <v>61</v>
      </c>
      <c r="BL66" t="s">
        <v>61</v>
      </c>
      <c r="BM66" t="s">
        <v>61</v>
      </c>
      <c r="BN66" t="s">
        <v>61</v>
      </c>
      <c r="BO66" t="s">
        <v>61</v>
      </c>
      <c r="BP66" t="s">
        <v>61</v>
      </c>
      <c r="BQ66" t="s">
        <v>61</v>
      </c>
      <c r="BR66" t="s">
        <v>61</v>
      </c>
    </row>
    <row r="67" spans="1:70" x14ac:dyDescent="0.3">
      <c r="A67" t="s">
        <v>1188</v>
      </c>
      <c r="B67" t="s">
        <v>142</v>
      </c>
      <c r="C67" t="s">
        <v>66</v>
      </c>
      <c r="D67" t="s">
        <v>1382</v>
      </c>
      <c r="E67" t="s">
        <v>61</v>
      </c>
      <c r="F67" t="s">
        <v>74</v>
      </c>
      <c r="G67" t="s">
        <v>89</v>
      </c>
      <c r="H67" t="str">
        <f>IF('Infant dataset'!$AJ67&lt;=28,"Neonatal Death","Infant Death")</f>
        <v>Infant Death</v>
      </c>
      <c r="I67" t="s">
        <v>61</v>
      </c>
      <c r="J67" t="s">
        <v>61</v>
      </c>
      <c r="K67" t="s">
        <v>61</v>
      </c>
      <c r="L67" t="s">
        <v>61</v>
      </c>
      <c r="M67" t="s">
        <v>61</v>
      </c>
      <c r="N67" t="s">
        <v>61</v>
      </c>
      <c r="O67" t="s">
        <v>61</v>
      </c>
      <c r="P67" t="s">
        <v>61</v>
      </c>
      <c r="Q67" t="s">
        <v>61</v>
      </c>
      <c r="R67" t="s">
        <v>61</v>
      </c>
      <c r="S67" t="s">
        <v>61</v>
      </c>
      <c r="T67" t="s">
        <v>61</v>
      </c>
      <c r="U67" t="s">
        <v>61</v>
      </c>
      <c r="V67" t="s">
        <v>61</v>
      </c>
      <c r="W67" t="s">
        <v>61</v>
      </c>
      <c r="X67" t="s">
        <v>61</v>
      </c>
      <c r="Y67" t="s">
        <v>61</v>
      </c>
      <c r="Z67" t="s">
        <v>61</v>
      </c>
      <c r="AA67" t="s">
        <v>61</v>
      </c>
      <c r="AB67" t="s">
        <v>61</v>
      </c>
      <c r="AC67" t="s">
        <v>61</v>
      </c>
      <c r="AD67" t="s">
        <v>74</v>
      </c>
      <c r="AE67" t="s">
        <v>89</v>
      </c>
      <c r="AF67">
        <v>0</v>
      </c>
      <c r="AG67">
        <f>('Infant dataset'!$AF67 * 30)</f>
        <v>0</v>
      </c>
      <c r="AH67">
        <v>46</v>
      </c>
      <c r="AI67" t="s">
        <v>61</v>
      </c>
      <c r="AJ67">
        <f>'Infant dataset'!$AG67+'Infant dataset'!$AH67</f>
        <v>46</v>
      </c>
      <c r="AK67" t="str">
        <f>IF('Infant dataset'!$AJ67&lt;=28,"Neonatal Death","Infant Death")</f>
        <v>Infant Death</v>
      </c>
      <c r="AL67" t="s">
        <v>1383</v>
      </c>
      <c r="AM67" t="s">
        <v>1384</v>
      </c>
      <c r="AN67" s="140">
        <v>2780</v>
      </c>
      <c r="AO67" s="140"/>
      <c r="AP67" t="s">
        <v>61</v>
      </c>
      <c r="AQ67" t="s">
        <v>61</v>
      </c>
      <c r="AR67" t="s">
        <v>61</v>
      </c>
      <c r="AS67" t="s">
        <v>61</v>
      </c>
      <c r="AT67" t="s">
        <v>61</v>
      </c>
      <c r="AU67" t="s">
        <v>61</v>
      </c>
      <c r="AV67" t="s">
        <v>61</v>
      </c>
      <c r="AW67" t="s">
        <v>61</v>
      </c>
      <c r="AX67" t="s">
        <v>61</v>
      </c>
      <c r="AY67" t="s">
        <v>61</v>
      </c>
      <c r="AZ67" t="s">
        <v>61</v>
      </c>
      <c r="BA67" t="s">
        <v>61</v>
      </c>
      <c r="BB67" t="s">
        <v>61</v>
      </c>
      <c r="BC67" t="s">
        <v>61</v>
      </c>
      <c r="BD67" t="s">
        <v>61</v>
      </c>
      <c r="BE67" t="s">
        <v>61</v>
      </c>
      <c r="BF67" t="s">
        <v>61</v>
      </c>
      <c r="BG67" t="s">
        <v>61</v>
      </c>
      <c r="BH67" t="s">
        <v>61</v>
      </c>
      <c r="BI67" t="s">
        <v>1398</v>
      </c>
      <c r="BJ67" t="s">
        <v>61</v>
      </c>
      <c r="BK67" t="s">
        <v>61</v>
      </c>
      <c r="BL67" t="s">
        <v>61</v>
      </c>
      <c r="BM67" t="s">
        <v>61</v>
      </c>
      <c r="BN67" t="s">
        <v>61</v>
      </c>
      <c r="BO67" t="s">
        <v>61</v>
      </c>
      <c r="BP67" t="s">
        <v>61</v>
      </c>
      <c r="BQ67" t="s">
        <v>61</v>
      </c>
      <c r="BR67" t="s">
        <v>1398</v>
      </c>
    </row>
    <row r="68" spans="1:70" x14ac:dyDescent="0.3">
      <c r="A68" t="s">
        <v>1189</v>
      </c>
      <c r="B68" t="s">
        <v>1385</v>
      </c>
      <c r="C68" t="s">
        <v>40</v>
      </c>
      <c r="D68" t="s">
        <v>1374</v>
      </c>
      <c r="E68" t="s">
        <v>61</v>
      </c>
      <c r="F68" t="s">
        <v>48</v>
      </c>
      <c r="G68" t="s">
        <v>89</v>
      </c>
      <c r="H68" t="str">
        <f>IF('Infant dataset'!$AJ68&lt;=28,"Neonatal Death","Infant Death")</f>
        <v>Neonatal Death</v>
      </c>
      <c r="I68" t="s">
        <v>61</v>
      </c>
      <c r="J68" t="s">
        <v>61</v>
      </c>
      <c r="K68" t="s">
        <v>61</v>
      </c>
      <c r="L68" t="s">
        <v>61</v>
      </c>
      <c r="M68" t="s">
        <v>61</v>
      </c>
      <c r="N68" t="s">
        <v>61</v>
      </c>
      <c r="O68" t="s">
        <v>61</v>
      </c>
      <c r="P68" t="s">
        <v>61</v>
      </c>
      <c r="Q68" t="s">
        <v>61</v>
      </c>
      <c r="R68" t="s">
        <v>61</v>
      </c>
      <c r="S68" t="s">
        <v>61</v>
      </c>
      <c r="T68" t="s">
        <v>61</v>
      </c>
      <c r="U68" t="s">
        <v>61</v>
      </c>
      <c r="V68" t="s">
        <v>61</v>
      </c>
      <c r="W68" t="s">
        <v>61</v>
      </c>
      <c r="X68" t="s">
        <v>61</v>
      </c>
      <c r="Y68" t="s">
        <v>61</v>
      </c>
      <c r="Z68" t="s">
        <v>61</v>
      </c>
      <c r="AA68" t="s">
        <v>61</v>
      </c>
      <c r="AB68" t="s">
        <v>61</v>
      </c>
      <c r="AC68" t="s">
        <v>61</v>
      </c>
      <c r="AD68" t="s">
        <v>48</v>
      </c>
      <c r="AE68" t="s">
        <v>89</v>
      </c>
      <c r="AF68">
        <v>0</v>
      </c>
      <c r="AG68">
        <f>('Infant dataset'!$AF68 * 30)</f>
        <v>0</v>
      </c>
      <c r="AH68">
        <v>7</v>
      </c>
      <c r="AI68" t="s">
        <v>61</v>
      </c>
      <c r="AJ68">
        <f>'Infant dataset'!$AG68+'Infant dataset'!$AH68</f>
        <v>7</v>
      </c>
      <c r="AK68" t="str">
        <f>IF('Infant dataset'!$AJ68&lt;=28,"Neonatal Death","Infant Death")</f>
        <v>Neonatal Death</v>
      </c>
      <c r="AL68" t="s">
        <v>1379</v>
      </c>
      <c r="AM68" t="s">
        <v>1379</v>
      </c>
      <c r="AN68" s="140">
        <v>990</v>
      </c>
      <c r="AO68" s="140"/>
      <c r="AP68" t="s">
        <v>1398</v>
      </c>
      <c r="AQ68" t="s">
        <v>1398</v>
      </c>
      <c r="AR68" t="s">
        <v>61</v>
      </c>
      <c r="AS68" t="s">
        <v>61</v>
      </c>
      <c r="AT68" t="s">
        <v>61</v>
      </c>
      <c r="AU68" t="s">
        <v>61</v>
      </c>
      <c r="AV68" t="s">
        <v>61</v>
      </c>
      <c r="AW68" t="s">
        <v>61</v>
      </c>
      <c r="AX68" t="s">
        <v>61</v>
      </c>
      <c r="AY68" t="s">
        <v>1398</v>
      </c>
      <c r="AZ68" t="s">
        <v>61</v>
      </c>
      <c r="BA68" t="s">
        <v>61</v>
      </c>
      <c r="BB68" t="s">
        <v>61</v>
      </c>
      <c r="BC68" t="s">
        <v>61</v>
      </c>
      <c r="BD68" t="s">
        <v>61</v>
      </c>
      <c r="BE68" t="s">
        <v>61</v>
      </c>
      <c r="BF68" t="s">
        <v>61</v>
      </c>
      <c r="BG68" t="s">
        <v>61</v>
      </c>
      <c r="BH68" t="s">
        <v>61</v>
      </c>
      <c r="BI68" t="s">
        <v>61</v>
      </c>
      <c r="BJ68" t="s">
        <v>61</v>
      </c>
      <c r="BK68" t="s">
        <v>61</v>
      </c>
      <c r="BL68" t="s">
        <v>61</v>
      </c>
      <c r="BM68" t="s">
        <v>61</v>
      </c>
      <c r="BN68" t="s">
        <v>61</v>
      </c>
      <c r="BO68" t="s">
        <v>61</v>
      </c>
      <c r="BP68" t="s">
        <v>61</v>
      </c>
      <c r="BQ68" t="s">
        <v>61</v>
      </c>
      <c r="BR68" t="s">
        <v>61</v>
      </c>
    </row>
    <row r="69" spans="1:70" x14ac:dyDescent="0.3">
      <c r="A69" t="s">
        <v>1188</v>
      </c>
      <c r="B69" t="s">
        <v>747</v>
      </c>
      <c r="C69" t="s">
        <v>66</v>
      </c>
      <c r="D69" t="s">
        <v>1144</v>
      </c>
      <c r="E69" t="s">
        <v>1398</v>
      </c>
      <c r="F69" t="s">
        <v>48</v>
      </c>
      <c r="G69" t="s">
        <v>89</v>
      </c>
      <c r="H69" t="str">
        <f>IF('Infant dataset'!$AJ69&lt;=28,"Neonatal Death","Infant Death")</f>
        <v>Neonatal Death</v>
      </c>
      <c r="I69" t="s">
        <v>61</v>
      </c>
      <c r="J69" t="s">
        <v>61</v>
      </c>
      <c r="K69" t="s">
        <v>61</v>
      </c>
      <c r="L69" t="s">
        <v>61</v>
      </c>
      <c r="M69" t="s">
        <v>61</v>
      </c>
      <c r="N69" t="s">
        <v>61</v>
      </c>
      <c r="O69" t="s">
        <v>61</v>
      </c>
      <c r="P69" t="s">
        <v>61</v>
      </c>
      <c r="Q69" t="s">
        <v>61</v>
      </c>
      <c r="R69" t="s">
        <v>61</v>
      </c>
      <c r="S69" t="s">
        <v>61</v>
      </c>
      <c r="T69" t="s">
        <v>61</v>
      </c>
      <c r="U69" t="s">
        <v>61</v>
      </c>
      <c r="V69" t="s">
        <v>61</v>
      </c>
      <c r="W69" t="s">
        <v>61</v>
      </c>
      <c r="X69" t="s">
        <v>61</v>
      </c>
      <c r="Y69" t="s">
        <v>61</v>
      </c>
      <c r="Z69" t="s">
        <v>61</v>
      </c>
      <c r="AA69" t="s">
        <v>61</v>
      </c>
      <c r="AB69" t="s">
        <v>1398</v>
      </c>
      <c r="AC69" t="s">
        <v>61</v>
      </c>
      <c r="AD69" t="s">
        <v>48</v>
      </c>
      <c r="AE69" t="s">
        <v>89</v>
      </c>
      <c r="AF69">
        <v>0</v>
      </c>
      <c r="AG69">
        <f>('Infant dataset'!$AF69 * 30)</f>
        <v>0</v>
      </c>
      <c r="AH69">
        <v>3</v>
      </c>
      <c r="AI69" t="s">
        <v>61</v>
      </c>
      <c r="AJ69">
        <f>'Infant dataset'!$AG69+'Infant dataset'!$AH69</f>
        <v>3</v>
      </c>
      <c r="AK69" t="str">
        <f>IF('Infant dataset'!$AJ69&lt;=28,"Neonatal Death","Infant Death")</f>
        <v>Neonatal Death</v>
      </c>
      <c r="AL69" t="s">
        <v>1379</v>
      </c>
      <c r="AM69" t="s">
        <v>1379</v>
      </c>
      <c r="AN69" s="140">
        <v>840</v>
      </c>
      <c r="AO69" s="140"/>
      <c r="AP69" t="s">
        <v>1398</v>
      </c>
      <c r="AQ69" t="s">
        <v>61</v>
      </c>
      <c r="AR69" t="s">
        <v>1398</v>
      </c>
      <c r="AS69" t="s">
        <v>61</v>
      </c>
      <c r="AT69" t="s">
        <v>61</v>
      </c>
      <c r="AU69" t="s">
        <v>61</v>
      </c>
      <c r="AV69" t="s">
        <v>61</v>
      </c>
      <c r="AW69" t="s">
        <v>61</v>
      </c>
      <c r="AX69" t="s">
        <v>61</v>
      </c>
      <c r="AY69" t="s">
        <v>61</v>
      </c>
      <c r="AZ69" t="s">
        <v>61</v>
      </c>
      <c r="BA69" t="s">
        <v>61</v>
      </c>
      <c r="BB69" t="s">
        <v>61</v>
      </c>
      <c r="BC69" t="s">
        <v>61</v>
      </c>
      <c r="BD69" t="s">
        <v>61</v>
      </c>
      <c r="BE69" t="s">
        <v>61</v>
      </c>
      <c r="BF69" t="s">
        <v>61</v>
      </c>
      <c r="BG69" t="s">
        <v>61</v>
      </c>
      <c r="BH69" t="s">
        <v>61</v>
      </c>
      <c r="BI69" t="s">
        <v>61</v>
      </c>
      <c r="BJ69" t="s">
        <v>61</v>
      </c>
      <c r="BK69" t="s">
        <v>61</v>
      </c>
      <c r="BL69" t="s">
        <v>61</v>
      </c>
      <c r="BM69" t="s">
        <v>61</v>
      </c>
      <c r="BN69" t="s">
        <v>61</v>
      </c>
      <c r="BO69" t="s">
        <v>61</v>
      </c>
      <c r="BP69" t="s">
        <v>61</v>
      </c>
      <c r="BQ69" t="s">
        <v>61</v>
      </c>
      <c r="BR69" t="s">
        <v>61</v>
      </c>
    </row>
    <row r="70" spans="1:70" x14ac:dyDescent="0.3">
      <c r="A70" t="s">
        <v>1188</v>
      </c>
      <c r="B70" t="s">
        <v>747</v>
      </c>
      <c r="C70" t="s">
        <v>66</v>
      </c>
      <c r="D70" t="s">
        <v>1144</v>
      </c>
      <c r="E70" t="s">
        <v>1398</v>
      </c>
      <c r="F70" t="s">
        <v>48</v>
      </c>
      <c r="G70" t="s">
        <v>89</v>
      </c>
      <c r="H70" t="str">
        <f>IF('Infant dataset'!$AJ70&lt;=28,"Neonatal Death","Infant Death")</f>
        <v>Neonatal Death</v>
      </c>
      <c r="I70" t="s">
        <v>61</v>
      </c>
      <c r="J70" t="s">
        <v>61</v>
      </c>
      <c r="K70" t="s">
        <v>61</v>
      </c>
      <c r="L70" t="s">
        <v>61</v>
      </c>
      <c r="M70" t="s">
        <v>61</v>
      </c>
      <c r="N70" t="s">
        <v>61</v>
      </c>
      <c r="O70" t="s">
        <v>61</v>
      </c>
      <c r="P70" t="s">
        <v>1398</v>
      </c>
      <c r="Q70" t="s">
        <v>61</v>
      </c>
      <c r="R70" t="s">
        <v>61</v>
      </c>
      <c r="S70" t="s">
        <v>61</v>
      </c>
      <c r="T70" t="s">
        <v>61</v>
      </c>
      <c r="U70" t="s">
        <v>61</v>
      </c>
      <c r="V70" t="s">
        <v>61</v>
      </c>
      <c r="W70" t="s">
        <v>61</v>
      </c>
      <c r="X70" t="s">
        <v>61</v>
      </c>
      <c r="Y70" t="s">
        <v>61</v>
      </c>
      <c r="Z70" t="s">
        <v>61</v>
      </c>
      <c r="AA70" t="s">
        <v>61</v>
      </c>
      <c r="AB70" t="s">
        <v>61</v>
      </c>
      <c r="AC70" t="s">
        <v>61</v>
      </c>
      <c r="AD70" t="s">
        <v>48</v>
      </c>
      <c r="AE70" t="s">
        <v>89</v>
      </c>
      <c r="AF70">
        <v>0</v>
      </c>
      <c r="AG70">
        <f>('Infant dataset'!$AF70 * 30)</f>
        <v>0</v>
      </c>
      <c r="AH70">
        <v>5</v>
      </c>
      <c r="AI70" t="s">
        <v>61</v>
      </c>
      <c r="AJ70">
        <f>'Infant dataset'!$AG70+'Infant dataset'!$AH70</f>
        <v>5</v>
      </c>
      <c r="AK70" t="str">
        <f>IF('Infant dataset'!$AJ70&lt;=28,"Neonatal Death","Infant Death")</f>
        <v>Neonatal Death</v>
      </c>
      <c r="AL70" t="s">
        <v>1379</v>
      </c>
      <c r="AM70" t="s">
        <v>1379</v>
      </c>
      <c r="AN70" s="140">
        <v>820</v>
      </c>
      <c r="AO70" s="140"/>
      <c r="AP70" t="s">
        <v>1398</v>
      </c>
      <c r="AQ70" t="s">
        <v>61</v>
      </c>
      <c r="AR70" t="s">
        <v>1398</v>
      </c>
      <c r="AS70" t="s">
        <v>61</v>
      </c>
      <c r="AT70" t="s">
        <v>61</v>
      </c>
      <c r="AU70" t="s">
        <v>61</v>
      </c>
      <c r="AV70" t="s">
        <v>61</v>
      </c>
      <c r="AW70" t="s">
        <v>61</v>
      </c>
      <c r="AX70" t="s">
        <v>61</v>
      </c>
      <c r="AY70" t="s">
        <v>61</v>
      </c>
      <c r="AZ70" t="s">
        <v>61</v>
      </c>
      <c r="BA70" t="s">
        <v>61</v>
      </c>
      <c r="BB70" t="s">
        <v>61</v>
      </c>
      <c r="BC70" t="s">
        <v>61</v>
      </c>
      <c r="BD70" t="s">
        <v>61</v>
      </c>
      <c r="BE70" t="s">
        <v>61</v>
      </c>
      <c r="BF70" t="s">
        <v>61</v>
      </c>
      <c r="BG70" t="s">
        <v>61</v>
      </c>
      <c r="BH70" t="s">
        <v>61</v>
      </c>
      <c r="BI70" t="s">
        <v>61</v>
      </c>
      <c r="BJ70" t="s">
        <v>61</v>
      </c>
      <c r="BK70" t="s">
        <v>61</v>
      </c>
      <c r="BL70" t="s">
        <v>61</v>
      </c>
      <c r="BM70" t="s">
        <v>61</v>
      </c>
      <c r="BN70" t="s">
        <v>61</v>
      </c>
      <c r="BO70" t="s">
        <v>61</v>
      </c>
      <c r="BP70" t="s">
        <v>61</v>
      </c>
      <c r="BQ70" t="s">
        <v>61</v>
      </c>
      <c r="BR70" t="s">
        <v>61</v>
      </c>
    </row>
    <row r="71" spans="1:70" x14ac:dyDescent="0.3">
      <c r="A71" t="s">
        <v>1188</v>
      </c>
      <c r="B71" t="s">
        <v>1055</v>
      </c>
      <c r="C71" t="s">
        <v>66</v>
      </c>
      <c r="D71" t="s">
        <v>462</v>
      </c>
      <c r="E71" t="s">
        <v>61</v>
      </c>
      <c r="F71" t="s">
        <v>48</v>
      </c>
      <c r="G71" t="s">
        <v>39</v>
      </c>
      <c r="H71" t="str">
        <f>IF('Infant dataset'!$AJ71&lt;=28,"Neonatal Death","Infant Death")</f>
        <v>Neonatal Death</v>
      </c>
      <c r="I71" t="s">
        <v>61</v>
      </c>
      <c r="J71" t="s">
        <v>61</v>
      </c>
      <c r="K71" t="s">
        <v>61</v>
      </c>
      <c r="L71" t="s">
        <v>61</v>
      </c>
      <c r="M71" t="s">
        <v>61</v>
      </c>
      <c r="N71" t="s">
        <v>61</v>
      </c>
      <c r="O71" t="s">
        <v>61</v>
      </c>
      <c r="P71" t="s">
        <v>1398</v>
      </c>
      <c r="Q71" t="s">
        <v>61</v>
      </c>
      <c r="R71" t="s">
        <v>61</v>
      </c>
      <c r="S71" t="s">
        <v>61</v>
      </c>
      <c r="T71" t="s">
        <v>61</v>
      </c>
      <c r="U71" t="s">
        <v>61</v>
      </c>
      <c r="V71" t="s">
        <v>61</v>
      </c>
      <c r="W71" t="s">
        <v>61</v>
      </c>
      <c r="X71" t="s">
        <v>61</v>
      </c>
      <c r="Y71" t="s">
        <v>61</v>
      </c>
      <c r="Z71" t="s">
        <v>61</v>
      </c>
      <c r="AA71" t="s">
        <v>61</v>
      </c>
      <c r="AB71" t="s">
        <v>61</v>
      </c>
      <c r="AC71" t="s">
        <v>61</v>
      </c>
      <c r="AD71" t="s">
        <v>48</v>
      </c>
      <c r="AE71" t="s">
        <v>39</v>
      </c>
      <c r="AF71">
        <v>0</v>
      </c>
      <c r="AG71">
        <f>('Infant dataset'!$AF71 * 30)</f>
        <v>0</v>
      </c>
      <c r="AH71">
        <v>0</v>
      </c>
      <c r="AI71">
        <v>13</v>
      </c>
      <c r="AJ71">
        <f>'Infant dataset'!$AG71+'Infant dataset'!$AH71</f>
        <v>0</v>
      </c>
      <c r="AK71" t="str">
        <f>IF('Infant dataset'!$AJ71&lt;=28,"Neonatal Death","Infant Death")</f>
        <v>Neonatal Death</v>
      </c>
      <c r="AL71" t="s">
        <v>1379</v>
      </c>
      <c r="AM71" t="s">
        <v>1379</v>
      </c>
      <c r="AN71" s="140">
        <v>1100</v>
      </c>
      <c r="AO71" s="140"/>
      <c r="AP71" t="s">
        <v>1398</v>
      </c>
      <c r="AQ71" t="s">
        <v>61</v>
      </c>
      <c r="AR71" t="s">
        <v>1398</v>
      </c>
      <c r="AS71" t="s">
        <v>61</v>
      </c>
      <c r="AT71" t="s">
        <v>61</v>
      </c>
      <c r="AU71" t="s">
        <v>61</v>
      </c>
      <c r="AV71" t="s">
        <v>61</v>
      </c>
      <c r="AW71" t="s">
        <v>61</v>
      </c>
      <c r="AX71" t="s">
        <v>61</v>
      </c>
      <c r="AY71" t="s">
        <v>61</v>
      </c>
      <c r="AZ71" t="s">
        <v>61</v>
      </c>
      <c r="BA71" t="s">
        <v>61</v>
      </c>
      <c r="BB71" t="s">
        <v>61</v>
      </c>
      <c r="BC71" t="s">
        <v>61</v>
      </c>
      <c r="BD71" t="s">
        <v>61</v>
      </c>
      <c r="BE71" t="s">
        <v>61</v>
      </c>
      <c r="BF71" t="s">
        <v>61</v>
      </c>
      <c r="BG71" t="s">
        <v>61</v>
      </c>
      <c r="BH71" t="s">
        <v>61</v>
      </c>
      <c r="BI71" t="s">
        <v>61</v>
      </c>
      <c r="BJ71" t="s">
        <v>61</v>
      </c>
      <c r="BK71" t="s">
        <v>61</v>
      </c>
      <c r="BL71" t="s">
        <v>61</v>
      </c>
      <c r="BM71" t="s">
        <v>61</v>
      </c>
      <c r="BN71" t="s">
        <v>61</v>
      </c>
      <c r="BO71" t="s">
        <v>61</v>
      </c>
      <c r="BP71" t="s">
        <v>1398</v>
      </c>
      <c r="BQ71" t="s">
        <v>1387</v>
      </c>
      <c r="BR71" t="s">
        <v>61</v>
      </c>
    </row>
    <row r="72" spans="1:70" x14ac:dyDescent="0.3">
      <c r="A72" t="s">
        <v>1188</v>
      </c>
      <c r="B72" t="s">
        <v>1388</v>
      </c>
      <c r="C72" t="s">
        <v>66</v>
      </c>
      <c r="D72" t="s">
        <v>703</v>
      </c>
      <c r="E72" t="s">
        <v>1398</v>
      </c>
      <c r="F72" t="s">
        <v>48</v>
      </c>
      <c r="G72" t="s">
        <v>89</v>
      </c>
      <c r="H72" t="str">
        <f>IF('Infant dataset'!$AJ72&lt;=28,"Neonatal Death","Infant Death")</f>
        <v>Infant Death</v>
      </c>
      <c r="I72" t="s">
        <v>61</v>
      </c>
      <c r="J72" t="s">
        <v>61</v>
      </c>
      <c r="K72" t="s">
        <v>61</v>
      </c>
      <c r="L72" t="s">
        <v>61</v>
      </c>
      <c r="M72" t="s">
        <v>61</v>
      </c>
      <c r="N72" t="s">
        <v>61</v>
      </c>
      <c r="O72" t="s">
        <v>61</v>
      </c>
      <c r="P72" t="s">
        <v>61</v>
      </c>
      <c r="Q72" t="s">
        <v>1398</v>
      </c>
      <c r="R72" t="s">
        <v>1398</v>
      </c>
      <c r="S72" t="s">
        <v>61</v>
      </c>
      <c r="T72" t="s">
        <v>61</v>
      </c>
      <c r="U72" t="s">
        <v>61</v>
      </c>
      <c r="V72" t="s">
        <v>61</v>
      </c>
      <c r="W72" t="s">
        <v>61</v>
      </c>
      <c r="X72" t="s">
        <v>61</v>
      </c>
      <c r="Y72" t="s">
        <v>61</v>
      </c>
      <c r="Z72" t="s">
        <v>61</v>
      </c>
      <c r="AA72" t="s">
        <v>61</v>
      </c>
      <c r="AB72" t="s">
        <v>61</v>
      </c>
      <c r="AC72" t="s">
        <v>61</v>
      </c>
      <c r="AD72" t="s">
        <v>48</v>
      </c>
      <c r="AE72" t="s">
        <v>89</v>
      </c>
      <c r="AF72">
        <v>3</v>
      </c>
      <c r="AG72">
        <f>('Infant dataset'!$AF72 * 30)</f>
        <v>90</v>
      </c>
      <c r="AH72">
        <v>1</v>
      </c>
      <c r="AI72" t="s">
        <v>61</v>
      </c>
      <c r="AJ72">
        <f>'Infant dataset'!$AG72+'Infant dataset'!$AH72</f>
        <v>91</v>
      </c>
      <c r="AK72" t="str">
        <f>IF('Infant dataset'!$AJ72&lt;=28,"Neonatal Death","Infant Death")</f>
        <v>Infant Death</v>
      </c>
      <c r="AL72" t="s">
        <v>1383</v>
      </c>
      <c r="AM72" t="s">
        <v>1194</v>
      </c>
      <c r="AN72" s="140">
        <v>2760</v>
      </c>
      <c r="AO72" s="140"/>
      <c r="AP72" t="s">
        <v>61</v>
      </c>
      <c r="AQ72" t="s">
        <v>61</v>
      </c>
      <c r="AR72" t="s">
        <v>61</v>
      </c>
      <c r="AS72" t="s">
        <v>61</v>
      </c>
      <c r="AT72" t="s">
        <v>61</v>
      </c>
      <c r="AU72" t="s">
        <v>61</v>
      </c>
      <c r="AV72" t="s">
        <v>61</v>
      </c>
      <c r="AW72" t="s">
        <v>61</v>
      </c>
      <c r="AX72" t="s">
        <v>61</v>
      </c>
      <c r="AY72" t="s">
        <v>61</v>
      </c>
      <c r="AZ72" t="s">
        <v>61</v>
      </c>
      <c r="BA72" t="s">
        <v>61</v>
      </c>
      <c r="BB72" t="s">
        <v>61</v>
      </c>
      <c r="BC72" t="s">
        <v>61</v>
      </c>
      <c r="BD72" t="s">
        <v>61</v>
      </c>
      <c r="BE72" t="s">
        <v>61</v>
      </c>
      <c r="BF72" t="s">
        <v>61</v>
      </c>
      <c r="BG72" t="s">
        <v>61</v>
      </c>
      <c r="BH72" t="s">
        <v>61</v>
      </c>
      <c r="BI72" t="s">
        <v>61</v>
      </c>
      <c r="BJ72" t="s">
        <v>1398</v>
      </c>
      <c r="BK72" t="s">
        <v>61</v>
      </c>
      <c r="BL72" t="s">
        <v>61</v>
      </c>
      <c r="BM72" t="s">
        <v>61</v>
      </c>
      <c r="BN72" t="s">
        <v>61</v>
      </c>
      <c r="BO72" t="s">
        <v>61</v>
      </c>
      <c r="BP72" t="s">
        <v>61</v>
      </c>
      <c r="BQ72" t="s">
        <v>61</v>
      </c>
      <c r="BR72" t="s">
        <v>1398</v>
      </c>
    </row>
    <row r="73" spans="1:70" x14ac:dyDescent="0.3">
      <c r="A73" t="s">
        <v>1190</v>
      </c>
      <c r="B73" t="s">
        <v>400</v>
      </c>
      <c r="C73" t="s">
        <v>66</v>
      </c>
      <c r="D73" t="s">
        <v>66</v>
      </c>
      <c r="E73" t="s">
        <v>61</v>
      </c>
      <c r="F73" t="s">
        <v>48</v>
      </c>
      <c r="G73" t="s">
        <v>89</v>
      </c>
      <c r="H73" t="str">
        <f>IF('Infant dataset'!$AJ73&lt;=28,"Neonatal Death","Infant Death")</f>
        <v>Infant Death</v>
      </c>
      <c r="I73" t="s">
        <v>61</v>
      </c>
      <c r="J73" t="s">
        <v>61</v>
      </c>
      <c r="K73" t="s">
        <v>61</v>
      </c>
      <c r="L73" t="s">
        <v>1398</v>
      </c>
      <c r="M73" t="s">
        <v>61</v>
      </c>
      <c r="N73" t="s">
        <v>61</v>
      </c>
      <c r="O73" t="s">
        <v>61</v>
      </c>
      <c r="P73" t="s">
        <v>61</v>
      </c>
      <c r="Q73" t="s">
        <v>61</v>
      </c>
      <c r="R73" t="s">
        <v>61</v>
      </c>
      <c r="S73" t="s">
        <v>61</v>
      </c>
      <c r="T73" t="s">
        <v>61</v>
      </c>
      <c r="U73" t="s">
        <v>61</v>
      </c>
      <c r="V73" t="s">
        <v>61</v>
      </c>
      <c r="W73" t="s">
        <v>61</v>
      </c>
      <c r="X73" t="s">
        <v>61</v>
      </c>
      <c r="Y73" t="s">
        <v>61</v>
      </c>
      <c r="Z73" t="s">
        <v>61</v>
      </c>
      <c r="AA73" t="s">
        <v>61</v>
      </c>
      <c r="AB73" t="s">
        <v>61</v>
      </c>
      <c r="AC73" t="s">
        <v>61</v>
      </c>
      <c r="AD73" t="s">
        <v>48</v>
      </c>
      <c r="AE73" t="s">
        <v>89</v>
      </c>
      <c r="AF73">
        <v>2</v>
      </c>
      <c r="AG73">
        <f>('Infant dataset'!$AF73 * 30)</f>
        <v>60</v>
      </c>
      <c r="AH73">
        <v>28</v>
      </c>
      <c r="AI73" t="s">
        <v>61</v>
      </c>
      <c r="AJ73">
        <f>'Infant dataset'!$AG73+'Infant dataset'!$AH73</f>
        <v>88</v>
      </c>
      <c r="AK73" t="str">
        <f>IF('Infant dataset'!$AJ73&lt;=28,"Neonatal Death","Infant Death")</f>
        <v>Infant Death</v>
      </c>
      <c r="AL73" t="s">
        <v>111</v>
      </c>
      <c r="AM73" t="s">
        <v>1194</v>
      </c>
      <c r="AN73" s="140">
        <v>3400</v>
      </c>
      <c r="AO73" s="140"/>
      <c r="AP73" t="s">
        <v>61</v>
      </c>
      <c r="AQ73" t="s">
        <v>61</v>
      </c>
      <c r="AR73" t="s">
        <v>61</v>
      </c>
      <c r="AS73" t="s">
        <v>61</v>
      </c>
      <c r="AT73" t="s">
        <v>61</v>
      </c>
      <c r="AU73" t="s">
        <v>61</v>
      </c>
      <c r="AV73" t="s">
        <v>61</v>
      </c>
      <c r="AW73" t="s">
        <v>61</v>
      </c>
      <c r="AX73" t="s">
        <v>61</v>
      </c>
      <c r="AY73" t="s">
        <v>61</v>
      </c>
      <c r="AZ73" t="s">
        <v>61</v>
      </c>
      <c r="BA73" t="s">
        <v>61</v>
      </c>
      <c r="BB73" t="s">
        <v>61</v>
      </c>
      <c r="BC73" t="s">
        <v>61</v>
      </c>
      <c r="BD73" t="s">
        <v>61</v>
      </c>
      <c r="BE73" t="s">
        <v>61</v>
      </c>
      <c r="BF73" t="s">
        <v>61</v>
      </c>
      <c r="BG73" t="s">
        <v>61</v>
      </c>
      <c r="BH73" t="s">
        <v>61</v>
      </c>
      <c r="BI73" t="s">
        <v>1398</v>
      </c>
      <c r="BJ73" t="s">
        <v>61</v>
      </c>
      <c r="BK73" t="s">
        <v>61</v>
      </c>
      <c r="BL73" t="s">
        <v>61</v>
      </c>
      <c r="BM73" t="s">
        <v>61</v>
      </c>
      <c r="BN73" t="s">
        <v>61</v>
      </c>
      <c r="BO73" t="s">
        <v>61</v>
      </c>
      <c r="BP73" t="s">
        <v>61</v>
      </c>
      <c r="BQ73" t="s">
        <v>61</v>
      </c>
      <c r="BR73" t="s">
        <v>1398</v>
      </c>
    </row>
    <row r="74" spans="1:70" x14ac:dyDescent="0.3">
      <c r="A74" t="s">
        <v>1189</v>
      </c>
      <c r="B74" t="s">
        <v>1389</v>
      </c>
      <c r="C74" t="s">
        <v>40</v>
      </c>
      <c r="D74" t="s">
        <v>40</v>
      </c>
      <c r="E74" t="s">
        <v>1398</v>
      </c>
      <c r="F74" t="s">
        <v>48</v>
      </c>
      <c r="G74" t="s">
        <v>89</v>
      </c>
      <c r="H74" t="str">
        <f>IF('Infant dataset'!$AJ74&lt;=28,"Neonatal Death","Infant Death")</f>
        <v>Neonatal Death</v>
      </c>
      <c r="I74" t="s">
        <v>61</v>
      </c>
      <c r="J74" t="s">
        <v>61</v>
      </c>
      <c r="K74" t="s">
        <v>61</v>
      </c>
      <c r="L74" t="s">
        <v>61</v>
      </c>
      <c r="M74" t="s">
        <v>61</v>
      </c>
      <c r="N74" t="s">
        <v>61</v>
      </c>
      <c r="O74" t="s">
        <v>61</v>
      </c>
      <c r="P74" t="s">
        <v>61</v>
      </c>
      <c r="Q74" t="s">
        <v>61</v>
      </c>
      <c r="R74" t="s">
        <v>61</v>
      </c>
      <c r="S74" t="s">
        <v>61</v>
      </c>
      <c r="T74" t="s">
        <v>61</v>
      </c>
      <c r="U74" t="s">
        <v>61</v>
      </c>
      <c r="V74" t="s">
        <v>61</v>
      </c>
      <c r="W74" t="s">
        <v>61</v>
      </c>
      <c r="X74" t="s">
        <v>61</v>
      </c>
      <c r="Y74" t="s">
        <v>61</v>
      </c>
      <c r="Z74" t="s">
        <v>61</v>
      </c>
      <c r="AA74" t="s">
        <v>61</v>
      </c>
      <c r="AB74" t="s">
        <v>61</v>
      </c>
      <c r="AC74" t="s">
        <v>61</v>
      </c>
      <c r="AD74" t="s">
        <v>48</v>
      </c>
      <c r="AE74" t="s">
        <v>89</v>
      </c>
      <c r="AF74">
        <v>0</v>
      </c>
      <c r="AG74">
        <f>('Infant dataset'!$AF74 * 30)</f>
        <v>0</v>
      </c>
      <c r="AH74">
        <v>1</v>
      </c>
      <c r="AI74" t="s">
        <v>61</v>
      </c>
      <c r="AJ74">
        <f>'Infant dataset'!$AG74+'Infant dataset'!$AH74</f>
        <v>1</v>
      </c>
      <c r="AK74" t="str">
        <f>IF('Infant dataset'!$AJ74&lt;=28,"Neonatal Death","Infant Death")</f>
        <v>Neonatal Death</v>
      </c>
      <c r="AL74" t="s">
        <v>1390</v>
      </c>
      <c r="AM74" t="s">
        <v>1390</v>
      </c>
      <c r="AN74" s="140">
        <v>2360</v>
      </c>
      <c r="AO74" s="140"/>
      <c r="AP74" t="s">
        <v>61</v>
      </c>
      <c r="AQ74" t="s">
        <v>61</v>
      </c>
      <c r="AR74" t="s">
        <v>61</v>
      </c>
      <c r="AS74" t="s">
        <v>61</v>
      </c>
      <c r="AT74" t="s">
        <v>61</v>
      </c>
      <c r="AU74" t="s">
        <v>61</v>
      </c>
      <c r="AV74" t="s">
        <v>61</v>
      </c>
      <c r="AW74" t="s">
        <v>61</v>
      </c>
      <c r="AX74" t="s">
        <v>61</v>
      </c>
      <c r="AY74" t="s">
        <v>61</v>
      </c>
      <c r="AZ74" t="s">
        <v>61</v>
      </c>
      <c r="BA74" t="s">
        <v>61</v>
      </c>
      <c r="BB74" t="s">
        <v>61</v>
      </c>
      <c r="BC74" t="s">
        <v>61</v>
      </c>
      <c r="BD74" t="s">
        <v>61</v>
      </c>
      <c r="BE74" t="s">
        <v>61</v>
      </c>
      <c r="BF74" t="s">
        <v>61</v>
      </c>
      <c r="BG74" t="s">
        <v>61</v>
      </c>
      <c r="BH74" t="s">
        <v>61</v>
      </c>
      <c r="BI74" t="s">
        <v>61</v>
      </c>
      <c r="BJ74" t="s">
        <v>61</v>
      </c>
      <c r="BK74" t="s">
        <v>61</v>
      </c>
      <c r="BL74" t="s">
        <v>61</v>
      </c>
      <c r="BM74" t="s">
        <v>61</v>
      </c>
      <c r="BN74" t="s">
        <v>61</v>
      </c>
      <c r="BO74" t="s">
        <v>61</v>
      </c>
      <c r="BP74" t="s">
        <v>1398</v>
      </c>
      <c r="BQ74" t="s">
        <v>1391</v>
      </c>
      <c r="BR74" t="s">
        <v>61</v>
      </c>
    </row>
    <row r="75" spans="1:70" x14ac:dyDescent="0.3">
      <c r="A75" t="s">
        <v>1190</v>
      </c>
      <c r="B75" t="s">
        <v>1392</v>
      </c>
      <c r="C75" t="s">
        <v>66</v>
      </c>
      <c r="D75" t="s">
        <v>462</v>
      </c>
      <c r="E75" t="s">
        <v>61</v>
      </c>
      <c r="F75" t="s">
        <v>48</v>
      </c>
      <c r="G75" t="s">
        <v>39</v>
      </c>
      <c r="H75" t="str">
        <f>IF('Infant dataset'!$AJ75&lt;=28,"Neonatal Death","Infant Death")</f>
        <v>Infant Death</v>
      </c>
      <c r="I75" t="s">
        <v>1398</v>
      </c>
      <c r="J75" t="s">
        <v>61</v>
      </c>
      <c r="K75" t="s">
        <v>61</v>
      </c>
      <c r="L75" t="s">
        <v>61</v>
      </c>
      <c r="M75" t="s">
        <v>61</v>
      </c>
      <c r="N75" t="s">
        <v>61</v>
      </c>
      <c r="O75" t="s">
        <v>61</v>
      </c>
      <c r="P75" t="s">
        <v>61</v>
      </c>
      <c r="Q75" t="s">
        <v>61</v>
      </c>
      <c r="R75" t="s">
        <v>61</v>
      </c>
      <c r="S75" t="s">
        <v>61</v>
      </c>
      <c r="T75" t="s">
        <v>61</v>
      </c>
      <c r="U75" t="s">
        <v>61</v>
      </c>
      <c r="V75" t="s">
        <v>61</v>
      </c>
      <c r="W75" t="s">
        <v>61</v>
      </c>
      <c r="X75" t="s">
        <v>61</v>
      </c>
      <c r="Y75" t="s">
        <v>1398</v>
      </c>
      <c r="Z75" t="s">
        <v>61</v>
      </c>
      <c r="AA75" t="s">
        <v>61</v>
      </c>
      <c r="AB75" t="s">
        <v>61</v>
      </c>
      <c r="AC75" t="s">
        <v>61</v>
      </c>
      <c r="AD75" t="s">
        <v>48</v>
      </c>
      <c r="AE75" t="s">
        <v>39</v>
      </c>
      <c r="AF75">
        <v>2</v>
      </c>
      <c r="AG75">
        <f>('Infant dataset'!$AF75 * 30)</f>
        <v>60</v>
      </c>
      <c r="AH75">
        <v>23</v>
      </c>
      <c r="AI75" t="s">
        <v>61</v>
      </c>
      <c r="AJ75">
        <f>'Infant dataset'!$AG75+'Infant dataset'!$AH75</f>
        <v>83</v>
      </c>
      <c r="AK75" t="str">
        <f>IF('Infant dataset'!$AJ75&lt;=28,"Neonatal Death","Infant Death")</f>
        <v>Infant Death</v>
      </c>
      <c r="AL75" t="s">
        <v>1393</v>
      </c>
      <c r="AM75" t="s">
        <v>162</v>
      </c>
      <c r="AN75" s="140">
        <v>1950</v>
      </c>
      <c r="AO75" s="140"/>
      <c r="AP75" t="s">
        <v>61</v>
      </c>
      <c r="AQ75" t="s">
        <v>61</v>
      </c>
      <c r="AR75" t="s">
        <v>61</v>
      </c>
      <c r="AS75" t="s">
        <v>61</v>
      </c>
      <c r="AT75" t="s">
        <v>61</v>
      </c>
      <c r="AU75" t="s">
        <v>61</v>
      </c>
      <c r="AV75" t="s">
        <v>1398</v>
      </c>
      <c r="AW75" t="s">
        <v>61</v>
      </c>
      <c r="AX75" t="s">
        <v>61</v>
      </c>
      <c r="AY75" t="s">
        <v>61</v>
      </c>
      <c r="AZ75" t="s">
        <v>61</v>
      </c>
      <c r="BA75" t="s">
        <v>61</v>
      </c>
      <c r="BB75" t="s">
        <v>61</v>
      </c>
      <c r="BC75" t="s">
        <v>61</v>
      </c>
      <c r="BD75" t="s">
        <v>61</v>
      </c>
      <c r="BE75" t="s">
        <v>61</v>
      </c>
      <c r="BF75" t="s">
        <v>61</v>
      </c>
      <c r="BG75" t="s">
        <v>61</v>
      </c>
      <c r="BH75" t="s">
        <v>61</v>
      </c>
      <c r="BI75" t="s">
        <v>61</v>
      </c>
      <c r="BJ75" t="s">
        <v>61</v>
      </c>
      <c r="BK75" t="s">
        <v>61</v>
      </c>
      <c r="BL75" t="s">
        <v>61</v>
      </c>
      <c r="BM75" t="s">
        <v>61</v>
      </c>
      <c r="BN75" t="s">
        <v>61</v>
      </c>
      <c r="BO75" t="s">
        <v>61</v>
      </c>
      <c r="BP75" t="s">
        <v>61</v>
      </c>
      <c r="BQ75" t="s">
        <v>61</v>
      </c>
      <c r="BR75" t="s">
        <v>1398</v>
      </c>
    </row>
    <row r="76" spans="1:70" x14ac:dyDescent="0.3">
      <c r="A76" t="s">
        <v>1190</v>
      </c>
      <c r="B76" t="s">
        <v>513</v>
      </c>
      <c r="C76" t="s">
        <v>66</v>
      </c>
      <c r="D76" t="s">
        <v>66</v>
      </c>
      <c r="E76" t="s">
        <v>61</v>
      </c>
      <c r="F76" t="s">
        <v>74</v>
      </c>
      <c r="G76" t="s">
        <v>89</v>
      </c>
      <c r="H76" t="str">
        <f>IF('Infant dataset'!$AJ76&lt;=28,"Neonatal Death","Infant Death")</f>
        <v>Neonatal Death</v>
      </c>
      <c r="I76" t="s">
        <v>61</v>
      </c>
      <c r="J76" t="s">
        <v>61</v>
      </c>
      <c r="K76" t="s">
        <v>61</v>
      </c>
      <c r="L76" t="s">
        <v>61</v>
      </c>
      <c r="M76" s="117" t="s">
        <v>61</v>
      </c>
      <c r="N76" s="117" t="s">
        <v>1398</v>
      </c>
      <c r="O76" s="117" t="s">
        <v>61</v>
      </c>
      <c r="P76" t="s">
        <v>61</v>
      </c>
      <c r="Q76" t="s">
        <v>61</v>
      </c>
      <c r="R76" t="s">
        <v>61</v>
      </c>
      <c r="S76" t="s">
        <v>61</v>
      </c>
      <c r="T76" t="s">
        <v>61</v>
      </c>
      <c r="U76" t="s">
        <v>61</v>
      </c>
      <c r="V76" t="s">
        <v>61</v>
      </c>
      <c r="W76" t="s">
        <v>61</v>
      </c>
      <c r="X76" t="s">
        <v>61</v>
      </c>
      <c r="Y76" t="s">
        <v>61</v>
      </c>
      <c r="Z76" t="s">
        <v>61</v>
      </c>
      <c r="AA76" t="s">
        <v>61</v>
      </c>
      <c r="AB76" t="s">
        <v>61</v>
      </c>
      <c r="AC76" t="s">
        <v>61</v>
      </c>
      <c r="AD76" t="s">
        <v>74</v>
      </c>
      <c r="AE76" t="s">
        <v>89</v>
      </c>
      <c r="AF76">
        <v>0</v>
      </c>
      <c r="AG76">
        <f>('Infant dataset'!$AF76 * 30)</f>
        <v>0</v>
      </c>
      <c r="AH76">
        <v>2</v>
      </c>
      <c r="AI76" t="s">
        <v>61</v>
      </c>
      <c r="AJ76">
        <f>'Infant dataset'!$AG76+'Infant dataset'!$AH76</f>
        <v>2</v>
      </c>
      <c r="AK76" t="str">
        <f>IF('Infant dataset'!$AJ76&lt;=28,"Neonatal Death","Infant Death")</f>
        <v>Neonatal Death</v>
      </c>
      <c r="AL76" t="s">
        <v>1394</v>
      </c>
      <c r="AM76" t="s">
        <v>1395</v>
      </c>
      <c r="AN76" s="140">
        <v>1060</v>
      </c>
      <c r="AO76" s="140"/>
      <c r="AP76" t="s">
        <v>1398</v>
      </c>
      <c r="AQ76" t="s">
        <v>1398</v>
      </c>
      <c r="AR76" t="s">
        <v>61</v>
      </c>
      <c r="AS76" t="s">
        <v>61</v>
      </c>
      <c r="AT76" t="s">
        <v>61</v>
      </c>
      <c r="AU76" t="s">
        <v>61</v>
      </c>
      <c r="AV76" t="s">
        <v>61</v>
      </c>
      <c r="AW76" t="s">
        <v>61</v>
      </c>
      <c r="AX76" t="s">
        <v>61</v>
      </c>
      <c r="AY76" t="s">
        <v>61</v>
      </c>
      <c r="AZ76" t="s">
        <v>61</v>
      </c>
      <c r="BA76" t="s">
        <v>61</v>
      </c>
      <c r="BB76" t="s">
        <v>61</v>
      </c>
      <c r="BC76" t="s">
        <v>61</v>
      </c>
      <c r="BD76" t="s">
        <v>61</v>
      </c>
      <c r="BE76" t="s">
        <v>61</v>
      </c>
      <c r="BF76" t="s">
        <v>61</v>
      </c>
      <c r="BG76" t="s">
        <v>61</v>
      </c>
      <c r="BH76" t="s">
        <v>61</v>
      </c>
      <c r="BI76" t="s">
        <v>61</v>
      </c>
      <c r="BJ76" t="s">
        <v>61</v>
      </c>
      <c r="BK76" t="s">
        <v>61</v>
      </c>
      <c r="BL76" t="s">
        <v>61</v>
      </c>
      <c r="BM76" t="s">
        <v>61</v>
      </c>
      <c r="BN76" t="s">
        <v>61</v>
      </c>
      <c r="BO76" t="s">
        <v>61</v>
      </c>
      <c r="BP76" t="s">
        <v>61</v>
      </c>
      <c r="BQ76" t="s">
        <v>61</v>
      </c>
      <c r="BR76" t="s">
        <v>61</v>
      </c>
    </row>
  </sheetData>
  <mergeCells count="6">
    <mergeCell ref="I1:AC1"/>
    <mergeCell ref="AP1:BP1"/>
    <mergeCell ref="M2:O2"/>
    <mergeCell ref="AF2:AI2"/>
    <mergeCell ref="AU2:AW2"/>
    <mergeCell ref="AX2:AZ2"/>
  </mergeCells>
  <phoneticPr fontId="3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2</vt:i4>
      </vt:variant>
    </vt:vector>
  </HeadingPairs>
  <TitlesOfParts>
    <vt:vector size="18" baseType="lpstr">
      <vt:lpstr>2023-24</vt:lpstr>
      <vt:lpstr>2024-25</vt:lpstr>
      <vt:lpstr>Sheet1</vt:lpstr>
      <vt:lpstr>2024-25 report</vt:lpstr>
      <vt:lpstr>Sheet3</vt:lpstr>
      <vt:lpstr>Categorized Data</vt:lpstr>
      <vt:lpstr>karkal_pivot</vt:lpstr>
      <vt:lpstr>Kundapura_pivot</vt:lpstr>
      <vt:lpstr>Udupi_pivot</vt:lpstr>
      <vt:lpstr>District pivot</vt:lpstr>
      <vt:lpstr>District Dashboard</vt:lpstr>
      <vt:lpstr>Karkal Taluk</vt:lpstr>
      <vt:lpstr>Kundapura Taluk</vt:lpstr>
      <vt:lpstr>Udupi Taluk</vt:lpstr>
      <vt:lpstr>Sheet4</vt:lpstr>
      <vt:lpstr>Infant dataset</vt:lpstr>
      <vt:lpstr>'2024-25 report'!Print_Titles</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2025-05-07T11:14:52Z</dcterms:modified>
</cp:coreProperties>
</file>